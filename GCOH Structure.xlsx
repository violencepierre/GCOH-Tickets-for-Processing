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74E38E86-63C5-4FF9-AFBF-F3E640B8F8CF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vt" sheetId="17" r:id="rId1"/>
    <sheet name="STUCT1" sheetId="1" r:id="rId2"/>
    <sheet name="Sheet3" sheetId="30" r:id="rId3"/>
    <sheet name="Sheet2" sheetId="29" r:id="rId4"/>
    <sheet name="Sheet1" sheetId="28" r:id="rId5"/>
    <sheet name="Names" sheetId="5" r:id="rId6"/>
    <sheet name="NEW NODES" sheetId="6" r:id="rId7"/>
    <sheet name="People" sheetId="7" r:id="rId8"/>
    <sheet name="2023" sheetId="8" state="hidden" r:id="rId9"/>
    <sheet name="2024" sheetId="19" state="hidden" r:id="rId10"/>
    <sheet name="old" sheetId="27" state="hidden" r:id="rId11"/>
    <sheet name="Sectors" sheetId="9" r:id="rId12"/>
    <sheet name="Okey" sheetId="10" r:id="rId13"/>
    <sheet name="KPI" sheetId="12" r:id="rId14"/>
  </sheets>
  <definedNames>
    <definedName name="_xlnm._FilterDatabase" localSheetId="8">'2023'!$A$1:$M$1</definedName>
    <definedName name="_xlnm._FilterDatabase" localSheetId="5">Names!$A$237:$G$388</definedName>
    <definedName name="_xlnm._FilterDatabase" localSheetId="7">People!$A$1:$B$1</definedName>
    <definedName name="_xlnm._FilterDatabase" localSheetId="1">STUCT1!#REF!</definedName>
  </definedNames>
  <calcPr calcId="181029"/>
  <pivotCaches>
    <pivotCache cacheId="2" r:id="rId15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5" i="30" l="1"/>
  <c r="I24" i="30"/>
  <c r="I23" i="30"/>
  <c r="I22" i="30"/>
  <c r="I21" i="30"/>
  <c r="I20" i="30"/>
  <c r="I19" i="30"/>
  <c r="I18" i="30"/>
  <c r="I17" i="30"/>
  <c r="I16" i="30"/>
  <c r="I15" i="30"/>
  <c r="I14" i="30"/>
  <c r="I13" i="30"/>
  <c r="I12" i="30"/>
  <c r="I11" i="30"/>
  <c r="I10" i="30"/>
  <c r="I9" i="30"/>
  <c r="I8" i="30"/>
  <c r="I7" i="30"/>
  <c r="I6" i="30"/>
  <c r="I5" i="30"/>
  <c r="I4" i="30"/>
  <c r="I3" i="30"/>
  <c r="I2" i="30"/>
  <c r="C26" i="30"/>
  <c r="C25" i="30"/>
  <c r="C24" i="30"/>
  <c r="C23" i="30"/>
  <c r="C22" i="30"/>
  <c r="C21" i="30"/>
  <c r="C20" i="30"/>
  <c r="C19" i="30"/>
  <c r="C18" i="30"/>
  <c r="C17" i="30"/>
  <c r="C16" i="30"/>
  <c r="C15" i="30"/>
  <c r="C14" i="30"/>
  <c r="C13" i="30"/>
  <c r="C12" i="30"/>
  <c r="C11" i="30"/>
  <c r="C10" i="30"/>
  <c r="C9" i="30"/>
  <c r="C8" i="30"/>
  <c r="C7" i="30"/>
  <c r="C6" i="30"/>
  <c r="C5" i="30"/>
  <c r="C4" i="30"/>
  <c r="C3" i="30"/>
  <c r="C2" i="30"/>
  <c r="C1" i="30"/>
  <c r="G2" i="30"/>
  <c r="G3" i="30" s="1"/>
  <c r="G4" i="30" s="1"/>
  <c r="G5" i="30" s="1"/>
  <c r="G6" i="30" s="1"/>
  <c r="G7" i="30" s="1"/>
  <c r="G8" i="30" s="1"/>
  <c r="G9" i="30" s="1"/>
  <c r="G10" i="30" s="1"/>
  <c r="G11" i="30" s="1"/>
  <c r="G12" i="30" s="1"/>
  <c r="G13" i="30" s="1"/>
  <c r="G14" i="30" s="1"/>
  <c r="G15" i="30" s="1"/>
  <c r="G16" i="30" s="1"/>
  <c r="G17" i="30" s="1"/>
  <c r="G18" i="30" s="1"/>
  <c r="G19" i="30" s="1"/>
  <c r="G20" i="30" s="1"/>
  <c r="G21" i="30" s="1"/>
  <c r="G22" i="30" s="1"/>
  <c r="G23" i="30" s="1"/>
  <c r="G24" i="30" s="1"/>
  <c r="G25" i="30" s="1"/>
  <c r="G26" i="30" s="1"/>
  <c r="A52" i="1"/>
  <c r="A53" i="1" s="1"/>
  <c r="H52" i="1"/>
  <c r="H53" i="1"/>
  <c r="A26" i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20" i="1"/>
  <c r="H25" i="1"/>
  <c r="H24" i="1"/>
  <c r="H23" i="1"/>
  <c r="H22" i="1"/>
  <c r="H21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</calcChain>
</file>

<file path=xl/sharedStrings.xml><?xml version="1.0" encoding="utf-8"?>
<sst xmlns="http://schemas.openxmlformats.org/spreadsheetml/2006/main" count="43060" uniqueCount="7983">
  <si>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</si>
  <si>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</si>
  <si>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</si>
  <si>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</si>
  <si>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</si>
  <si>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</si>
  <si>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</si>
  <si>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</si>
  <si>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</si>
  <si>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</si>
  <si>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</si>
  <si>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</si>
  <si>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</si>
  <si>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</si>
  <si>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</si>
  <si>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</si>
  <si>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</si>
  <si>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</si>
  <si>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</si>
  <si>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</si>
  <si>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</si>
  <si>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</si>
  <si>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</si>
  <si>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</si>
  <si>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</si>
  <si>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</si>
  <si>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</si>
  <si>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</si>
  <si>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</si>
  <si>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</si>
  <si>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</si>
  <si>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</si>
  <si>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</si>
  <si>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</si>
  <si>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</si>
  <si>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</si>
  <si>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</si>
  <si>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</si>
  <si>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</si>
  <si>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</si>
  <si>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</si>
  <si>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</si>
  <si>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</si>
  <si>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</si>
  <si>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</si>
  <si>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</si>
  <si>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</si>
  <si>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</si>
  <si>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</si>
  <si>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</si>
  <si>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</si>
  <si>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</si>
  <si>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</si>
  <si>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</si>
  <si>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</si>
  <si>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</si>
  <si>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</si>
  <si>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</si>
  <si>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</si>
  <si>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</si>
  <si>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</si>
  <si>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</si>
  <si>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</si>
  <si>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</si>
  <si>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</si>
  <si>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</si>
  <si>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</si>
  <si>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</si>
  <si>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</si>
  <si>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</si>
  <si>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</si>
  <si>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</si>
  <si>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</si>
  <si>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</si>
  <si>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</si>
  <si>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</si>
  <si>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</si>
  <si>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</si>
  <si>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</si>
  <si>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</si>
  <si>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</si>
  <si>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</si>
  <si>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</si>
  <si>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</si>
  <si>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</si>
  <si>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</si>
  <si>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</si>
  <si>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</si>
  <si>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</si>
  <si>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</si>
  <si>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</si>
  <si>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</si>
  <si>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</si>
  <si>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</si>
  <si>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</si>
  <si>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</si>
  <si>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</si>
  <si>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</si>
  <si>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</si>
  <si>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</si>
  <si>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</si>
  <si>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</si>
  <si>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</si>
  <si>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</si>
  <si>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</si>
  <si>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</si>
  <si>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</si>
  <si>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</si>
  <si>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</si>
  <si>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</si>
  <si>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</si>
  <si>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</si>
  <si>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</si>
  <si>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</si>
  <si>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</si>
  <si>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</si>
  <si>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</si>
  <si>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</si>
  <si>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</si>
  <si>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</si>
  <si>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</si>
  <si>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</si>
  <si>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</si>
  <si>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</si>
  <si>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</si>
  <si>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</si>
  <si>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</si>
  <si>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</si>
  <si>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</si>
  <si>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</si>
  <si>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</si>
  <si>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</si>
  <si>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</si>
  <si>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</si>
  <si>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</si>
  <si>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</si>
  <si>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</si>
  <si>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</si>
  <si>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</si>
  <si>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</si>
  <si>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</si>
  <si>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</si>
  <si>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</si>
  <si>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</si>
  <si>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</si>
  <si>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</si>
  <si>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</si>
  <si>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</si>
  <si>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</si>
  <si>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</si>
  <si>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</si>
  <si>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</si>
  <si>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</si>
  <si>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</si>
  <si>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</si>
  <si>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</si>
  <si>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</si>
  <si>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</si>
  <si>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</si>
  <si>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</si>
  <si>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</si>
  <si>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</si>
  <si>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</si>
  <si>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</si>
  <si>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</si>
  <si>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</si>
  <si>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</si>
  <si>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</si>
  <si>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</si>
  <si>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</si>
  <si>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</si>
  <si>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</si>
  <si>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</si>
  <si>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</si>
  <si>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</si>
  <si>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</si>
  <si>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</si>
  <si>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</si>
  <si>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</si>
  <si>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</si>
  <si>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</si>
  <si>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</si>
  <si>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</si>
  <si>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</si>
  <si>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</si>
  <si>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</si>
  <si>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</si>
  <si>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</si>
  <si>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</si>
  <si>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</si>
  <si>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</si>
  <si>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</si>
  <si>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</si>
  <si>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</si>
  <si>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</si>
  <si>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</si>
  <si>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</si>
  <si>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</si>
  <si>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</si>
  <si>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</si>
  <si>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</si>
  <si>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</si>
  <si>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</si>
  <si>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</si>
  <si>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</si>
  <si>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</si>
  <si>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</si>
  <si>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</si>
  <si>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</si>
  <si>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</si>
  <si>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</si>
  <si>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</si>
  <si>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</si>
  <si>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</si>
  <si>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</si>
  <si>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</si>
  <si>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</si>
  <si>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</si>
  <si>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</si>
  <si>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</si>
  <si>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</si>
  <si>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</si>
  <si>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</si>
  <si>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</si>
  <si>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</si>
  <si>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</si>
  <si>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</si>
  <si>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</si>
  <si>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</si>
  <si>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</si>
  <si>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</si>
  <si>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</si>
  <si>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</si>
  <si>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</si>
  <si>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</si>
  <si>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</si>
  <si>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</si>
  <si>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</si>
  <si>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</si>
  <si>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</si>
  <si>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</si>
  <si>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</si>
  <si>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</si>
  <si>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</si>
  <si>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</si>
  <si>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</si>
  <si>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</si>
  <si>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</si>
  <si>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</si>
  <si>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</si>
  <si>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</si>
  <si>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</si>
  <si>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</si>
  <si>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</si>
  <si>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</si>
  <si>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</si>
  <si>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</si>
  <si>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</si>
  <si>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</si>
  <si>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</si>
  <si>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</si>
  <si>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</si>
  <si>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</si>
  <si>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</si>
  <si>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</si>
  <si>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</si>
  <si>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</si>
  <si>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</si>
  <si>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</si>
  <si>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</si>
  <si>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</si>
  <si>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</si>
  <si>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</si>
  <si>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</si>
  <si>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</si>
  <si>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</si>
  <si>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</si>
  <si>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</si>
  <si>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</si>
  <si>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</si>
  <si>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</si>
  <si>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</si>
  <si>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</si>
  <si>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</si>
  <si>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</si>
  <si>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</si>
  <si>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</si>
  <si>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</si>
  <si>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</si>
  <si>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</si>
  <si>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</si>
  <si>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</si>
  <si>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</si>
  <si>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</si>
  <si>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</si>
  <si>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</si>
  <si>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</si>
  <si>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</si>
  <si>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</si>
  <si>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</si>
  <si>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</si>
  <si>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</si>
  <si>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</si>
  <si>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</si>
  <si>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</si>
  <si>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</si>
  <si>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</si>
  <si>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</si>
  <si>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</si>
  <si>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</si>
  <si>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</si>
  <si>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</si>
  <si>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</si>
  <si>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</si>
  <si>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</si>
  <si>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</si>
  <si>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</si>
  <si>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</si>
  <si>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</si>
  <si>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</si>
  <si>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</si>
  <si>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</si>
  <si>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</si>
  <si>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</si>
  <si>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</si>
  <si>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</si>
  <si>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</si>
  <si>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</si>
  <si>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</si>
  <si>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</si>
  <si>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</si>
  <si>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</si>
  <si>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</si>
  <si>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</si>
  <si>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</si>
  <si>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</si>
  <si>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</si>
  <si>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</si>
  <si>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</si>
  <si>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</si>
  <si>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</si>
  <si>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</si>
  <si>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</si>
  <si>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</si>
  <si>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</si>
  <si>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</si>
  <si>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</si>
  <si>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</si>
  <si>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</si>
  <si>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</si>
  <si>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</si>
  <si>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</si>
  <si>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</si>
  <si>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</si>
  <si>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</si>
  <si>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</si>
  <si>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</si>
  <si>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</si>
  <si>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</si>
  <si>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</si>
  <si>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</si>
  <si>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</si>
  <si>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</si>
  <si>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</si>
  <si>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</si>
  <si>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</si>
  <si>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</si>
  <si>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</si>
  <si>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</si>
  <si>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</si>
  <si>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</si>
  <si>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</si>
  <si>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</si>
  <si>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</si>
  <si>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</si>
  <si>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</si>
  <si>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</si>
  <si>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</si>
  <si>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</si>
  <si>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</si>
  <si>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</si>
  <si>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</si>
  <si>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</si>
  <si>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</si>
  <si>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</si>
  <si>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</si>
  <si>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</si>
  <si>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</si>
  <si>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</si>
  <si>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</si>
  <si>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</si>
  <si>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</si>
  <si>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</si>
  <si>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</si>
  <si>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</si>
  <si>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</si>
  <si>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</si>
  <si>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</si>
  <si>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</si>
  <si>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</si>
  <si>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</si>
  <si>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</si>
  <si>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</si>
  <si>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</si>
  <si>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</si>
  <si>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</si>
  <si>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</si>
  <si>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</si>
  <si>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</si>
  <si>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</si>
  <si>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</si>
  <si>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</si>
  <si>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</si>
  <si>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</si>
  <si>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</si>
  <si>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</si>
  <si>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</si>
  <si>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</si>
  <si>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</si>
  <si>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</si>
  <si>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</si>
  <si>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</si>
  <si>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</si>
  <si>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</si>
  <si>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</si>
  <si>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</si>
  <si>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</si>
  <si>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</si>
  <si>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</si>
  <si>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</si>
  <si>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</si>
  <si>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</si>
  <si>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</si>
  <si>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</si>
  <si>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</si>
  <si>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</si>
  <si>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</si>
  <si>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</si>
  <si>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</si>
  <si>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</si>
  <si>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</si>
  <si>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</si>
  <si>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</si>
  <si>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</si>
  <si>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</si>
  <si>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</si>
  <si>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</si>
  <si>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</si>
  <si>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</si>
  <si>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</si>
  <si>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</si>
  <si>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</si>
  <si>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</si>
  <si>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</si>
  <si>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</si>
  <si>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</si>
  <si>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</si>
  <si>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</si>
  <si>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</si>
  <si>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</si>
  <si>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</si>
  <si>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</si>
  <si>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</si>
  <si>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</si>
  <si>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</si>
  <si>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</si>
  <si>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</si>
  <si>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</si>
  <si>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</si>
  <si>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</si>
  <si>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</si>
  <si>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</si>
  <si>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</si>
  <si>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</si>
  <si>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</si>
  <si>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</si>
  <si>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</si>
  <si>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</si>
  <si>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</si>
  <si>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</si>
  <si>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</si>
  <si>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</si>
  <si>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</si>
  <si>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</si>
  <si>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</si>
  <si>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</si>
  <si>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</si>
  <si>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</si>
  <si>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</si>
  <si>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</si>
  <si>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</si>
  <si>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</si>
  <si>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</si>
  <si>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</si>
  <si>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</si>
  <si>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</si>
  <si>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</si>
  <si>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</si>
  <si>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</si>
  <si>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</si>
  <si>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</si>
  <si>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</si>
  <si>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</si>
  <si>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</si>
  <si>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</si>
  <si>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</si>
  <si>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</si>
  <si>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</si>
  <si>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</si>
  <si>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</si>
  <si>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</si>
  <si>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</si>
  <si>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</si>
  <si>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</si>
  <si>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</si>
  <si>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</si>
  <si>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</si>
  <si>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</si>
  <si>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</si>
  <si>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</si>
  <si>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</si>
  <si>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</si>
  <si>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</si>
  <si>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</si>
  <si>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</si>
  <si>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</si>
  <si>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</si>
  <si>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</si>
  <si>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</si>
  <si>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</si>
  <si>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</si>
  <si>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</si>
  <si>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</si>
  <si>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</si>
  <si>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</si>
  <si>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</si>
  <si>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</si>
  <si>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</si>
  <si>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</si>
  <si>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</si>
  <si>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</si>
  <si>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</si>
  <si>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</si>
  <si>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</si>
  <si>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</si>
  <si>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</si>
  <si>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</si>
  <si>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</si>
  <si>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</si>
  <si>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</si>
  <si>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</si>
  <si>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</si>
  <si>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</si>
  <si>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</si>
  <si>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</si>
  <si>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</si>
  <si>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</si>
  <si>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</si>
  <si>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</si>
  <si>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</si>
  <si>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</si>
  <si>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</si>
  <si>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</si>
  <si>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</si>
  <si>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</si>
  <si>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</si>
  <si>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</si>
  <si>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</si>
  <si>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</si>
  <si>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</si>
  <si>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</si>
  <si>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</si>
  <si>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</si>
  <si>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</si>
  <si>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</si>
  <si>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</si>
  <si>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</si>
  <si>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</si>
  <si>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</si>
  <si>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</si>
  <si>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</si>
  <si>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</si>
  <si>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</si>
  <si>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</si>
  <si>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</si>
  <si>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</si>
  <si>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</si>
  <si>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</si>
  <si>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</si>
  <si>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</si>
  <si>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</si>
  <si>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</si>
  <si>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</si>
  <si>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</si>
  <si>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</si>
  <si>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</si>
  <si>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</si>
  <si>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</si>
  <si>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</si>
  <si>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</si>
  <si>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</si>
  <si>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</si>
  <si>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</si>
  <si>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</si>
  <si>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</si>
  <si>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</si>
  <si>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</si>
  <si>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</si>
  <si>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</si>
  <si>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</si>
  <si>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</si>
  <si>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</si>
  <si>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</si>
  <si>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</si>
  <si>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</si>
  <si>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</si>
  <si>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</si>
  <si>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</si>
  <si>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</si>
  <si>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</si>
  <si>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</si>
  <si>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</si>
  <si>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</si>
  <si>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</si>
  <si>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</si>
  <si>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</si>
  <si>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</si>
  <si>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</si>
  <si>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</si>
  <si>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</si>
  <si>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</si>
  <si>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</si>
  <si>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</si>
  <si>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</si>
  <si>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</si>
  <si>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</si>
  <si>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</si>
  <si>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</si>
  <si>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</si>
  <si>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</si>
  <si>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</si>
  <si>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</si>
  <si>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</si>
  <si>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</si>
  <si>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</si>
  <si>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</si>
  <si>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</si>
  <si>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</si>
  <si>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</si>
  <si>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</si>
  <si>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</si>
  <si>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</si>
  <si>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</si>
  <si>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</si>
  <si>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</si>
  <si>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</si>
  <si>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</si>
  <si>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</si>
  <si>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</si>
  <si>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</si>
  <si>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</si>
  <si>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</si>
  <si>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</si>
  <si>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</si>
  <si>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</si>
  <si>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</si>
  <si>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</si>
  <si>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</si>
  <si>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</si>
  <si>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</si>
  <si>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</si>
  <si>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</si>
  <si>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</si>
  <si>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</si>
  <si>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</si>
  <si>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</si>
  <si>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</si>
  <si>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</si>
  <si>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</si>
  <si>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</si>
  <si>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</si>
  <si>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</si>
  <si>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</si>
  <si>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</si>
  <si>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</si>
  <si>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</si>
  <si>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</si>
  <si>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</si>
  <si>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</si>
  <si>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</si>
  <si>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</si>
  <si>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</si>
  <si>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</si>
  <si>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</si>
  <si>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</si>
  <si>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</si>
  <si>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</si>
  <si>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</si>
  <si>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</si>
  <si>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</si>
  <si>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</si>
  <si>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</si>
  <si>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</si>
  <si>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</si>
  <si>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</si>
  <si>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</si>
  <si>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</si>
  <si>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</si>
  <si>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</si>
  <si>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</si>
  <si>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</si>
  <si>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</si>
  <si>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</si>
  <si>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</si>
  <si>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</si>
  <si>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</si>
  <si>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</si>
  <si>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</si>
  <si>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</si>
  <si>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</si>
  <si>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</si>
  <si>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</si>
  <si>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</si>
  <si>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</si>
  <si>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</si>
  <si>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</si>
  <si>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</si>
  <si>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</si>
  <si>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</si>
  <si>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</si>
  <si>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</si>
  <si>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</si>
  <si>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</si>
  <si>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</si>
  <si>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</si>
  <si>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</si>
  <si>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</si>
  <si>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</si>
  <si>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</si>
  <si>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</si>
  <si>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</si>
  <si>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</si>
  <si>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</si>
  <si>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</si>
  <si>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</si>
  <si>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</si>
  <si>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</si>
  <si>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</si>
  <si>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</si>
  <si>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</si>
  <si>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</si>
  <si>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</si>
  <si>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</si>
  <si>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</si>
  <si>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</si>
  <si>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</si>
  <si>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</si>
  <si>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</si>
  <si>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</si>
  <si>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</si>
  <si>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</si>
  <si>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</si>
  <si>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</si>
  <si>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</si>
  <si>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</si>
  <si>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</si>
  <si>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</si>
  <si>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</si>
  <si>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</si>
  <si>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</si>
  <si>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</si>
  <si>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</si>
  <si>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</si>
  <si>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</si>
  <si>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</si>
  <si>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</si>
  <si>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</si>
  <si>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</si>
  <si>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</si>
  <si>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</si>
  <si>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</si>
  <si>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</si>
  <si>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</si>
  <si>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</si>
  <si>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</si>
  <si>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</si>
  <si>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</si>
  <si>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</si>
  <si>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</si>
  <si>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</si>
  <si>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</si>
  <si>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</si>
  <si>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</si>
  <si>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</si>
  <si>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</si>
  <si>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</si>
  <si>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</si>
  <si>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</si>
  <si>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</si>
  <si>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</si>
  <si>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</si>
  <si>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</si>
  <si>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</si>
  <si>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</si>
  <si>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</si>
  <si>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</si>
  <si>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</si>
  <si>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</si>
  <si>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</si>
  <si>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</si>
  <si>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</si>
  <si>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</si>
  <si>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</si>
  <si>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</si>
  <si>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</si>
  <si>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</si>
  <si>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</si>
  <si>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</si>
  <si>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</si>
  <si>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</si>
  <si>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</si>
  <si>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</si>
  <si>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</si>
  <si>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</si>
  <si>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</si>
  <si>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</si>
  <si>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</si>
  <si>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</si>
  <si>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</si>
  <si>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</si>
  <si>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</si>
  <si>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</si>
  <si>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</si>
  <si>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</si>
  <si>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</si>
  <si>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</si>
  <si>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</si>
  <si>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</si>
  <si>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</si>
  <si>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</si>
  <si>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</si>
  <si>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</si>
  <si>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</si>
  <si>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</si>
  <si>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</si>
  <si>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</si>
  <si>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</si>
  <si>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</si>
  <si>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</si>
  <si>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</si>
  <si>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</si>
  <si>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</si>
  <si>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</si>
  <si>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</si>
  <si>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</si>
  <si>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</si>
  <si>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</si>
  <si>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</si>
  <si>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</si>
  <si>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</si>
  <si>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</si>
  <si>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</si>
  <si>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</si>
  <si>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</si>
  <si>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</si>
  <si>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</si>
  <si>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</si>
  <si>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</si>
  <si>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</si>
  <si>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</si>
  <si>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</si>
  <si>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</si>
  <si>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</si>
  <si>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</si>
  <si>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</si>
  <si>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</si>
  <si>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</si>
  <si>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</si>
  <si>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</si>
  <si>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</si>
  <si>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</si>
  <si>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</si>
  <si>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</si>
  <si>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</si>
  <si>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</si>
  <si>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</si>
  <si>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</si>
  <si>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</si>
  <si>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</si>
  <si>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</si>
  <si>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</si>
  <si>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</si>
  <si>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</si>
  <si>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</si>
  <si>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</si>
  <si>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</si>
  <si>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</si>
  <si>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</si>
  <si>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</si>
  <si>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</si>
  <si>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</si>
  <si>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</si>
  <si>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</si>
  <si>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</si>
  <si>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</si>
  <si>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</si>
  <si>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</si>
  <si>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</si>
  <si>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</si>
  <si>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</si>
  <si>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</si>
  <si>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</si>
  <si>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</si>
  <si>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</si>
  <si>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</si>
  <si>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</si>
  <si>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</si>
  <si>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</si>
  <si>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</si>
  <si>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</si>
  <si>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</si>
  <si>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</si>
  <si>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</si>
  <si>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</si>
  <si>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</si>
  <si>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</si>
  <si>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</si>
  <si>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</si>
  <si>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</si>
  <si>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</si>
  <si>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</si>
  <si>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</si>
  <si>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</si>
  <si>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</si>
  <si>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</si>
  <si>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</si>
  <si>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</si>
  <si>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</si>
  <si>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</si>
  <si>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</si>
  <si>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</si>
  <si>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</si>
  <si>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</si>
  <si>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</si>
  <si>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</si>
  <si>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</si>
  <si>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</si>
  <si>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</si>
  <si>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</si>
  <si>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</si>
  <si>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</si>
  <si>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</si>
  <si>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</si>
  <si>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</si>
  <si>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</si>
  <si>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</si>
  <si>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</si>
  <si>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</si>
  <si>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</si>
  <si>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</si>
  <si>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</si>
  <si>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</si>
  <si>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</si>
  <si>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</si>
  <si>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</si>
  <si>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</si>
  <si>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</si>
  <si>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</si>
  <si>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</si>
  <si>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</si>
  <si>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</si>
  <si>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</si>
  <si>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</si>
  <si>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</si>
  <si>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</si>
  <si>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</si>
  <si>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</si>
  <si>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</si>
  <si>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</si>
  <si>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</si>
  <si>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</si>
  <si>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</si>
  <si>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</si>
  <si>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</si>
  <si>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</si>
  <si>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</si>
  <si>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</si>
  <si>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</si>
  <si>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</si>
  <si>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</si>
  <si>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</si>
  <si>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</si>
  <si>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</si>
  <si>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</si>
  <si>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</si>
  <si>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</si>
  <si>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</si>
  <si>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</si>
  <si>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</si>
  <si>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</si>
  <si>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</si>
  <si>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</si>
  <si>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</si>
  <si>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</si>
  <si>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</si>
  <si>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</si>
  <si>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</si>
  <si>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</si>
  <si>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</si>
  <si>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</si>
  <si>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</si>
  <si>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</si>
  <si>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</si>
  <si>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</si>
  <si>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</si>
  <si>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</si>
  <si>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</si>
  <si>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</si>
  <si>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</si>
  <si>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</si>
  <si>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</si>
  <si>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</si>
  <si>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</si>
  <si>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</si>
  <si>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</si>
  <si>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</si>
  <si>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</si>
  <si>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</si>
  <si>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</si>
  <si>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</si>
  <si>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</si>
  <si>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</si>
  <si>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</si>
  <si>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</si>
  <si>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</si>
  <si>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</si>
  <si>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</si>
  <si>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</si>
  <si>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</si>
  <si>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</si>
  <si>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</si>
  <si>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</si>
  <si>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</si>
  <si>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</si>
  <si>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</si>
  <si>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</si>
  <si>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</si>
  <si>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</si>
  <si>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</si>
  <si>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</si>
  <si>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</si>
  <si>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</si>
  <si>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</si>
  <si>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</si>
  <si>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</si>
  <si>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</si>
  <si>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</si>
  <si>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</si>
  <si>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</si>
  <si>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</si>
  <si>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</si>
  <si>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</si>
  <si>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</si>
  <si>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</si>
  <si>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</si>
  <si>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</si>
  <si>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</si>
  <si>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</si>
  <si>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</si>
  <si>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</si>
  <si>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</si>
  <si>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</si>
  <si>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</si>
  <si>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</si>
  <si>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</si>
  <si>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</si>
  <si>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</si>
  <si>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</si>
  <si>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</si>
  <si>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</si>
  <si>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</si>
  <si>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</si>
  <si>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</si>
  <si>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</si>
  <si>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</si>
  <si>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</si>
  <si>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</si>
  <si>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</si>
  <si>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</si>
  <si>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</si>
  <si>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</si>
  <si>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</si>
  <si>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</si>
  <si>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</si>
  <si>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</si>
  <si>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</si>
  <si>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</si>
  <si>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</si>
  <si>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</si>
  <si>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</si>
  <si>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</si>
  <si>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</si>
  <si>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</si>
  <si>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</si>
  <si>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</si>
  <si>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</si>
  <si>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</si>
  <si>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</si>
  <si>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</si>
  <si>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</si>
  <si>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</si>
  <si>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</si>
  <si>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</si>
  <si>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</si>
  <si>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</si>
  <si>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</si>
  <si>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</si>
  <si>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</si>
  <si>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</si>
  <si>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</si>
  <si>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</si>
  <si>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</si>
  <si>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</si>
  <si>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</si>
  <si>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</si>
  <si>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</si>
  <si>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</si>
  <si>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</si>
  <si>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</si>
  <si>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</si>
  <si>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</si>
  <si>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</si>
  <si>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</si>
  <si>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</si>
  <si>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</si>
  <si>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</si>
  <si>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</si>
  <si>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</si>
  <si>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</si>
  <si>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</si>
  <si>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</si>
  <si>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</si>
  <si>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</si>
  <si>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</si>
  <si>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</si>
  <si>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</si>
  <si>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</si>
  <si>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</si>
  <si>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</si>
  <si>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</si>
  <si>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</si>
  <si>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</si>
  <si>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</si>
  <si>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</si>
  <si>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</si>
  <si>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</si>
  <si>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</si>
  <si>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</si>
  <si>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</si>
  <si>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</si>
  <si>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</si>
  <si>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</si>
  <si>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</si>
  <si>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</si>
  <si>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</si>
  <si>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</si>
  <si>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</si>
  <si>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</si>
  <si>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</si>
  <si>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</si>
  <si>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</si>
  <si>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</si>
  <si>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</si>
  <si>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</si>
  <si>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</si>
  <si>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</si>
  <si>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</si>
  <si>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</si>
  <si>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</si>
  <si>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</si>
  <si>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</si>
  <si>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</si>
  <si>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</si>
  <si>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</si>
  <si>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</si>
  <si>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</si>
  <si>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</si>
  <si>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</si>
  <si>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</si>
  <si>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</si>
  <si>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</si>
  <si>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</si>
  <si>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</si>
  <si>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</si>
  <si>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</si>
  <si>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</si>
  <si>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</si>
  <si>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</si>
  <si>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</si>
  <si>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</si>
  <si>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</si>
  <si>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</si>
  <si>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</si>
  <si>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</si>
  <si>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</si>
  <si>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</si>
  <si>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</si>
  <si>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</si>
  <si>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</si>
  <si>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</si>
  <si>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</si>
  <si>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</si>
  <si>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</si>
  <si>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</si>
  <si>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</si>
  <si>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</si>
  <si>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</si>
  <si>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</si>
  <si>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</si>
  <si>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</si>
  <si>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</si>
  <si>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</si>
  <si>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</si>
  <si>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</si>
  <si>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</si>
  <si>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</si>
  <si>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</si>
  <si>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</si>
  <si>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</si>
  <si>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</si>
  <si>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</si>
  <si>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</si>
  <si>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</si>
  <si>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</si>
  <si>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</si>
  <si>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</si>
  <si>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</si>
  <si>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</si>
  <si>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</si>
  <si>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</si>
  <si>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</si>
  <si>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</si>
  <si>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</si>
  <si>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</si>
  <si>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</si>
  <si>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</si>
  <si>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</si>
  <si>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</si>
  <si>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</si>
  <si>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</si>
  <si>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</si>
  <si>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</si>
  <si>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</si>
  <si>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</si>
  <si>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</si>
  <si>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</si>
  <si>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</si>
  <si>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</si>
  <si>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</si>
  <si>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</si>
  <si>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</si>
  <si>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</si>
  <si>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</si>
  <si>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</si>
  <si>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</si>
  <si>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</si>
  <si>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</si>
  <si>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</si>
  <si>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</si>
  <si>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</si>
  <si>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</si>
  <si>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</si>
  <si>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</si>
  <si>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</si>
  <si>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</si>
  <si>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</si>
  <si>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</si>
  <si>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</si>
  <si>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</si>
  <si>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</si>
  <si>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</si>
  <si>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</si>
  <si>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</si>
  <si>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</si>
  <si>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</si>
  <si>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</si>
  <si>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</si>
  <si>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</si>
  <si>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</si>
  <si>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</si>
  <si>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</si>
  <si>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</si>
  <si>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</si>
  <si>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</si>
  <si>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</si>
  <si>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</si>
  <si>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</si>
  <si>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</si>
  <si>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</si>
  <si>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</si>
  <si>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</si>
  <si>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</si>
  <si>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</si>
  <si>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</si>
  <si>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</si>
  <si>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</si>
  <si>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</si>
  <si>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</si>
  <si>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</si>
  <si>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</si>
  <si>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</si>
  <si>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</si>
  <si>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</si>
  <si>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</si>
  <si>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</si>
  <si>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</si>
  <si>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</si>
  <si>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</si>
  <si>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</si>
  <si>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</si>
  <si>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</si>
  <si>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</si>
  <si>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</si>
  <si>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</si>
  <si>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</si>
  <si>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</si>
  <si>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</si>
  <si>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</si>
  <si>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</si>
  <si>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</si>
  <si>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</si>
  <si>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</si>
  <si>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</si>
  <si>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</si>
  <si>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</si>
  <si>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</si>
  <si>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</si>
  <si>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</si>
  <si>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</si>
  <si>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</si>
  <si>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</si>
  <si>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</si>
  <si>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</si>
  <si>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</si>
  <si>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</si>
  <si>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</si>
  <si>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</si>
  <si>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</si>
  <si>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</si>
  <si>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</si>
  <si>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</si>
  <si>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</si>
  <si>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</si>
  <si>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</si>
  <si>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</si>
  <si>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</si>
  <si>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</si>
  <si>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</si>
  <si>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</si>
  <si>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</si>
  <si>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</si>
  <si>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</si>
  <si>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</si>
  <si>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</si>
  <si>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</si>
  <si>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</si>
  <si>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</si>
  <si>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</si>
  <si>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</si>
  <si>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</si>
  <si>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</si>
  <si>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</si>
  <si>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</si>
  <si>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</si>
  <si>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</si>
  <si>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</si>
  <si>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</si>
  <si>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</si>
  <si>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</si>
  <si>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</si>
  <si>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</si>
  <si>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</si>
  <si>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</si>
  <si>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</si>
  <si>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</si>
  <si>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</si>
  <si>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</si>
  <si>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</si>
  <si>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</si>
  <si>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</si>
  <si>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</si>
  <si>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</si>
  <si>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</si>
  <si>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</si>
  <si>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</si>
  <si>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</si>
  <si>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</si>
  <si>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</si>
  <si>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</si>
  <si>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</si>
  <si>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</si>
  <si>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</si>
  <si>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</si>
  <si>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</si>
  <si>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</si>
  <si>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</si>
  <si>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</si>
  <si>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</si>
  <si>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</si>
  <si>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</si>
  <si>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</si>
  <si>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</si>
  <si>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</si>
  <si>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</si>
  <si>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</si>
  <si>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</si>
  <si>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</si>
  <si>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</si>
  <si>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</si>
  <si>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</si>
  <si>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</si>
  <si>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</si>
  <si>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</si>
  <si>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</si>
  <si>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</si>
  <si>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</si>
  <si>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</si>
  <si>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</si>
  <si>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</si>
  <si>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</si>
  <si>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</si>
  <si>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</si>
  <si>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</si>
  <si>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</si>
  <si>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</si>
  <si>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</si>
  <si>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</si>
  <si>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</si>
  <si>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</si>
  <si>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</si>
  <si>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</si>
  <si>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</si>
  <si>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</si>
  <si>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</si>
  <si>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</si>
  <si>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</si>
  <si>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</si>
  <si>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</si>
  <si>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</si>
  <si>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</si>
  <si>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</si>
  <si>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</si>
  <si>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</si>
  <si>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</si>
  <si>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</si>
  <si>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</si>
  <si>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</si>
  <si>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</si>
  <si>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</si>
  <si>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</si>
  <si>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</si>
  <si>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</si>
  <si>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</si>
  <si>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</si>
  <si>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</si>
  <si>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</si>
  <si>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</si>
  <si>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</si>
  <si>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</si>
  <si>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</si>
  <si>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</si>
  <si>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</si>
  <si>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</si>
  <si>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</si>
  <si>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</si>
  <si>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</si>
  <si>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</si>
  <si>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</si>
  <si>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</si>
  <si>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</si>
  <si>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</si>
  <si>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</si>
  <si>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</si>
  <si>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</si>
  <si>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</si>
  <si>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</si>
  <si>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</si>
  <si>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</si>
  <si>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</si>
  <si>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</si>
  <si>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</si>
  <si>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</si>
  <si>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</si>
  <si>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</si>
  <si>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</si>
  <si>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</si>
  <si>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</si>
  <si>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</si>
  <si>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</si>
  <si>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</si>
  <si>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</si>
  <si>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</si>
  <si>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</si>
  <si>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</si>
  <si>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</si>
  <si>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</si>
  <si>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</si>
  <si>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</si>
  <si>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</si>
  <si>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</si>
  <si>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</si>
  <si>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</si>
  <si>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</si>
  <si>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</si>
  <si>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</si>
  <si>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</si>
  <si>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</si>
  <si>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</si>
  <si>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</si>
  <si>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</si>
  <si>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</si>
  <si>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</si>
  <si>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</si>
  <si>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</si>
  <si>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</si>
  <si>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</si>
  <si>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</si>
  <si>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</si>
  <si>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</si>
  <si>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</si>
  <si>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</si>
  <si>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</si>
  <si>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</si>
  <si>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</si>
  <si>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</si>
  <si>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</si>
  <si>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</si>
  <si>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</si>
  <si>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</si>
  <si>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</si>
  <si>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</si>
  <si>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</si>
  <si>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</si>
  <si>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</si>
  <si>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</si>
  <si>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</si>
  <si>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</si>
  <si>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</si>
  <si>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</si>
  <si>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</si>
  <si>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</si>
  <si>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</si>
  <si>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</si>
  <si>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</si>
  <si>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</si>
  <si>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</si>
  <si>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</si>
  <si>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</si>
  <si>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</si>
  <si>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</si>
  <si>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</si>
  <si>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</si>
  <si>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</si>
  <si>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</si>
  <si>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</si>
  <si>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</si>
  <si>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</si>
  <si>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</si>
  <si>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</si>
  <si>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</si>
  <si>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</si>
  <si>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</si>
  <si>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</si>
  <si>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</si>
  <si>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</si>
  <si>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</si>
  <si>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</si>
  <si>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</si>
  <si>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</si>
  <si>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</si>
  <si>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</si>
  <si>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</si>
  <si>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</si>
  <si>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</si>
  <si>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</si>
  <si>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</si>
  <si>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</si>
  <si>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</si>
  <si>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</si>
  <si>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</si>
  <si>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</si>
  <si>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</si>
  <si>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</si>
  <si>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</si>
  <si>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</si>
  <si>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</si>
  <si>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</si>
  <si>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</si>
  <si>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</si>
  <si>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</si>
  <si>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</si>
  <si>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</si>
  <si>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</si>
  <si>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</si>
  <si>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</si>
  <si>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</si>
  <si>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</si>
  <si>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</si>
  <si>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</si>
  <si>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</si>
  <si>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</si>
  <si>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</si>
  <si>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</si>
  <si>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</si>
  <si>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</si>
  <si>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</si>
  <si>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</si>
  <si>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</si>
  <si>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</si>
  <si>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</si>
  <si>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</si>
  <si>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</si>
  <si>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</si>
  <si>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</si>
  <si>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</si>
  <si>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</si>
  <si>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</si>
  <si>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</si>
  <si>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</si>
  <si>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</si>
  <si>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</si>
  <si>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</si>
  <si>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</si>
  <si>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</si>
  <si>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</si>
  <si>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</si>
  <si>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</si>
  <si>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</si>
  <si>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</si>
  <si>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</si>
  <si>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</si>
  <si>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</si>
  <si>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</si>
  <si>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</si>
  <si>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</si>
  <si>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</si>
  <si>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</si>
  <si>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</si>
  <si>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</si>
  <si>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</si>
  <si>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</si>
  <si>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</si>
  <si>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</si>
  <si>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</si>
  <si>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</si>
  <si>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</si>
  <si>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</si>
  <si>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</si>
  <si>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</si>
  <si>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</si>
  <si>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</si>
  <si>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</si>
  <si>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</si>
  <si>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</si>
  <si>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</si>
  <si>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</si>
  <si>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</si>
  <si>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</si>
  <si>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</si>
  <si>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</si>
  <si>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</si>
  <si>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</si>
  <si>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</si>
  <si>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</si>
  <si>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</si>
  <si>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</si>
  <si>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</si>
  <si>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</si>
  <si>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</si>
  <si>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</si>
  <si>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</si>
  <si>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</si>
  <si>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</si>
  <si>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</si>
  <si>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</si>
  <si>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</si>
  <si>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</si>
  <si>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</si>
  <si>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</si>
  <si>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</si>
  <si>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</si>
  <si>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</si>
  <si>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</si>
  <si>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</si>
  <si>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</si>
  <si>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</si>
  <si>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</si>
  <si>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</si>
  <si>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</si>
  <si>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</si>
  <si>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</si>
  <si>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</si>
  <si>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</si>
  <si>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</si>
  <si>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</si>
  <si>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</si>
  <si>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</si>
  <si>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</si>
  <si>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</si>
  <si>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</si>
  <si>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</si>
  <si>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</si>
  <si>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</si>
  <si>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</si>
  <si>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</si>
  <si>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</si>
  <si>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</si>
  <si>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</si>
  <si>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</si>
  <si>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</si>
  <si>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</si>
  <si>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</si>
  <si>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</si>
  <si>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</si>
  <si>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</si>
  <si>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</si>
  <si>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</si>
  <si>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</si>
  <si>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</si>
  <si>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</si>
  <si>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</si>
  <si>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</si>
  <si>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</si>
  <si>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</si>
  <si>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</si>
  <si>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</si>
  <si>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</si>
  <si>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</si>
  <si>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</si>
  <si>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</si>
  <si>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</si>
  <si>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</si>
  <si>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</si>
  <si>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</si>
  <si>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</si>
  <si>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</si>
  <si>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</si>
  <si>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</si>
  <si>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</si>
  <si>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</si>
  <si>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</si>
  <si>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</si>
  <si>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</si>
  <si>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</si>
  <si>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</si>
  <si>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</si>
  <si>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</si>
  <si>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</si>
  <si>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</si>
  <si>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</si>
  <si>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</si>
  <si>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</si>
  <si>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</si>
  <si>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</si>
  <si>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</si>
  <si>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</si>
  <si>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</si>
  <si>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</si>
  <si>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</si>
  <si>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</si>
  <si>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</si>
  <si>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</si>
  <si>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</si>
  <si>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</si>
  <si>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</si>
  <si>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</si>
  <si>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</si>
  <si>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</si>
  <si>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</si>
  <si>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</si>
  <si>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</si>
  <si>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</si>
  <si>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</si>
  <si>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</si>
  <si>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</si>
  <si>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</si>
  <si>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</si>
  <si>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</si>
  <si>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</si>
  <si>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</si>
  <si>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</si>
  <si>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</si>
  <si>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</si>
  <si>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</si>
  <si>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</si>
  <si>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</si>
  <si>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</si>
  <si>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</si>
  <si>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</si>
  <si>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</si>
  <si>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</si>
  <si>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</si>
  <si>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</si>
  <si>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</si>
  <si>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</si>
  <si>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</si>
  <si>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</si>
  <si>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</si>
  <si>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</si>
  <si>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</si>
  <si>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</si>
  <si>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</si>
  <si>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</si>
  <si>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</si>
  <si>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</si>
  <si>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</si>
  <si>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</si>
  <si>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</si>
  <si>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</si>
  <si>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</si>
  <si>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</si>
  <si>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</si>
  <si>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</si>
  <si>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</si>
  <si>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</si>
  <si>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</si>
  <si>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</si>
  <si>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</si>
  <si>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</si>
  <si>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</si>
  <si>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</si>
  <si>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</si>
  <si>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</si>
  <si>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</si>
  <si>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</si>
  <si>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</si>
  <si>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</si>
  <si>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</si>
  <si>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</si>
  <si>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</si>
  <si>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</si>
  <si>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</si>
  <si>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</si>
  <si>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</si>
  <si>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</si>
  <si>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</si>
  <si>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</si>
  <si>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</si>
  <si>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</si>
  <si>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</si>
  <si>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</si>
  <si>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</si>
  <si>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</si>
  <si>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</si>
  <si>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</si>
  <si>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</si>
  <si>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</si>
  <si>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</si>
  <si>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</si>
  <si>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</si>
  <si>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</si>
  <si>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</si>
  <si>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</si>
  <si>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</si>
  <si>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</si>
  <si>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</si>
  <si>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</si>
  <si>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</si>
  <si>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</si>
  <si>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</si>
  <si>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</si>
  <si>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</si>
  <si>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</si>
  <si>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</si>
  <si>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</si>
  <si>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</si>
  <si>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</si>
  <si>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</si>
  <si>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</si>
  <si>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</si>
  <si>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</si>
  <si>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</si>
  <si>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</si>
  <si>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</si>
  <si>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</si>
  <si>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</si>
  <si>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</si>
  <si>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</si>
  <si>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</si>
  <si>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</si>
  <si>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</si>
  <si>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</si>
  <si>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</si>
  <si>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</si>
  <si>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</si>
  <si>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</si>
  <si>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</si>
  <si>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</si>
  <si>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</si>
  <si>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</si>
  <si>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</si>
  <si>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</si>
  <si>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</si>
  <si>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</si>
  <si>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</si>
  <si>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</si>
  <si>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</si>
  <si>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</si>
  <si>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</si>
  <si>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</si>
  <si>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</si>
  <si>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</si>
  <si>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</si>
  <si>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</si>
  <si>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</si>
  <si>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</si>
  <si>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</si>
  <si>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</si>
  <si>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</si>
  <si>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</si>
  <si>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</si>
  <si>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</si>
  <si>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</si>
  <si>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</si>
  <si>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</si>
  <si>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</si>
  <si>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</si>
  <si>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</si>
  <si>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</si>
  <si>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</si>
  <si>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</si>
  <si>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</si>
  <si>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</si>
  <si>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</si>
  <si>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</si>
  <si>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</si>
  <si>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</si>
  <si>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</si>
  <si>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</si>
  <si>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</si>
  <si>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</si>
  <si>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</si>
  <si>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</si>
  <si>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</si>
  <si>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</si>
  <si>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</si>
  <si>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</si>
  <si>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</si>
  <si>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</si>
  <si>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</si>
  <si>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</si>
  <si>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</si>
  <si>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</si>
  <si>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</si>
  <si>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</si>
  <si>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</si>
  <si>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</si>
  <si>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</si>
  <si>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</si>
  <si>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</si>
  <si>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</si>
  <si>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</si>
  <si>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</si>
  <si>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</si>
  <si>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</si>
  <si>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</si>
  <si>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</si>
  <si>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</si>
  <si>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</si>
  <si>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</si>
  <si>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</si>
  <si>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</si>
  <si>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</si>
  <si>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</si>
  <si>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</si>
  <si>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</si>
  <si>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</si>
  <si>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</si>
  <si>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</si>
  <si>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</si>
  <si>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</si>
  <si>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</si>
  <si>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</si>
  <si>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</si>
  <si>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</si>
  <si>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</si>
  <si>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</si>
  <si>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</si>
  <si>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</si>
  <si>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</si>
  <si>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</si>
  <si>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</si>
  <si>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</si>
  <si>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</si>
  <si>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</si>
  <si>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</si>
  <si>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</si>
  <si>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</si>
  <si>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</si>
  <si>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</si>
  <si>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</si>
  <si>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</si>
  <si>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</si>
  <si>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</si>
  <si>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</si>
  <si>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</si>
  <si>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</si>
  <si>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</si>
  <si>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</si>
  <si>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</si>
  <si>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</si>
  <si>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</si>
  <si>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</si>
  <si>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</si>
  <si>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</si>
  <si>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</si>
  <si>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</si>
  <si>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</si>
  <si>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</si>
  <si>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</si>
  <si>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</si>
  <si>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</si>
  <si>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</si>
  <si>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</si>
  <si>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</si>
  <si>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</si>
  <si>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</si>
  <si>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</si>
  <si>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</si>
  <si>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</si>
  <si>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</si>
  <si>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</si>
  <si>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</si>
  <si>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</si>
  <si>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</si>
  <si>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</si>
  <si>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</si>
  <si>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</si>
  <si>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</si>
  <si>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</si>
  <si>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</si>
  <si>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</si>
  <si>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</si>
  <si>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</si>
  <si>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</si>
  <si>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</si>
  <si>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</si>
  <si>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</si>
  <si>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</si>
  <si>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</si>
  <si>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</si>
  <si>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</si>
  <si>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</si>
  <si>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</si>
  <si>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</si>
  <si>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</si>
  <si>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</si>
  <si>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</si>
  <si>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</si>
  <si>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</si>
  <si>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</si>
  <si>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</si>
  <si>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</si>
  <si>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</si>
  <si>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</si>
  <si>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</si>
  <si>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</si>
  <si>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</si>
  <si>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</si>
  <si>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</si>
  <si>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</si>
  <si>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</si>
  <si>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</si>
  <si>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</si>
  <si>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</si>
  <si>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</si>
  <si>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</si>
  <si>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</si>
  <si>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</si>
  <si>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</si>
  <si>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</si>
  <si>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</si>
  <si>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</si>
  <si>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</si>
  <si>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</si>
  <si>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</si>
  <si>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</si>
  <si>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</si>
  <si>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</si>
  <si>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</si>
  <si>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</si>
  <si>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</si>
  <si>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</si>
  <si>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</si>
  <si>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</si>
  <si>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</si>
  <si>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</si>
  <si>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</si>
  <si>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</si>
  <si>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</si>
  <si>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</si>
  <si>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</si>
  <si>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</si>
  <si>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</si>
  <si>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</si>
  <si>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</si>
  <si>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</si>
  <si>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</si>
  <si>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</si>
  <si>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</si>
  <si>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</si>
  <si>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</si>
  <si>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</si>
  <si>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</si>
  <si>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</si>
  <si>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</si>
  <si>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</si>
  <si>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</si>
  <si>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</si>
  <si>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</si>
  <si>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</si>
  <si>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</si>
  <si>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</si>
  <si>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</si>
  <si>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</si>
  <si>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</si>
  <si>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</si>
  <si>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</si>
  <si>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</si>
  <si>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</si>
  <si>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</si>
  <si>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</si>
  <si>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</si>
  <si>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</si>
  <si>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</si>
  <si>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</si>
  <si>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</si>
  <si>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</si>
  <si>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</si>
  <si>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</si>
  <si>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</si>
  <si>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</si>
  <si>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</si>
  <si>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</si>
  <si>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</si>
  <si>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</si>
  <si>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</si>
  <si>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</si>
  <si>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</si>
  <si>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</si>
  <si>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</si>
  <si>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</si>
  <si>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</si>
  <si>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</si>
  <si>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</si>
  <si>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</si>
  <si>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</si>
  <si>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</si>
  <si>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</si>
  <si>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</si>
  <si>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</si>
  <si>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</si>
  <si>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</si>
  <si>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</si>
  <si>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</si>
  <si>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</si>
  <si>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</si>
  <si>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</si>
  <si>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</si>
  <si>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</si>
  <si>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</si>
  <si>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</si>
  <si>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</si>
  <si>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</si>
  <si>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</si>
  <si>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</si>
  <si>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</si>
  <si>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</si>
  <si>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</si>
  <si>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</si>
  <si>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</si>
  <si>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</si>
  <si>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</si>
  <si>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</si>
  <si>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</si>
  <si>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</si>
  <si>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</si>
  <si>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</si>
  <si>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</si>
  <si>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</si>
  <si>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</si>
  <si>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</si>
  <si>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</si>
  <si>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</si>
  <si>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</si>
  <si>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</si>
  <si>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</si>
  <si>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</si>
  <si>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</si>
  <si>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</si>
  <si>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</si>
  <si>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</si>
  <si>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</si>
  <si>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</si>
  <si>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</si>
  <si>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</si>
  <si>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</si>
  <si>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</si>
  <si>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</si>
  <si>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</si>
  <si>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</si>
  <si>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</si>
  <si>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</si>
  <si>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</si>
  <si>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</si>
  <si>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</si>
  <si>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</si>
  <si>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</si>
  <si>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</si>
  <si>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</si>
  <si>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</si>
  <si>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</si>
  <si>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</si>
  <si>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</si>
  <si>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</si>
  <si>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</si>
  <si>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</si>
  <si>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</si>
  <si>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</si>
  <si>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</si>
  <si>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</si>
  <si>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</si>
  <si>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</si>
  <si>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</si>
  <si>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</si>
  <si>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</si>
  <si>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</si>
  <si>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</si>
  <si>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</si>
  <si>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</si>
  <si>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</si>
  <si>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</si>
  <si>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</si>
  <si>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</si>
  <si>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</si>
  <si>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</si>
  <si>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</si>
  <si>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</si>
  <si>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</si>
  <si>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</si>
  <si>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</si>
  <si>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</si>
  <si>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</si>
  <si>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</si>
  <si>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</si>
  <si>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</si>
  <si>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</si>
  <si>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</si>
  <si>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</si>
  <si>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</si>
  <si>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</si>
  <si>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</si>
  <si>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</si>
  <si>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</si>
  <si>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</si>
  <si>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</si>
  <si>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</si>
  <si>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</si>
  <si>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</si>
  <si>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</si>
  <si>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</si>
  <si>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</si>
  <si>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</si>
  <si>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</si>
  <si>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</si>
  <si>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</si>
  <si>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</si>
  <si>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</si>
  <si>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</si>
  <si>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</si>
  <si>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</si>
  <si>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</si>
  <si>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</si>
  <si>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</si>
  <si>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</si>
  <si>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</si>
  <si>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</si>
  <si>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</si>
  <si>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</si>
  <si>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</si>
  <si>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</si>
  <si>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</si>
  <si>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</si>
  <si>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</si>
  <si>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</si>
  <si>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</si>
  <si>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</si>
  <si>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</si>
  <si>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</si>
  <si>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</si>
  <si>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</si>
  <si>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</si>
  <si>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</si>
  <si>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</si>
  <si>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</si>
  <si>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</si>
  <si>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</si>
  <si>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</si>
  <si>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</si>
  <si>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</si>
  <si>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</si>
  <si>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</si>
  <si>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</si>
  <si>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</si>
  <si>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</si>
  <si>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</si>
  <si>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</si>
  <si>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</si>
  <si>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</si>
  <si>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</si>
  <si>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</si>
  <si>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</si>
  <si>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</si>
  <si>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</si>
  <si>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</si>
  <si>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</si>
  <si>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</si>
  <si>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</si>
  <si>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</si>
  <si>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</si>
  <si>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</si>
  <si>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</si>
  <si>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</si>
  <si>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</si>
  <si>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</si>
  <si>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</si>
  <si>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</si>
  <si>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</si>
  <si>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</si>
  <si>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</si>
  <si>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</si>
  <si>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</si>
  <si>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</si>
  <si>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</si>
  <si>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</si>
  <si>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</si>
  <si>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</si>
  <si>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</si>
  <si>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</si>
  <si>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</si>
  <si>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</si>
  <si>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</si>
  <si>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</si>
  <si>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</si>
  <si>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</si>
  <si>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</si>
  <si>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</si>
  <si>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</si>
  <si>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</si>
  <si>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</si>
  <si>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</si>
  <si>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</si>
  <si>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</si>
  <si>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</si>
  <si>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</si>
  <si>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</si>
  <si>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</si>
  <si>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</si>
  <si>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</si>
  <si>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</si>
  <si>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</si>
  <si>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</si>
  <si>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</si>
  <si>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</si>
  <si>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</si>
  <si>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</si>
  <si>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</si>
  <si>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</si>
  <si>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</si>
  <si>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</si>
  <si>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</si>
  <si>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</si>
  <si>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</si>
  <si>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</si>
  <si>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</si>
  <si>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</si>
  <si>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</si>
  <si>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</si>
  <si>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</si>
  <si>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</si>
  <si>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</si>
  <si>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</si>
  <si>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</si>
  <si>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</si>
  <si>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</si>
  <si>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</si>
  <si>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</si>
  <si>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</si>
  <si>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</si>
  <si>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</si>
  <si>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</si>
  <si>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</si>
  <si>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</si>
  <si>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</si>
  <si>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</si>
  <si>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</si>
  <si>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</si>
  <si>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</si>
  <si>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</si>
  <si>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</si>
  <si>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</si>
  <si>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</si>
  <si>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</si>
  <si>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</si>
  <si>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</si>
  <si>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</si>
  <si>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</si>
  <si>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</si>
  <si>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</si>
  <si>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</si>
  <si>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</si>
  <si>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</si>
  <si>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</si>
  <si>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</si>
  <si>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</si>
  <si>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</si>
  <si>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</si>
  <si>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</si>
  <si>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</si>
  <si>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</si>
  <si>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</si>
  <si>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</si>
  <si>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</si>
  <si>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</si>
  <si>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</si>
  <si>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</si>
  <si>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</si>
  <si>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</si>
  <si>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</si>
  <si>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</si>
  <si>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</si>
  <si>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</si>
  <si>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</si>
  <si>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</si>
  <si>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</si>
  <si>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</si>
  <si>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</si>
  <si>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</si>
  <si>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</si>
  <si>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</si>
  <si>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</si>
  <si>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</si>
  <si>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</si>
  <si>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</si>
  <si>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</si>
  <si>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</si>
  <si>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</si>
  <si>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</si>
  <si>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</si>
  <si>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</si>
  <si>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</si>
  <si>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</si>
  <si>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</si>
  <si>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</si>
  <si>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</si>
  <si>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</si>
  <si>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</si>
  <si>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</si>
  <si>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</si>
  <si>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</si>
  <si>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</si>
  <si>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</si>
  <si>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</si>
  <si>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</si>
  <si>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</si>
  <si>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</si>
  <si>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</si>
  <si>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</si>
  <si>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</si>
  <si>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</si>
  <si>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</si>
  <si>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</si>
  <si>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</si>
  <si>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</si>
  <si>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</si>
  <si>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</si>
  <si>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</si>
  <si>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</si>
  <si>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</si>
  <si>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</si>
  <si>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</si>
  <si>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</si>
  <si>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</si>
  <si>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</si>
  <si>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</si>
  <si>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</si>
  <si>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</si>
  <si>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</si>
  <si>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</si>
  <si>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</si>
  <si>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</si>
  <si>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</si>
  <si>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</si>
  <si>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</si>
  <si>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</si>
  <si>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</si>
  <si>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</si>
  <si>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</si>
  <si>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</si>
  <si>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</si>
  <si>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</si>
  <si>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</si>
  <si>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</si>
  <si>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</si>
  <si>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</si>
  <si>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</si>
  <si>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</si>
  <si>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</si>
  <si>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</si>
  <si>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</si>
  <si>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</si>
  <si>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</si>
  <si>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</si>
  <si>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</si>
  <si>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</si>
  <si>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</si>
  <si>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</si>
  <si>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</si>
  <si>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</si>
  <si>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</si>
  <si>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</si>
  <si>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</si>
  <si>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</si>
  <si>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</si>
  <si>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</si>
  <si>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</si>
  <si>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</si>
  <si>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</si>
  <si>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</si>
  <si>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</si>
  <si>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</si>
  <si>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</si>
  <si>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</si>
  <si>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</si>
  <si>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</si>
  <si>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</si>
  <si>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</si>
  <si>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</si>
  <si>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</si>
  <si>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</si>
  <si>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</si>
  <si>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</si>
  <si>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</si>
  <si>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</si>
  <si>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</si>
  <si>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</si>
  <si>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</si>
  <si>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</si>
  <si>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</si>
  <si>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</si>
  <si>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</si>
  <si>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</si>
  <si>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</si>
  <si>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</si>
  <si>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</si>
  <si>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</si>
  <si>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</si>
  <si>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</si>
  <si>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</si>
  <si>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</si>
  <si>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</si>
  <si>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</si>
  <si>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</si>
  <si>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</si>
  <si>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</si>
  <si>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</si>
  <si>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</si>
  <si>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</si>
  <si>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</si>
  <si>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</si>
  <si>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</si>
  <si>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</si>
  <si>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</si>
  <si>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</si>
  <si>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</si>
  <si>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</si>
  <si>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</si>
  <si>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</si>
  <si>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</si>
  <si>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</si>
  <si>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</si>
  <si>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</si>
  <si>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</si>
  <si>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</si>
  <si>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</si>
  <si>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</si>
  <si>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</si>
  <si>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</si>
  <si>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</si>
  <si>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</si>
  <si>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</si>
  <si>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</si>
  <si>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</si>
  <si>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</si>
  <si>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</si>
  <si>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</si>
  <si>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</si>
  <si>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</si>
  <si>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</si>
  <si>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</si>
  <si>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</si>
  <si>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</si>
  <si>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</si>
  <si>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</si>
  <si>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</si>
  <si>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</si>
  <si>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</si>
  <si>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</si>
  <si>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</si>
  <si>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</si>
  <si>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</si>
  <si>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</si>
  <si>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</si>
  <si>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</si>
  <si>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</si>
  <si>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</si>
  <si>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</si>
  <si>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</si>
  <si>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</si>
  <si>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</si>
  <si>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</si>
  <si>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</si>
  <si>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</si>
  <si>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</si>
  <si>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</si>
  <si>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</si>
  <si>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</si>
  <si>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</si>
  <si>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</si>
  <si>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</si>
  <si>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</si>
  <si>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</si>
  <si>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</si>
  <si>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</si>
  <si>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</si>
  <si>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</si>
  <si>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</si>
  <si>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</si>
  <si>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</si>
  <si>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</si>
  <si>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</si>
  <si>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</si>
  <si>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</si>
  <si>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</si>
  <si>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</si>
  <si>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</si>
  <si>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</si>
  <si>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</si>
  <si>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</si>
  <si>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</si>
  <si>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</si>
  <si>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</si>
  <si>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</si>
  <si>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</si>
  <si>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</si>
  <si>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</si>
  <si>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</si>
  <si>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</si>
  <si>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</si>
  <si>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</si>
  <si>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</si>
  <si>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</si>
  <si>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</si>
  <si>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</si>
  <si>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</si>
  <si>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</si>
  <si>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</si>
  <si>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</si>
  <si>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</si>
  <si>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</si>
  <si>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</si>
  <si>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</si>
  <si>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</si>
  <si>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</si>
  <si>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</si>
  <si>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</si>
  <si>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</si>
  <si>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</si>
  <si>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</si>
  <si>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</si>
  <si>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</si>
  <si>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</si>
  <si>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</si>
  <si>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</si>
  <si>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</si>
  <si>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</si>
  <si>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</si>
  <si>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</si>
  <si>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</si>
  <si>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</si>
  <si>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</si>
  <si>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</si>
  <si>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</si>
  <si>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</si>
  <si>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</si>
  <si>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</si>
  <si>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</si>
  <si>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</si>
  <si>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</si>
  <si>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</si>
  <si>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</si>
  <si>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</si>
  <si>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</si>
  <si>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</si>
  <si>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</si>
  <si>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</si>
  <si>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</si>
  <si>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</si>
  <si>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</si>
  <si>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</si>
  <si>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</si>
  <si>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</si>
  <si>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</si>
  <si>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</si>
  <si>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</si>
  <si>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</si>
  <si>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</si>
  <si>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</si>
  <si>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</si>
  <si>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</si>
  <si>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</si>
  <si>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</si>
  <si>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</si>
  <si>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</si>
  <si>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</si>
  <si>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</si>
  <si>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</si>
  <si>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</si>
  <si>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</si>
  <si>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</si>
  <si>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</si>
  <si>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</si>
  <si>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</si>
  <si>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</si>
  <si>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</si>
  <si>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</si>
  <si>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</si>
  <si>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</si>
  <si>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</si>
  <si>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</si>
  <si>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</si>
  <si>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</si>
  <si>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</si>
  <si>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</si>
  <si>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</si>
  <si>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</si>
  <si>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</si>
  <si>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</si>
  <si>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</si>
  <si>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</si>
  <si>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</si>
  <si>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</si>
  <si>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</si>
  <si>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</si>
  <si>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</si>
  <si>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</si>
  <si>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</si>
  <si>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</si>
  <si>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</si>
  <si>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</si>
  <si>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</si>
  <si>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</si>
  <si>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</si>
  <si>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</si>
  <si>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</si>
  <si>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</si>
  <si>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</si>
  <si>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</si>
  <si>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</si>
  <si>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</si>
  <si>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</si>
  <si>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</si>
  <si>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</si>
  <si>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</si>
  <si>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</si>
  <si>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</si>
  <si>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</si>
  <si>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</si>
  <si>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</si>
  <si>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</si>
  <si>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</si>
  <si>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</si>
  <si>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</si>
  <si>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</si>
  <si>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</si>
  <si>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</si>
  <si>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</si>
  <si>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</si>
  <si>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</si>
  <si>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</si>
  <si>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</si>
  <si>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</si>
  <si>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</si>
  <si>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</si>
  <si>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</si>
  <si>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</si>
  <si>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</si>
  <si>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</si>
  <si>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</si>
  <si>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</si>
  <si>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</si>
  <si>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</si>
  <si>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</si>
  <si>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</si>
  <si>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</si>
  <si>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</si>
  <si>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</si>
  <si>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</si>
  <si>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</si>
  <si>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</si>
  <si>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</si>
  <si>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</si>
  <si>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</si>
  <si>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</si>
  <si>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</si>
  <si>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</si>
  <si>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</si>
  <si>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</si>
  <si>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</si>
  <si>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</si>
  <si>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</si>
  <si>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</si>
  <si>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</si>
  <si>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</si>
  <si>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</si>
  <si>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</si>
  <si>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</si>
  <si>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</si>
  <si>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</si>
  <si>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</si>
  <si>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</si>
  <si>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</si>
  <si>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</si>
  <si>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</si>
  <si>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</si>
  <si>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</si>
  <si>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</si>
  <si>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</si>
  <si>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</si>
  <si>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</si>
  <si>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</si>
  <si>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</si>
  <si>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</si>
  <si>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</si>
  <si>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</si>
  <si>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</si>
  <si>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</si>
  <si>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</si>
  <si>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</si>
  <si>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</si>
  <si>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</si>
  <si>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</si>
  <si>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</si>
  <si>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</si>
  <si>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</si>
  <si>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</si>
  <si>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</si>
  <si>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</si>
  <si>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</si>
  <si>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</si>
  <si>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</si>
  <si>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</si>
  <si>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</si>
  <si>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</si>
  <si>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</si>
  <si>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</si>
  <si>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</si>
  <si>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</si>
  <si>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</si>
  <si>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</si>
  <si>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</si>
  <si>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</si>
  <si>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</si>
  <si>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</si>
  <si>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</si>
  <si>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</si>
  <si>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</si>
  <si>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</si>
  <si>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</si>
  <si>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</si>
  <si>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</si>
  <si>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</si>
  <si>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</si>
  <si>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</si>
  <si>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</si>
  <si>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</si>
  <si>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</si>
  <si>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</si>
  <si>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</si>
  <si>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</si>
  <si>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</si>
  <si>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</si>
  <si>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</si>
  <si>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</si>
  <si>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</si>
  <si>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</si>
  <si>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</si>
  <si>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</si>
  <si>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</si>
  <si>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</si>
  <si>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</si>
  <si>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</si>
  <si>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</si>
  <si>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</si>
  <si>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</si>
  <si>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</si>
  <si>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</si>
  <si>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</si>
  <si>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</si>
  <si>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</si>
  <si>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</si>
  <si>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</si>
  <si>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</si>
  <si>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</si>
  <si>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</si>
  <si>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</si>
  <si>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</si>
  <si>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</si>
  <si>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</si>
  <si>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</si>
  <si>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</si>
  <si>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</si>
  <si>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</si>
  <si>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</si>
  <si>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</si>
  <si>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</si>
  <si>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</si>
  <si>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</si>
  <si>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</si>
  <si>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</si>
  <si>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</si>
  <si>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</si>
  <si>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</si>
  <si>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</si>
  <si>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</si>
  <si>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</si>
  <si>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</si>
  <si>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</si>
  <si>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</si>
  <si>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</si>
  <si>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</si>
  <si>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</si>
  <si>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</si>
  <si>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</si>
  <si>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</si>
  <si>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</si>
  <si>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</si>
  <si>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</si>
  <si>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</si>
  <si>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</si>
  <si>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</si>
  <si>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</si>
  <si>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</si>
  <si>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</si>
  <si>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</si>
  <si>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</si>
  <si>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</si>
  <si>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</si>
  <si>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</si>
  <si>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</si>
  <si>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</si>
  <si>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</si>
  <si>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</si>
  <si>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</si>
  <si>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</si>
  <si>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</si>
  <si>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</si>
  <si>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</si>
  <si>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</si>
  <si>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</si>
  <si>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</si>
  <si>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</si>
  <si>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</si>
  <si>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</si>
  <si>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</si>
  <si>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</si>
  <si>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</si>
  <si>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</si>
  <si>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</si>
  <si>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</si>
  <si>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</si>
  <si>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</si>
  <si>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</si>
  <si>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</si>
  <si>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</si>
  <si>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</si>
  <si>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</si>
  <si>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</si>
  <si>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</si>
  <si>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</si>
  <si>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</si>
  <si>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</si>
  <si>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</si>
  <si>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</si>
  <si>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</si>
  <si>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</si>
  <si>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</si>
  <si>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</si>
  <si>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</si>
  <si>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</si>
  <si>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</si>
  <si>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</si>
  <si>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</si>
  <si>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</si>
  <si>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</si>
  <si>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</si>
  <si>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</si>
  <si>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</si>
  <si>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</si>
  <si>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</si>
  <si>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</si>
  <si>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</si>
  <si>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</si>
  <si>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</si>
  <si>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</si>
  <si>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</si>
  <si>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</si>
  <si>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</si>
  <si>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</si>
  <si>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</si>
  <si>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</si>
  <si>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</si>
  <si>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</si>
  <si>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</si>
  <si>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</si>
  <si>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</si>
  <si>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</si>
  <si>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</si>
  <si>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</si>
  <si>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</si>
  <si>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</si>
  <si>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</si>
  <si>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</si>
  <si>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</si>
  <si>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</si>
  <si>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</si>
  <si>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</si>
  <si>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</si>
  <si>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</si>
  <si>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</si>
  <si>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</si>
  <si>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</si>
  <si>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</si>
  <si>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</si>
  <si>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</si>
  <si>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</si>
  <si>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</si>
  <si>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</si>
  <si>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</si>
  <si>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</si>
  <si>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</si>
  <si>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</si>
  <si>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</si>
  <si>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</si>
  <si>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</si>
  <si>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</si>
  <si>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</si>
  <si>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</si>
  <si>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</si>
  <si>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</si>
  <si>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</si>
  <si>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</si>
  <si>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</si>
  <si>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</si>
  <si>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</si>
  <si>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</si>
  <si>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</si>
  <si>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</si>
  <si>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</si>
  <si>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</si>
  <si>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</si>
  <si>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</si>
  <si>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</si>
  <si>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</si>
  <si>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</si>
  <si>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</si>
  <si>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</si>
  <si>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</si>
  <si>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</si>
  <si>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</si>
  <si>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</si>
  <si>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</si>
  <si>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</si>
  <si>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</si>
  <si>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</si>
  <si>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</si>
  <si>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</si>
  <si>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</si>
  <si>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</si>
  <si>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</si>
  <si>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</si>
  <si>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</si>
  <si>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</si>
  <si>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</si>
  <si>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</si>
  <si>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</si>
  <si>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</si>
  <si>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</si>
  <si>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</si>
  <si>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</si>
  <si>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</si>
  <si>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</si>
  <si>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</si>
  <si>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</si>
  <si>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</si>
  <si>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</si>
  <si>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</si>
  <si>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</si>
  <si>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</si>
  <si>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</si>
  <si>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</si>
  <si>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</si>
  <si>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</si>
  <si>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</si>
  <si>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</si>
  <si>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</si>
  <si>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</si>
  <si>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</si>
  <si>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</si>
  <si>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</si>
  <si>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</si>
  <si>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</si>
  <si>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</si>
  <si>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</si>
  <si>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</si>
  <si>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</si>
  <si>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</si>
  <si>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</si>
  <si>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</si>
  <si>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</si>
  <si>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</si>
  <si>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</si>
  <si>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</si>
  <si>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</si>
  <si>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</si>
  <si>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</si>
  <si>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</si>
  <si>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</si>
  <si>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</si>
  <si>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</si>
  <si>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</si>
  <si>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</si>
  <si>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</si>
  <si>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</si>
  <si>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</si>
  <si>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</si>
  <si>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</si>
  <si>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</si>
  <si>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</si>
  <si>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</si>
  <si>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</si>
  <si>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</si>
  <si>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</si>
  <si>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</si>
  <si>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</si>
  <si>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</si>
  <si>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</si>
  <si>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</si>
  <si>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</si>
  <si>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</si>
  <si>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</si>
  <si>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</si>
  <si>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</si>
  <si>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</si>
  <si>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</si>
  <si>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</si>
  <si>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</si>
  <si>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</si>
  <si>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</si>
  <si>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</si>
  <si>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</si>
  <si>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</si>
  <si>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</si>
  <si>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</si>
  <si>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</si>
  <si>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</si>
  <si>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</si>
  <si>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</si>
  <si>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</si>
  <si>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</si>
  <si>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</si>
  <si>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</si>
  <si>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</si>
  <si>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</si>
  <si>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</si>
  <si>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</si>
  <si>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</si>
  <si>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</si>
  <si>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</si>
  <si>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</si>
  <si>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</si>
  <si>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</si>
  <si>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</si>
  <si>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</si>
  <si>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</si>
  <si>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</si>
  <si>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</si>
  <si>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</si>
  <si>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</si>
  <si>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</si>
  <si>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</si>
  <si>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</si>
  <si>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</si>
  <si>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</si>
  <si>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</si>
  <si>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</si>
  <si>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</si>
  <si>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</si>
  <si>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</si>
  <si>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</si>
  <si>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</si>
  <si>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</si>
  <si>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</si>
  <si>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</si>
  <si>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</si>
  <si>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</si>
  <si>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</si>
  <si>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</si>
  <si>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</si>
  <si>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</si>
  <si>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</si>
  <si>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</si>
  <si>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</si>
  <si>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</si>
  <si>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</si>
  <si>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</si>
  <si>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</si>
  <si>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</si>
  <si>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</si>
  <si>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</si>
  <si>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</si>
  <si>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</si>
  <si>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</si>
  <si>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</si>
  <si>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</si>
  <si>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</si>
  <si>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</si>
  <si>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</si>
  <si>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</si>
  <si>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</si>
  <si>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</si>
  <si>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</si>
  <si>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</si>
  <si>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</si>
  <si>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</si>
  <si>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</si>
  <si>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</si>
  <si>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</si>
  <si>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</si>
  <si>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</si>
  <si>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</si>
  <si>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</si>
  <si>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</si>
  <si>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</si>
  <si>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</si>
  <si>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</si>
  <si>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</si>
  <si>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</si>
  <si>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</si>
  <si>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</si>
  <si>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</si>
  <si>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</si>
  <si>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</si>
  <si>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</si>
  <si>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</si>
  <si>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</si>
  <si>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</si>
  <si>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</si>
  <si>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</si>
  <si>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</si>
  <si>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</si>
  <si>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</si>
  <si>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</si>
  <si>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</si>
  <si>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</si>
  <si>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</si>
  <si>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</si>
  <si>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</si>
  <si>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</si>
  <si>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</si>
  <si>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</si>
  <si>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</si>
  <si>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</si>
  <si>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</si>
  <si>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</si>
  <si>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</si>
  <si>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</si>
  <si>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</si>
  <si>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</si>
  <si>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</si>
  <si>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</si>
  <si>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</si>
  <si>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</si>
  <si>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</si>
  <si>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</si>
  <si>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</si>
  <si>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</si>
  <si>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</si>
  <si>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</si>
  <si>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</si>
  <si>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</si>
  <si>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</si>
  <si>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</si>
  <si>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</si>
  <si>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</si>
  <si>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</si>
  <si>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</si>
  <si>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</si>
  <si>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</si>
  <si>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</si>
  <si>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</si>
  <si>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</si>
  <si>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</si>
  <si>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</si>
  <si>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</si>
  <si>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</si>
  <si>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</si>
  <si>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</si>
  <si>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</si>
  <si>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</si>
  <si>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</si>
  <si>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</si>
  <si>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</si>
  <si>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</si>
  <si>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</si>
  <si>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</si>
  <si>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</si>
  <si>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</si>
  <si>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</si>
  <si>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</si>
  <si>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</si>
  <si>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</si>
  <si>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</si>
  <si>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</si>
  <si>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</si>
  <si>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</si>
  <si>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</si>
  <si>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</si>
  <si>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</si>
  <si>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</si>
  <si>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</si>
  <si>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</si>
  <si>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</si>
  <si>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</si>
  <si>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</si>
  <si>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</si>
  <si>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</si>
  <si>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</si>
  <si>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</si>
  <si>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</si>
  <si>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</si>
  <si>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</si>
  <si>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</si>
  <si>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</si>
  <si>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</si>
  <si>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</si>
  <si>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</si>
  <si>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</si>
  <si>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</si>
  <si>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</si>
  <si>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</si>
  <si>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</si>
  <si>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</si>
  <si>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</si>
  <si>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</si>
  <si>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</si>
  <si>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</si>
  <si>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</si>
  <si>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</si>
  <si>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</si>
  <si>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</si>
  <si>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</si>
  <si>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</si>
  <si>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</si>
  <si>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</si>
  <si>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</si>
  <si>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</si>
  <si>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</si>
  <si>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</si>
  <si>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</si>
  <si>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</si>
  <si>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</si>
  <si>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</si>
  <si>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</si>
  <si>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</si>
  <si>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</si>
  <si>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</si>
  <si>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</si>
  <si>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</si>
  <si>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</si>
  <si>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</si>
  <si>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</si>
  <si>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</si>
  <si>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</si>
  <si>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</si>
  <si>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</si>
  <si>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</si>
  <si>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</si>
  <si>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</si>
  <si>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</si>
  <si>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</si>
  <si>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</si>
  <si>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</si>
  <si>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</si>
  <si>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</si>
  <si>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</si>
  <si>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</si>
  <si>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</si>
  <si>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</si>
  <si>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</si>
  <si>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</si>
  <si>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</si>
  <si>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</si>
  <si>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</si>
  <si>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</si>
  <si>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</si>
  <si>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</si>
  <si>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</si>
  <si>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</si>
  <si>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</si>
  <si>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</si>
  <si>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</si>
  <si>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</si>
  <si>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</si>
  <si>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</si>
  <si>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</si>
  <si>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</si>
  <si>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</si>
  <si>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</si>
  <si>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</si>
  <si>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</si>
  <si>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</si>
  <si>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</si>
  <si>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</si>
  <si>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</si>
  <si>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</si>
  <si>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</si>
  <si>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</si>
  <si>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</si>
  <si>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</si>
  <si>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</si>
  <si>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</si>
  <si>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</si>
  <si>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</si>
  <si>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</si>
  <si>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</si>
  <si>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</si>
  <si>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</si>
  <si>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</si>
  <si>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</si>
  <si>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</si>
  <si>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</si>
  <si>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</si>
  <si>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</si>
  <si>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</si>
  <si>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</si>
  <si>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</si>
  <si>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</si>
  <si>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</si>
  <si>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</si>
  <si>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</si>
  <si>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</si>
  <si>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</si>
  <si>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</si>
  <si>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</si>
  <si>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</si>
  <si>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</si>
  <si>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</si>
  <si>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</si>
  <si>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</si>
  <si>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</si>
  <si>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</si>
  <si>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</si>
  <si>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</si>
  <si>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</si>
  <si>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</si>
  <si>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</si>
  <si>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</si>
  <si>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</si>
  <si>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</si>
  <si>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</si>
  <si>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</si>
  <si>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</si>
  <si>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</si>
  <si>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</si>
  <si>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</si>
  <si>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</si>
  <si>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</si>
  <si>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</si>
  <si>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</si>
  <si>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</si>
  <si>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</si>
  <si>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</si>
  <si>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</si>
  <si>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</si>
  <si>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</si>
  <si>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</si>
  <si>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</si>
  <si>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</si>
  <si>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</si>
  <si>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</si>
  <si>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</si>
  <si>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</si>
  <si>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</si>
  <si>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</si>
  <si>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</si>
  <si>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</si>
  <si>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</si>
  <si>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</si>
  <si>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</si>
  <si>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</si>
  <si>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</si>
  <si>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</si>
  <si>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</si>
  <si>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</si>
  <si>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</si>
  <si>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</si>
  <si>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</si>
  <si>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</si>
  <si>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</si>
  <si>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</si>
  <si>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</si>
  <si>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</si>
  <si>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</si>
  <si>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</si>
  <si>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</si>
  <si>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</si>
  <si>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</si>
  <si>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</si>
  <si>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</si>
  <si>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</si>
  <si>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</si>
  <si>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</si>
  <si>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</si>
  <si>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</si>
  <si>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</si>
  <si>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</si>
  <si>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</si>
  <si>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</si>
  <si>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</si>
  <si>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</si>
  <si>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</si>
  <si>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</si>
  <si>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</si>
  <si>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</si>
  <si>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</si>
  <si>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</si>
  <si>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</si>
  <si>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</si>
  <si>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</si>
  <si>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</si>
  <si>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</si>
  <si>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</si>
  <si>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</si>
  <si>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</si>
  <si>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</si>
  <si>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</si>
  <si>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</si>
  <si>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</si>
  <si>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</si>
  <si>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</si>
  <si>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</si>
  <si>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</si>
  <si>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</si>
  <si>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</si>
  <si>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</si>
  <si>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</si>
  <si>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</si>
  <si>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</si>
  <si>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</si>
  <si>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</si>
  <si>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</si>
  <si>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</si>
  <si>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</si>
  <si>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</si>
  <si>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</si>
  <si>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</si>
  <si>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</si>
  <si>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</si>
  <si>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</si>
  <si>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</si>
  <si>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</si>
  <si>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</si>
  <si>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</si>
  <si>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</si>
  <si>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</si>
  <si>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</si>
  <si>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</si>
  <si>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</si>
  <si>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</si>
  <si>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</si>
  <si>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</si>
  <si>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</si>
  <si>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</si>
  <si>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</si>
  <si>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</si>
  <si>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</si>
  <si>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</si>
  <si>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</si>
  <si>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</si>
  <si>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</si>
  <si>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</si>
  <si>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</si>
  <si>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</si>
  <si>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</si>
  <si>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</si>
  <si>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</si>
  <si>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</si>
  <si>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</si>
  <si>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</si>
  <si>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</si>
  <si>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</si>
  <si>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</si>
  <si>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</si>
  <si>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</si>
  <si>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</si>
  <si>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</si>
  <si>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</si>
  <si>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</si>
  <si>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</si>
  <si>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</si>
  <si>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</si>
  <si>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</si>
  <si>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</si>
  <si>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</si>
  <si>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</si>
  <si>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</si>
  <si>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</si>
  <si>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</si>
  <si>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</si>
  <si>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</si>
  <si>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</si>
  <si>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</si>
  <si>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</si>
  <si>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</si>
  <si>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</si>
  <si>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</si>
  <si>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</si>
  <si>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</si>
  <si>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</si>
  <si>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</si>
  <si>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</si>
  <si>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</si>
  <si>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</si>
  <si>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</si>
  <si>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</si>
  <si>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</si>
  <si>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</si>
  <si>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</si>
  <si>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</si>
  <si>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</si>
  <si>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</si>
  <si>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</si>
  <si>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</si>
  <si>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</si>
  <si>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</si>
  <si>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</si>
  <si>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</si>
  <si>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</si>
  <si>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</si>
  <si>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</si>
  <si>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</si>
  <si>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</si>
  <si>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</si>
  <si>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</si>
  <si>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</si>
  <si>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</si>
  <si>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</si>
  <si>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</si>
  <si>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</si>
  <si>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</si>
  <si>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</si>
  <si>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</si>
  <si>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</si>
  <si>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</si>
  <si>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</si>
  <si>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</si>
  <si>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</si>
  <si>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</si>
  <si>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</si>
  <si>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</si>
  <si>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</si>
  <si>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</si>
  <si>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</si>
  <si>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</si>
  <si>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</si>
  <si>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</si>
  <si>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</si>
  <si>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</si>
  <si>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</si>
  <si>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</si>
  <si>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</si>
  <si>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</si>
  <si>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</si>
  <si>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</si>
  <si>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</si>
  <si>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</si>
  <si>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</si>
  <si>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</si>
  <si>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</si>
  <si>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</si>
  <si>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</si>
  <si>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</si>
  <si>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</si>
  <si>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</si>
  <si>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</si>
  <si>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</si>
  <si>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</si>
  <si>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</si>
  <si>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</si>
  <si>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</si>
  <si>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</si>
  <si>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</si>
  <si>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</si>
  <si>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</si>
  <si>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</si>
  <si>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</si>
  <si>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</si>
  <si>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</si>
  <si>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</si>
  <si>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</si>
  <si>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</si>
  <si>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</si>
  <si>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</si>
  <si>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</si>
  <si>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</si>
  <si>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</si>
  <si>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</si>
  <si>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</si>
  <si>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</si>
  <si>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</si>
  <si>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</si>
  <si>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</si>
  <si>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</si>
  <si>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</si>
  <si>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</si>
  <si>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</si>
  <si>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</si>
  <si>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</si>
  <si>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</si>
  <si>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</si>
  <si>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</si>
  <si>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</si>
  <si>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</si>
  <si>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</si>
  <si>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</si>
  <si>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</si>
  <si>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</si>
  <si>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</si>
  <si>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</si>
  <si>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</si>
  <si>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</si>
  <si>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</si>
  <si>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</si>
  <si>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</si>
  <si>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</si>
  <si>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</si>
  <si>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</si>
  <si>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</si>
  <si>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</si>
  <si>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</si>
  <si>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</si>
  <si>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</si>
  <si>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</si>
  <si>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</si>
  <si>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</si>
  <si>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</si>
  <si>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</si>
  <si>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</si>
  <si>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</si>
  <si>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</si>
  <si>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</si>
  <si>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</si>
  <si>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</si>
  <si>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</si>
  <si>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</si>
  <si>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</si>
  <si>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</si>
  <si>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</si>
  <si>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</si>
  <si>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</si>
  <si>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</si>
  <si>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</si>
  <si>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</si>
  <si>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</si>
  <si>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</si>
  <si>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</si>
  <si>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</si>
  <si>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</si>
  <si>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</si>
  <si>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</si>
  <si>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</si>
  <si>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</si>
  <si>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</si>
  <si>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</si>
  <si>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</si>
  <si>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</si>
  <si>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</si>
  <si>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</si>
  <si>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</si>
  <si>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</si>
  <si>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</si>
  <si>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</si>
  <si>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</si>
  <si>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</si>
  <si>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</si>
  <si>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</si>
  <si>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</si>
  <si>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</si>
  <si>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</si>
  <si>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</si>
  <si>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</si>
  <si>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</si>
  <si>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</si>
  <si>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</si>
  <si>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</si>
  <si>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</si>
  <si>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</si>
  <si>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</si>
  <si>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</si>
  <si>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</si>
  <si>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</si>
  <si>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</si>
  <si>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</si>
  <si>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</si>
  <si>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</si>
  <si>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</si>
  <si>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</si>
  <si>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</si>
  <si>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</si>
  <si>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</si>
  <si>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</si>
  <si>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</si>
  <si>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</si>
  <si>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</si>
  <si>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</si>
  <si>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</si>
  <si>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</si>
  <si>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</si>
  <si>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</si>
  <si>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</si>
  <si>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</si>
  <si>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</si>
  <si>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</si>
  <si>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</si>
  <si>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</si>
  <si>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</si>
  <si>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</si>
  <si>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</si>
  <si>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</si>
  <si>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</si>
  <si>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</si>
  <si>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</si>
  <si>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</si>
  <si>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</si>
  <si>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</si>
  <si>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</si>
  <si>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</si>
  <si>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</si>
  <si>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</si>
  <si>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</si>
  <si>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</si>
  <si>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</si>
  <si>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</si>
  <si>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</si>
  <si>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</si>
  <si>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</si>
  <si>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</si>
  <si>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</si>
  <si>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</si>
  <si>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</si>
  <si>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</si>
  <si>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</si>
  <si>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</si>
  <si>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</si>
  <si>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</si>
  <si>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</si>
  <si>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</si>
  <si>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</si>
  <si>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</si>
  <si>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</si>
  <si>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</si>
  <si>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</si>
  <si>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</si>
  <si>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</si>
  <si>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</si>
  <si>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</si>
  <si>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</si>
  <si>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</si>
  <si>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</si>
  <si>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</si>
  <si>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</si>
  <si>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</si>
  <si>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</si>
  <si>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</si>
  <si>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</si>
  <si>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</si>
  <si>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</si>
  <si>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</si>
  <si>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</si>
  <si>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</si>
  <si>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</si>
  <si>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</si>
  <si>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</si>
  <si>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</si>
  <si>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</si>
  <si>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</si>
  <si>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</si>
  <si>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</si>
  <si>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</si>
  <si>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</si>
  <si>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</si>
  <si>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</si>
  <si>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</si>
  <si>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</si>
  <si>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</si>
  <si>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</si>
  <si>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</si>
  <si>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</si>
  <si>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</si>
  <si>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</si>
  <si>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</si>
  <si>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</si>
  <si>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</si>
  <si>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</si>
  <si>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</si>
  <si>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</si>
  <si>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</si>
  <si>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</si>
  <si>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</si>
  <si>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</si>
  <si>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</si>
  <si>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</si>
  <si>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</si>
  <si>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</si>
  <si>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</si>
  <si>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</si>
  <si>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</si>
  <si>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</si>
  <si>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</si>
  <si>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</si>
  <si>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</si>
  <si>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</si>
  <si>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</si>
  <si>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</si>
  <si>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</si>
  <si>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</si>
  <si>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</si>
  <si>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</si>
  <si>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</si>
  <si>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</si>
  <si>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</si>
  <si>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</si>
  <si>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</si>
  <si>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</si>
  <si>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</si>
  <si>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</si>
  <si>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</si>
  <si>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</si>
  <si>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</si>
  <si>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</si>
  <si>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</si>
  <si>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</si>
  <si>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</si>
  <si>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</si>
  <si>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</si>
  <si>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</si>
  <si>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</si>
  <si>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</si>
  <si>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</si>
  <si>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</si>
  <si>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</si>
  <si>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</si>
  <si>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</si>
  <si>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</si>
  <si>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</si>
  <si>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</si>
  <si>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</si>
  <si>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</si>
  <si>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</si>
  <si>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</si>
  <si>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</si>
  <si>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</si>
  <si>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</si>
  <si>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</si>
  <si>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</si>
  <si>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</si>
  <si>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</si>
  <si>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</si>
  <si>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</si>
  <si>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</si>
  <si>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</si>
  <si>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</si>
  <si>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</si>
  <si>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</si>
  <si>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</si>
  <si>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</si>
  <si>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</si>
  <si>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</si>
  <si>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</si>
  <si>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</si>
  <si>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</si>
  <si>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</si>
  <si>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</si>
  <si>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</si>
  <si>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</si>
  <si>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</si>
  <si>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</si>
  <si>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</si>
  <si>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</si>
  <si>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</si>
  <si>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</si>
  <si>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</si>
  <si>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</si>
  <si>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</si>
  <si>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</si>
  <si>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</si>
  <si>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</si>
  <si>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</si>
  <si>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</si>
  <si>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</si>
  <si>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</si>
  <si>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</si>
  <si>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</si>
  <si>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</si>
  <si>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</si>
  <si>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</si>
  <si>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</si>
  <si>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</si>
  <si>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</si>
  <si>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</si>
  <si>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</si>
  <si>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</si>
  <si>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</si>
  <si>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</si>
  <si>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</si>
  <si>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</si>
  <si>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</si>
  <si>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</si>
  <si>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</si>
  <si>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</si>
  <si>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</si>
  <si>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</si>
  <si>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</si>
  <si>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</si>
  <si>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</si>
  <si>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</si>
  <si>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</si>
  <si>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</si>
  <si>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</si>
  <si>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</si>
  <si>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</si>
  <si>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</si>
  <si>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</si>
  <si>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</si>
  <si>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</si>
  <si>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</si>
  <si>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</si>
  <si>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</si>
  <si>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</si>
  <si>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</si>
  <si>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</si>
  <si>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</si>
  <si>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</si>
  <si>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</si>
  <si>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</si>
  <si>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</si>
  <si>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</si>
  <si>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</si>
  <si>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</si>
  <si>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</si>
  <si>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</si>
  <si>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</si>
  <si>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</si>
  <si>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</si>
  <si>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</si>
  <si>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</si>
  <si>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</si>
  <si>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</si>
  <si>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</si>
  <si>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</si>
  <si>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</si>
  <si>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</si>
  <si>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</si>
  <si>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</si>
  <si>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</si>
  <si>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</si>
  <si>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</si>
  <si>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</si>
  <si>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</si>
  <si>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</si>
  <si>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</si>
  <si>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</si>
  <si>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</si>
  <si>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</si>
  <si>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</si>
  <si>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</si>
  <si>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</si>
  <si>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</si>
  <si>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</si>
  <si>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</si>
  <si>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</si>
  <si>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</si>
  <si>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</si>
  <si>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</si>
  <si>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</si>
  <si>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</si>
  <si>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</si>
  <si>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</si>
  <si>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</si>
  <si>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</si>
  <si>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</si>
  <si>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</si>
  <si>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</si>
  <si>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</si>
  <si>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</si>
  <si>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</si>
  <si>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</si>
  <si>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</si>
  <si>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</si>
  <si>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</si>
  <si>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</si>
  <si>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</si>
  <si>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</si>
  <si>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</si>
  <si>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</si>
  <si>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</si>
  <si>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</si>
  <si>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</si>
  <si>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</si>
  <si>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</si>
  <si>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</si>
  <si>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</si>
  <si>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</si>
  <si>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</si>
  <si>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</si>
  <si>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</si>
  <si>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</si>
  <si>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</si>
  <si>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</si>
  <si>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</si>
  <si>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</si>
  <si>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</si>
  <si>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</si>
  <si>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</si>
  <si>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</si>
  <si>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</si>
  <si>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</si>
  <si>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</si>
  <si>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</si>
  <si>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</si>
  <si>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</si>
  <si>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</si>
  <si>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</si>
  <si>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</si>
  <si>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</si>
  <si>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</si>
  <si>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</si>
  <si>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</si>
  <si>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</si>
  <si>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</si>
  <si>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</si>
  <si>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</si>
  <si>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</si>
  <si>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</si>
  <si>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</si>
  <si>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</si>
  <si>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</si>
  <si>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</si>
  <si>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</si>
  <si>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</si>
  <si>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</si>
  <si>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</si>
  <si>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</si>
  <si>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</si>
  <si>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</si>
  <si>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</si>
  <si>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</si>
  <si>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</si>
  <si>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</si>
  <si>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</si>
  <si>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</si>
  <si>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</si>
  <si>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</si>
  <si>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</si>
  <si>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</si>
  <si>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</si>
  <si>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</si>
  <si>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</si>
  <si>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</si>
  <si>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</si>
  <si>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</si>
  <si>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</si>
  <si>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</si>
  <si>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</si>
  <si>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</si>
  <si>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</si>
  <si>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</si>
  <si>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</si>
  <si>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</si>
  <si>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</si>
  <si>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</si>
  <si>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</si>
  <si>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</si>
  <si>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</si>
  <si>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</si>
  <si>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</si>
  <si>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</si>
  <si>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</si>
  <si>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</si>
  <si>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</si>
  <si>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</si>
  <si>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</si>
  <si>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</si>
  <si>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</si>
  <si>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</si>
  <si>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</si>
  <si>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</si>
  <si>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</si>
  <si>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</si>
  <si>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</si>
  <si>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</si>
  <si>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</si>
  <si>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</si>
  <si>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</si>
  <si>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</si>
  <si>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</si>
  <si>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</si>
  <si>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</si>
  <si>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</si>
  <si>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</si>
  <si>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</si>
  <si>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</si>
  <si>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</si>
  <si>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</si>
  <si>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</si>
  <si>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</si>
  <si>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</si>
  <si>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</si>
  <si>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</si>
  <si>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</si>
  <si>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</si>
  <si>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</si>
  <si>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</si>
  <si>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</si>
  <si>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</si>
  <si>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</si>
  <si>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</si>
  <si>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</si>
  <si>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</si>
  <si>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</si>
  <si>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</si>
  <si>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</si>
  <si>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</si>
  <si>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</si>
  <si>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</si>
  <si>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</si>
  <si>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</si>
  <si>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</si>
  <si>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</si>
  <si>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</si>
  <si>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</si>
  <si>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</si>
  <si>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</si>
  <si>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</si>
  <si>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</si>
  <si>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</si>
  <si>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</si>
  <si>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</si>
  <si>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</si>
  <si>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</si>
  <si>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</si>
  <si>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</si>
  <si>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</si>
  <si>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</si>
  <si>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</si>
  <si>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</si>
  <si>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</si>
  <si>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</si>
  <si>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</si>
  <si>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</si>
  <si>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</si>
  <si>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</si>
  <si>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</si>
  <si>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</si>
  <si>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</si>
  <si>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</si>
  <si>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</si>
  <si>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</si>
  <si>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</si>
  <si>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</si>
  <si>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</si>
  <si>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</si>
  <si>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</si>
  <si>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</si>
  <si>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</si>
  <si>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</si>
  <si>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</si>
  <si>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</si>
  <si>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</si>
  <si>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</si>
  <si>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</si>
  <si>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</si>
  <si>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</si>
  <si>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</si>
  <si>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</si>
  <si>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</si>
  <si>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</si>
  <si>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</si>
  <si>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</si>
  <si>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</si>
  <si>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</si>
  <si>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</si>
  <si>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</si>
  <si>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</si>
  <si>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</si>
  <si>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</si>
  <si>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</si>
  <si>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</si>
  <si>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</si>
  <si>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</si>
  <si>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</si>
  <si>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</si>
  <si>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</si>
  <si>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</si>
  <si>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</si>
  <si>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</si>
  <si>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</si>
  <si>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</si>
  <si>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</si>
  <si>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</si>
  <si>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</si>
  <si>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</si>
  <si>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</si>
  <si>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</si>
  <si>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</si>
  <si>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</si>
  <si>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</si>
  <si>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</si>
  <si>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</si>
  <si>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</si>
  <si>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</si>
  <si>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</si>
  <si>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</si>
  <si>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</si>
  <si>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</si>
  <si>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</si>
  <si>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</si>
  <si>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</si>
  <si>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</si>
  <si>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</si>
  <si>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</si>
  <si>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</si>
  <si>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</si>
  <si>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</si>
  <si>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</si>
  <si>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</si>
  <si>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</si>
  <si>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</si>
  <si>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</si>
  <si>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</si>
  <si>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</si>
  <si>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</si>
  <si>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</si>
  <si>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</si>
  <si>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</si>
  <si>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</si>
  <si>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</si>
  <si>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</si>
  <si>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</si>
  <si>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</si>
  <si>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</si>
  <si>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</si>
  <si>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</si>
  <si>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</si>
  <si>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</si>
  <si>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</si>
  <si>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</si>
  <si>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</si>
  <si>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</si>
  <si>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</si>
  <si>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</si>
  <si>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</si>
  <si>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</si>
  <si>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</si>
  <si>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</si>
  <si>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</si>
  <si>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</si>
  <si>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</si>
  <si>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</si>
  <si>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</si>
  <si>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</si>
  <si>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</si>
  <si>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</si>
  <si>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</si>
  <si>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</si>
  <si>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</si>
  <si>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</si>
  <si>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</si>
  <si>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</si>
  <si>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</si>
  <si>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</si>
  <si>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</si>
  <si>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</si>
  <si>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</si>
  <si>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</si>
  <si>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</si>
  <si>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</si>
  <si>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</si>
  <si>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</si>
  <si>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</si>
  <si>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</si>
  <si>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</si>
  <si>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</si>
  <si>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</si>
  <si>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</si>
  <si>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</si>
  <si>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</si>
  <si>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</si>
  <si>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</si>
  <si>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</si>
  <si>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</si>
  <si>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</si>
  <si>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</si>
  <si>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</si>
  <si>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</si>
  <si>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</si>
  <si>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</si>
  <si>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</si>
  <si>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</si>
  <si>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</si>
  <si>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</si>
  <si>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</si>
  <si>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</si>
  <si>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</si>
  <si>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</si>
  <si>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</si>
  <si>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</si>
  <si>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</si>
  <si>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</si>
  <si>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</si>
  <si>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</si>
  <si>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</si>
  <si>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</si>
  <si>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</si>
  <si>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</si>
  <si>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</si>
  <si>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</si>
  <si>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</si>
  <si>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</si>
  <si>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</si>
  <si>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</si>
  <si>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</si>
  <si>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</si>
  <si>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</si>
  <si>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</si>
  <si>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</si>
  <si>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</si>
  <si>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</si>
  <si>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</si>
  <si>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</si>
  <si>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</si>
  <si>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</si>
  <si>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</si>
  <si>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</si>
  <si>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</si>
  <si>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</si>
  <si>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</si>
  <si>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</si>
  <si>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</si>
  <si>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</si>
  <si>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</si>
  <si>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</si>
  <si>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</si>
  <si>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</si>
  <si>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</si>
  <si>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</si>
  <si>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</si>
  <si>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</si>
  <si>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</si>
  <si>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</si>
  <si>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</si>
  <si>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</si>
  <si>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</si>
  <si>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</si>
  <si>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</si>
  <si>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</si>
  <si>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</si>
  <si>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</si>
  <si>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</si>
  <si>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</si>
  <si>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</si>
  <si>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</si>
  <si>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</si>
  <si>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</si>
  <si>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</si>
  <si>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</si>
  <si>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</si>
  <si>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</si>
  <si>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</si>
  <si>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</si>
  <si>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</si>
  <si>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</si>
  <si>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</si>
  <si>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</si>
  <si>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</si>
  <si>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</si>
  <si>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</si>
  <si>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</si>
  <si>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</si>
  <si>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</si>
  <si>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</si>
  <si>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</si>
  <si>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</si>
  <si>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</si>
  <si>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</si>
  <si>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</si>
  <si>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</si>
  <si>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</si>
  <si>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</si>
  <si>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</si>
  <si>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</si>
  <si>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</si>
  <si>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</si>
  <si>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</si>
  <si>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</si>
  <si>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</si>
  <si>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</si>
  <si>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</si>
  <si>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</si>
  <si>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</si>
  <si>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</si>
  <si>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</si>
  <si>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</si>
  <si>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</si>
  <si>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</si>
  <si>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</si>
  <si>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</si>
  <si>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</si>
  <si>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</si>
  <si>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</si>
  <si>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</si>
  <si>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</si>
  <si>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</si>
  <si>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</si>
  <si>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</si>
  <si>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</si>
  <si>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</si>
  <si>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</si>
  <si>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</si>
  <si>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</si>
  <si>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</si>
  <si>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</si>
  <si>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</si>
  <si>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</si>
  <si>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</si>
  <si>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</si>
  <si>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</si>
  <si>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</si>
  <si>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</si>
  <si>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</si>
  <si>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</si>
  <si>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</si>
  <si>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</si>
  <si>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</si>
  <si>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</si>
  <si>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</si>
  <si>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</si>
  <si>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</si>
  <si>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</si>
  <si>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</si>
  <si>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</si>
  <si>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</si>
  <si>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</si>
  <si>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</si>
  <si>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</si>
  <si>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</si>
  <si>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</si>
  <si>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</si>
  <si>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</si>
  <si>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</si>
  <si>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</si>
  <si>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</si>
  <si>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</si>
  <si>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</si>
  <si>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</si>
  <si>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</si>
  <si>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</si>
  <si>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</si>
  <si>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</si>
  <si>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</si>
  <si>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</si>
  <si>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</si>
  <si>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</si>
  <si>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</si>
  <si>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</si>
  <si>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</si>
  <si>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</si>
  <si>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</si>
  <si>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</si>
  <si>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</si>
  <si>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</si>
  <si>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</si>
  <si>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</si>
  <si>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</si>
  <si>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</si>
  <si>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</si>
  <si>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</si>
  <si>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</si>
  <si>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</si>
  <si>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</si>
  <si>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</si>
  <si>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</si>
  <si>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</si>
  <si>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</si>
  <si>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</si>
  <si>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</si>
  <si>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</si>
  <si>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</si>
  <si>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</si>
  <si>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</si>
  <si>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</si>
  <si>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</si>
  <si>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</si>
  <si>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</si>
  <si>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</si>
  <si>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</si>
  <si>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</si>
  <si>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</si>
  <si>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</si>
  <si>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</si>
  <si>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</si>
  <si>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</si>
  <si>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</si>
  <si>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</si>
  <si>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</si>
  <si>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</si>
  <si>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</si>
  <si>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</si>
  <si>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</si>
  <si>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</si>
  <si>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</si>
  <si>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</si>
  <si>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</si>
  <si>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</si>
  <si>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</si>
  <si>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</si>
  <si>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</si>
  <si>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</si>
  <si>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</si>
  <si>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</si>
  <si>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</si>
  <si>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</si>
  <si>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</si>
  <si>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</si>
  <si>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</si>
  <si>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</si>
  <si>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</si>
  <si>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</si>
  <si>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</si>
  <si>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</si>
  <si>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</si>
  <si>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</si>
  <si>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</si>
  <si>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</si>
  <si>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</si>
  <si>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</si>
  <si>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</si>
  <si>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</si>
  <si>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</si>
  <si>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</si>
  <si>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</si>
  <si>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</si>
  <si>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</si>
  <si>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</si>
  <si>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</si>
  <si>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</si>
  <si>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</si>
  <si>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</si>
  <si>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</si>
  <si>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</si>
  <si>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</si>
  <si>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</si>
  <si>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</si>
  <si>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</si>
  <si>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</si>
  <si>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</si>
  <si>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</si>
  <si>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</si>
  <si>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</si>
  <si>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</si>
  <si>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</si>
  <si>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</si>
  <si>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</si>
  <si>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</si>
  <si>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</si>
  <si>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</si>
  <si>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</si>
  <si>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</si>
  <si>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</si>
  <si>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</si>
  <si>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</si>
  <si>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</si>
  <si>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</si>
  <si>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</si>
  <si>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</si>
  <si>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</si>
  <si>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</si>
  <si>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</si>
  <si>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</si>
  <si>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</si>
  <si>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</si>
  <si>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</si>
  <si>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</si>
  <si>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</si>
  <si>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</si>
  <si>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</si>
  <si>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</si>
  <si>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</si>
  <si>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</si>
  <si>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</si>
  <si>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</si>
  <si>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</si>
  <si>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</si>
  <si>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</si>
  <si>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</si>
  <si>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</si>
  <si>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</si>
  <si>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</si>
  <si>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</si>
  <si>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</si>
  <si>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</si>
  <si>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</si>
  <si>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</si>
  <si>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</si>
  <si>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</si>
  <si>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</si>
  <si>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</si>
  <si>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</si>
  <si>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</si>
  <si>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</si>
  <si>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</si>
  <si>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</si>
  <si>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</si>
  <si>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</si>
  <si>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</si>
  <si>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</si>
  <si>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</si>
  <si>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</si>
  <si>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</si>
  <si>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</si>
  <si>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</si>
  <si>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</si>
  <si>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</si>
  <si>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</si>
  <si>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</si>
  <si>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</si>
  <si>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</si>
  <si>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</si>
  <si>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</si>
  <si>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</si>
  <si>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</si>
  <si>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</si>
  <si>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</si>
  <si>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</si>
  <si>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</si>
  <si>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</si>
  <si>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</si>
  <si>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</si>
  <si>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</si>
  <si>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</si>
  <si>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</si>
  <si>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</si>
  <si>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</si>
  <si>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</si>
  <si>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</si>
  <si>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</si>
  <si>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</si>
  <si>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</si>
  <si>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</si>
  <si>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</si>
  <si>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</si>
  <si>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</si>
  <si>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</si>
  <si>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</si>
  <si>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</si>
  <si>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</si>
  <si>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</si>
  <si>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</si>
  <si>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</si>
  <si>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</si>
  <si>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</si>
  <si>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</si>
  <si>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</si>
  <si>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</si>
  <si>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</si>
  <si>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</si>
  <si>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</si>
  <si>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</si>
  <si>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</si>
  <si>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</si>
  <si>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</si>
  <si>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</si>
  <si>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</si>
  <si>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</si>
  <si>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</si>
  <si>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</si>
  <si>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</si>
  <si>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</si>
  <si>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</si>
  <si>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</si>
  <si>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</si>
  <si>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</si>
  <si>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</si>
  <si>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</si>
  <si>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</si>
  <si>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</si>
  <si>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</si>
  <si>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</si>
  <si>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</si>
  <si>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</si>
  <si>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</si>
  <si>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</si>
  <si>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</si>
  <si>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</si>
  <si>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</si>
  <si>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</si>
  <si>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</si>
  <si>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</si>
  <si>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</si>
  <si>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</si>
  <si>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</si>
  <si>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</si>
  <si>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</si>
  <si>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</si>
  <si>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</si>
  <si>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</si>
  <si>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</si>
  <si>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</si>
  <si>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</si>
  <si>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</si>
  <si>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</si>
  <si>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</si>
  <si>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</si>
  <si>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</si>
  <si>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</si>
  <si>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</si>
  <si>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</si>
  <si>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</si>
  <si>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</si>
  <si>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</si>
  <si>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</si>
  <si>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</si>
  <si>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</si>
  <si>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</si>
  <si>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</si>
  <si>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</si>
  <si>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</si>
  <si>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</si>
  <si>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</si>
  <si>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</si>
  <si>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</si>
  <si>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</si>
  <si>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</si>
  <si>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</si>
  <si>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</si>
  <si>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</si>
  <si>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</si>
  <si>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</si>
  <si>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</si>
  <si>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</si>
  <si>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</si>
  <si>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</si>
  <si>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</si>
  <si>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</si>
  <si>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</si>
  <si>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</si>
  <si>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</si>
  <si>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</si>
  <si>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</si>
  <si>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</si>
  <si>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</si>
  <si>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</si>
  <si>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</si>
  <si>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</si>
  <si>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</si>
  <si>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</si>
  <si>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</si>
  <si>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</si>
  <si>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</si>
  <si>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</si>
  <si>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</si>
  <si>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</si>
  <si>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</si>
  <si>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</si>
  <si>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</si>
  <si>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</si>
  <si>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</si>
  <si>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</si>
  <si>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</si>
  <si>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</si>
  <si>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</si>
  <si>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</si>
  <si>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</si>
  <si>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</si>
  <si>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</si>
  <si>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</si>
  <si>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</si>
  <si>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</si>
  <si>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</si>
  <si>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</si>
  <si>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</si>
  <si>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</si>
  <si>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</si>
  <si>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</si>
  <si>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</si>
  <si>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</si>
  <si>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</si>
  <si>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</si>
  <si>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</si>
  <si>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</si>
  <si>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</si>
  <si>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</si>
  <si>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</si>
  <si>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</si>
  <si>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</si>
  <si>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</si>
  <si>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</si>
  <si>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</si>
  <si>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</si>
  <si>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</si>
  <si>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</si>
  <si>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</si>
  <si>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</si>
  <si>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</si>
  <si>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</si>
  <si>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</si>
  <si>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</si>
  <si>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</si>
  <si>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</si>
  <si>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</si>
  <si>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</si>
  <si>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</si>
  <si>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</si>
  <si>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</si>
  <si>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</si>
  <si>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</si>
  <si>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</si>
  <si>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</si>
  <si>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</si>
  <si>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</si>
  <si>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</si>
  <si>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</si>
  <si>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</si>
  <si>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</si>
  <si>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</si>
  <si>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</si>
  <si>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</si>
  <si>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</si>
  <si>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</si>
  <si>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</si>
  <si>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</si>
  <si>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</si>
  <si>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</si>
  <si>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</si>
  <si>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</si>
  <si>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</si>
  <si>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</si>
  <si>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</si>
  <si>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</si>
  <si>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</si>
  <si>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</si>
  <si>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</si>
  <si>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</si>
  <si>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</si>
  <si>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</si>
  <si>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</si>
  <si>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</si>
  <si>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</si>
  <si>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</si>
  <si>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</si>
  <si>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</si>
  <si>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</si>
  <si>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</si>
  <si>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</si>
  <si>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</si>
  <si>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</si>
  <si>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</si>
  <si>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</si>
  <si>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</si>
  <si>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</si>
  <si>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</si>
  <si>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</si>
  <si>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</si>
  <si>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</si>
  <si>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</si>
  <si>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</si>
  <si>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</si>
  <si>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</si>
  <si>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</si>
  <si>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</si>
  <si>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</si>
  <si>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</si>
  <si>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</si>
  <si>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</si>
  <si>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</si>
  <si>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</si>
  <si>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</si>
  <si>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</si>
  <si>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</si>
  <si>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</si>
  <si>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</si>
  <si>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</si>
  <si>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</si>
  <si>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</si>
  <si>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</si>
  <si>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</si>
  <si>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</si>
  <si>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</si>
  <si>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</si>
  <si>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</si>
  <si>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</si>
  <si>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</si>
  <si>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</si>
  <si>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</si>
  <si>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</si>
  <si>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</si>
  <si>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</si>
  <si>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</si>
  <si>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</si>
  <si>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</si>
  <si>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</si>
  <si>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</si>
  <si>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</si>
  <si>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</si>
  <si>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</si>
  <si>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</si>
  <si>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</si>
  <si>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</si>
  <si>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</si>
  <si>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</si>
  <si>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</si>
  <si>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</si>
  <si>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</si>
  <si>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</si>
  <si>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</si>
  <si>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</si>
  <si>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</si>
  <si>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</si>
  <si>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</si>
  <si>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</si>
  <si>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</si>
  <si>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</si>
  <si>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</si>
  <si>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</si>
  <si>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</si>
  <si>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</si>
  <si>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</si>
  <si>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</si>
  <si>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</si>
  <si>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</si>
  <si>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</si>
  <si>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</si>
  <si>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</si>
  <si>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</si>
  <si>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</si>
  <si>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</si>
  <si>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</si>
  <si>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</si>
  <si>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</si>
  <si>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</si>
  <si>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</si>
  <si>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</si>
  <si>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</si>
  <si>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</si>
  <si>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</si>
  <si>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</si>
  <si>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</si>
  <si>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</si>
  <si>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</si>
  <si>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</si>
  <si>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</si>
  <si>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</si>
  <si>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</si>
  <si>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</si>
  <si>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</si>
  <si>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</si>
  <si>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</si>
  <si>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</si>
  <si>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</si>
  <si>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</si>
  <si>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</si>
  <si>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</si>
  <si>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</si>
  <si>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</si>
  <si>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</si>
  <si>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</si>
  <si>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</si>
  <si>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</si>
  <si>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</si>
  <si>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</si>
  <si>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</si>
  <si>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</si>
  <si>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</si>
  <si>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</si>
  <si>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</si>
  <si>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</si>
  <si>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</si>
  <si>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</si>
  <si>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</si>
  <si>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</si>
  <si>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</si>
  <si>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</si>
  <si>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</si>
  <si>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</si>
  <si>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</si>
  <si>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</si>
  <si>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</si>
  <si>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</si>
  <si>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</si>
  <si>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</si>
  <si>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</si>
  <si>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</si>
  <si>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</si>
  <si>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</si>
  <si>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</si>
  <si>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</si>
  <si>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</si>
  <si>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</si>
  <si>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</si>
  <si>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</si>
  <si>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</si>
  <si>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</si>
  <si>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</si>
  <si>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</si>
  <si>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</si>
  <si>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</si>
  <si>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</si>
  <si>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</si>
  <si>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</si>
  <si>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</si>
  <si>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</si>
  <si>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</si>
  <si>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</si>
  <si>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</si>
  <si>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</si>
  <si>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</si>
  <si>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</si>
  <si>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</si>
  <si>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</si>
  <si>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</si>
  <si>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</si>
  <si>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</si>
  <si>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</si>
  <si>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</si>
  <si>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</si>
  <si>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</si>
  <si>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</si>
  <si>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</si>
  <si>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</si>
  <si>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</si>
  <si>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</si>
  <si>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</si>
  <si>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</si>
  <si>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</si>
  <si>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</si>
  <si>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</si>
  <si>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</si>
  <si>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</si>
  <si>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</si>
  <si>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</si>
  <si>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</si>
  <si>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</si>
  <si>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</si>
  <si>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</si>
  <si>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</si>
  <si>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</si>
  <si>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</si>
  <si>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</si>
  <si>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</si>
  <si>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</si>
  <si>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</si>
  <si>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</si>
  <si>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</si>
  <si>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</si>
  <si>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</si>
  <si>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</si>
  <si>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</si>
  <si>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</si>
  <si>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</si>
  <si>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</si>
  <si>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</si>
  <si>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</si>
  <si>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</si>
  <si>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</si>
  <si>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</si>
  <si>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</si>
  <si>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</si>
  <si>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</si>
  <si>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</si>
  <si>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</si>
  <si>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</si>
  <si>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</si>
  <si>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</si>
  <si>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</si>
  <si>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</si>
  <si>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</si>
  <si>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</si>
  <si>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</si>
  <si>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</si>
  <si>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</si>
  <si>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</si>
  <si>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</si>
  <si>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</si>
  <si>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</si>
  <si>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</si>
  <si>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</si>
  <si>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</si>
  <si>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</si>
  <si>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</si>
  <si>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</si>
  <si>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</si>
  <si>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</si>
  <si>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</si>
  <si>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</si>
  <si>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</si>
  <si>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</si>
  <si>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</si>
  <si>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</si>
  <si>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</si>
  <si>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</si>
  <si>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</si>
  <si>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</si>
  <si>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</si>
  <si>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</si>
  <si>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</si>
  <si>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</si>
  <si>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</si>
  <si>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</si>
  <si>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</si>
  <si>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</si>
  <si>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</si>
  <si>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</si>
  <si>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</si>
  <si>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</si>
  <si>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</si>
  <si>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</si>
  <si>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</si>
  <si>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</si>
  <si>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</si>
  <si>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</si>
  <si>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</si>
  <si>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</si>
  <si>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</si>
  <si>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</si>
  <si>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</si>
  <si>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</si>
  <si>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</si>
  <si>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</si>
  <si>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</si>
  <si>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</si>
  <si>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</si>
  <si>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</si>
  <si>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</si>
  <si>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</si>
  <si>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</si>
  <si>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</si>
  <si>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</si>
  <si>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</si>
  <si>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</si>
  <si>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</si>
  <si>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</si>
  <si>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</si>
  <si>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</si>
  <si>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</si>
  <si>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</si>
  <si>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</si>
  <si>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</si>
  <si>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</si>
  <si>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</si>
  <si>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</si>
  <si>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</si>
  <si>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</si>
  <si>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</si>
  <si>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</si>
  <si>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</si>
  <si>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</si>
  <si>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</si>
  <si>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</si>
  <si>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</si>
  <si>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</si>
  <si>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</si>
  <si>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</si>
  <si>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</si>
  <si>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</si>
  <si>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</si>
  <si>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</si>
  <si>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</si>
  <si>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</si>
  <si>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</si>
  <si>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</si>
  <si>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</si>
  <si>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</si>
  <si>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</si>
  <si>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</si>
  <si>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</si>
  <si>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</si>
  <si>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</si>
  <si>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</si>
  <si>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</si>
  <si>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</si>
  <si>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</si>
  <si>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</si>
  <si>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</si>
  <si>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</si>
  <si>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</si>
  <si>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</si>
  <si>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</si>
  <si>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</si>
  <si>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</si>
  <si>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</si>
  <si>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</si>
  <si>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</si>
  <si>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</si>
  <si>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</si>
  <si>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</si>
  <si>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</si>
  <si>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</si>
  <si>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</si>
  <si>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</si>
  <si>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</si>
  <si>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</si>
  <si>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</si>
  <si>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</si>
  <si>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</si>
  <si>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</si>
  <si>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</si>
  <si>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</si>
  <si>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</si>
  <si>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</si>
  <si>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</si>
  <si>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</si>
  <si>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</si>
  <si>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</si>
  <si>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</si>
  <si>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</si>
  <si>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</si>
  <si>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</si>
  <si>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</si>
  <si>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</si>
  <si>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</si>
  <si>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</si>
  <si>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</si>
  <si>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</si>
  <si>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</si>
  <si>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</si>
  <si>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</si>
  <si>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</si>
  <si>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</si>
  <si>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</si>
  <si>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</si>
  <si>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</si>
  <si>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</si>
  <si>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</si>
  <si>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</si>
  <si>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</si>
  <si>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</si>
  <si>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</si>
  <si>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</si>
  <si>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</si>
  <si>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</si>
  <si>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</si>
  <si>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</si>
  <si>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</si>
  <si>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</si>
  <si>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</si>
  <si>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</si>
  <si>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</si>
  <si>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</si>
  <si>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</si>
  <si>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</si>
  <si>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</si>
  <si>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</si>
  <si>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</si>
  <si>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</si>
  <si>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</si>
  <si>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</si>
  <si>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</si>
  <si>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</si>
  <si>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</si>
  <si>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</si>
  <si>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</si>
  <si>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</si>
  <si>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</si>
  <si>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</si>
  <si>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</si>
  <si>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</si>
  <si>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</si>
  <si>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</si>
  <si>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</si>
  <si>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</si>
  <si>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</si>
  <si>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</si>
  <si>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</si>
  <si>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</si>
  <si>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</si>
  <si>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</si>
  <si>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</si>
  <si>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</si>
  <si>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</si>
  <si>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</si>
  <si>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</si>
  <si>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</si>
  <si>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</si>
  <si>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</si>
  <si>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</si>
  <si>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</si>
  <si>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</si>
  <si>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</si>
  <si>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</si>
  <si>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</si>
  <si>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</si>
  <si>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</si>
  <si>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</si>
  <si>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</si>
  <si>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</si>
  <si>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</si>
  <si>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</si>
  <si>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</si>
  <si>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</si>
  <si>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</si>
  <si>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</si>
  <si>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</si>
  <si>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</si>
  <si>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</si>
  <si>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</si>
  <si>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</si>
  <si>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</si>
  <si>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</si>
  <si>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</si>
  <si>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</si>
  <si>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</si>
  <si>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</si>
  <si>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</si>
  <si>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</si>
  <si>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</si>
  <si>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</si>
  <si>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</si>
  <si>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</si>
  <si>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</si>
  <si>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</si>
  <si>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</si>
  <si>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</si>
  <si>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</si>
  <si>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</si>
  <si>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</si>
  <si>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</si>
  <si>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</si>
  <si>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</si>
  <si>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</si>
  <si>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</si>
  <si>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</si>
  <si>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</si>
  <si>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</si>
  <si>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</si>
  <si>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</si>
  <si>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</si>
  <si>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</si>
  <si>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</si>
  <si>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</si>
  <si>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</si>
  <si>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</si>
  <si>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</si>
  <si>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</si>
  <si>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</si>
  <si>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</si>
  <si>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</si>
  <si>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</si>
  <si>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</si>
  <si>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</si>
  <si>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</si>
  <si>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</si>
  <si>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</si>
  <si>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</si>
  <si>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</si>
  <si>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</si>
  <si>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</si>
  <si>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</si>
  <si>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</si>
  <si>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</si>
  <si>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</si>
  <si>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</si>
  <si>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</si>
  <si>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</si>
  <si>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</si>
  <si>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</si>
  <si>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</si>
  <si>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</si>
  <si>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</si>
  <si>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</si>
  <si>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</si>
  <si>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</si>
  <si>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</si>
  <si>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</si>
  <si>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</si>
  <si>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</si>
  <si>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</si>
  <si>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</si>
  <si>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</si>
  <si>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</si>
  <si>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</si>
  <si>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</si>
  <si>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</si>
  <si>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</si>
  <si>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</si>
  <si>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</si>
  <si>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</si>
  <si>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</si>
  <si>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</si>
  <si>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</si>
  <si>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</si>
  <si>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</si>
  <si>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</si>
  <si>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</si>
  <si>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</si>
  <si>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</si>
  <si>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</si>
  <si>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</si>
  <si>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</si>
  <si>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</si>
  <si>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</si>
  <si>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</si>
  <si>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</si>
  <si>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</si>
  <si>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</si>
  <si>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</si>
  <si>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</si>
  <si>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</si>
  <si>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</si>
  <si>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</si>
  <si>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</si>
  <si>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</si>
  <si>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</si>
  <si>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</si>
  <si>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</si>
  <si>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</si>
  <si>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</si>
  <si>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</si>
  <si>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</si>
  <si>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</si>
  <si>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</si>
  <si>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</si>
  <si>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</si>
  <si>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</si>
  <si>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</si>
  <si>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</si>
  <si>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</si>
  <si>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</si>
  <si>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</si>
  <si>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</si>
  <si>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</si>
  <si>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</si>
  <si>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</si>
  <si>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</si>
  <si>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</si>
  <si>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</si>
  <si>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</si>
  <si>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</si>
  <si>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</si>
  <si>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</si>
  <si>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</si>
  <si>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</si>
  <si>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</si>
  <si>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</si>
  <si>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</si>
  <si>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</si>
  <si>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</si>
  <si>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</si>
  <si>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</si>
  <si>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</si>
  <si>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</si>
  <si>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</si>
  <si>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</si>
  <si>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</si>
  <si>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</si>
  <si>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</si>
  <si>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</si>
  <si>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</si>
  <si>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</si>
  <si>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</si>
  <si>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</si>
  <si>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</si>
  <si>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</si>
  <si>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</si>
  <si>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</si>
  <si>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</si>
  <si>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</si>
  <si>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</si>
  <si>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</si>
  <si>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</si>
  <si>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</si>
  <si>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</si>
  <si>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</si>
  <si>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</si>
  <si>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</si>
  <si>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</si>
  <si>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</si>
  <si>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</si>
  <si>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</si>
  <si>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</si>
  <si>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</si>
  <si>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</si>
  <si>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</si>
  <si>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</si>
  <si>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</si>
  <si>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</si>
  <si>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</si>
  <si>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</si>
  <si>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</si>
  <si>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</si>
  <si>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</si>
  <si>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</si>
  <si>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</si>
  <si>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</si>
  <si>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</si>
  <si>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</si>
  <si>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</si>
  <si>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</si>
  <si>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</si>
  <si>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</si>
  <si>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</si>
  <si>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</si>
  <si>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</si>
  <si>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</si>
  <si>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</si>
  <si>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</si>
  <si>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</si>
  <si>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</si>
  <si>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</si>
  <si>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</si>
  <si>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</si>
  <si>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</si>
  <si>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</si>
  <si>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</si>
  <si>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</si>
  <si>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</si>
  <si>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</si>
  <si>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</si>
  <si>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</si>
  <si>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</si>
  <si>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</si>
  <si>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</si>
  <si>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</si>
  <si>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</si>
  <si>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</si>
  <si>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</si>
  <si>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</si>
  <si>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</si>
  <si>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</si>
  <si>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</si>
  <si>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</si>
  <si>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</si>
  <si>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</si>
  <si>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</si>
  <si>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</si>
  <si>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</si>
  <si>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</si>
  <si>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</si>
  <si>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</si>
  <si>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</si>
  <si>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</si>
  <si>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</si>
  <si>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</si>
  <si>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</si>
  <si>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</si>
  <si>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</si>
  <si>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</si>
  <si>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</si>
  <si>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</si>
  <si>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</si>
  <si>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</si>
  <si>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</si>
  <si>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</si>
  <si>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</si>
  <si>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</si>
  <si>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</si>
  <si>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</si>
  <si>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</si>
  <si>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</si>
  <si>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</si>
  <si>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</si>
  <si>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</si>
  <si>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</si>
  <si>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</si>
  <si>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</si>
  <si>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</si>
  <si>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</si>
  <si>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</si>
  <si>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</si>
  <si>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</si>
  <si>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</si>
  <si>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</si>
  <si>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</si>
  <si>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</si>
  <si>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</si>
  <si>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</si>
  <si>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</si>
  <si>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</si>
  <si>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</si>
  <si>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</si>
  <si>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</si>
  <si>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</si>
  <si>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</si>
  <si>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</si>
  <si>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</si>
  <si>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</si>
  <si>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</si>
  <si>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</si>
  <si>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</si>
  <si>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</si>
  <si>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</si>
  <si>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</si>
  <si>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</si>
  <si>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</si>
  <si>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</si>
  <si>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</si>
  <si>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</si>
  <si>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</si>
  <si>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</si>
  <si>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</si>
  <si>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</si>
  <si>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</si>
  <si>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</si>
  <si>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</si>
  <si>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</si>
  <si>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</si>
  <si>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</si>
  <si>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</si>
  <si>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</si>
  <si>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</si>
  <si>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</si>
  <si>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</si>
  <si>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</si>
  <si>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</si>
  <si>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</si>
  <si>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</si>
  <si>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</si>
  <si>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</si>
  <si>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</si>
  <si>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</si>
  <si>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</si>
  <si>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</si>
  <si>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</si>
  <si>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</si>
  <si>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</si>
  <si>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</si>
  <si>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</si>
  <si>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</si>
  <si>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</si>
  <si>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</si>
  <si>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</si>
  <si>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</si>
  <si>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</si>
  <si>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</si>
  <si>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</si>
  <si>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</si>
  <si>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</si>
  <si>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</si>
  <si>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</si>
  <si>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</si>
  <si>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</si>
  <si>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</si>
  <si>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</si>
  <si>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</si>
  <si>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</si>
  <si>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</si>
  <si>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</si>
  <si>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</si>
  <si>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</si>
  <si>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</si>
  <si>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</si>
  <si>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</si>
  <si>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</si>
  <si>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</si>
  <si>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</si>
  <si>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</si>
  <si>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</si>
  <si>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</si>
  <si>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</si>
  <si>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</si>
  <si>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</si>
  <si>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</si>
  <si>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</si>
  <si>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</si>
  <si>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</si>
  <si>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</si>
  <si>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</si>
  <si>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</si>
  <si>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</si>
  <si>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</si>
  <si>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</si>
  <si>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</si>
  <si>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</si>
  <si>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</si>
  <si>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</si>
  <si>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</si>
  <si>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</si>
  <si>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</si>
  <si>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</si>
  <si>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</si>
  <si>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</si>
  <si>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</si>
  <si>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</si>
  <si>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</si>
  <si>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</si>
  <si>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</si>
  <si>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</si>
  <si>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</si>
  <si>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</si>
  <si>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</si>
  <si>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</si>
  <si>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</si>
  <si>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</si>
  <si>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</si>
  <si>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</si>
  <si>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</si>
  <si>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</si>
  <si>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</si>
  <si>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</si>
  <si>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</si>
  <si>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</si>
  <si>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</si>
  <si>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</si>
  <si>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</si>
  <si>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</si>
  <si>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</si>
  <si>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</si>
  <si>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</si>
  <si>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</si>
  <si>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</si>
  <si>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</si>
  <si>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</si>
  <si>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</si>
  <si>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</si>
  <si>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</si>
  <si>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</si>
  <si>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</si>
  <si>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</si>
  <si>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</si>
  <si>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</si>
  <si>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</si>
  <si>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</si>
  <si>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</si>
  <si>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</si>
  <si>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</si>
  <si>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</si>
  <si>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</si>
  <si>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</si>
  <si>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</si>
  <si>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</si>
  <si>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</si>
  <si>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</si>
  <si>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</si>
  <si>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</si>
  <si>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</si>
  <si>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</si>
  <si>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</si>
  <si>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</si>
  <si>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</si>
  <si>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</si>
  <si>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</si>
  <si>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</si>
  <si>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</si>
  <si>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</si>
  <si>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</si>
  <si>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</si>
  <si>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</si>
  <si>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</si>
  <si>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</si>
  <si>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</si>
  <si>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</si>
  <si>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</si>
  <si>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</si>
  <si>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</si>
  <si>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</si>
  <si>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</si>
  <si>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</si>
  <si>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</si>
  <si>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</si>
  <si>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</si>
  <si>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</si>
  <si>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</si>
  <si>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</si>
  <si>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</si>
  <si>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</si>
  <si>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</si>
  <si>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</si>
  <si>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</si>
  <si>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</si>
  <si>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</si>
  <si>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</si>
  <si>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</si>
  <si>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</si>
  <si>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</si>
  <si>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</si>
  <si>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</si>
  <si>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</si>
  <si>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</si>
  <si>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</si>
  <si>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</si>
  <si>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</si>
  <si>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</si>
  <si>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</si>
  <si>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</si>
  <si>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</si>
  <si>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</si>
  <si>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</si>
  <si>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</si>
  <si>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</si>
  <si>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</si>
  <si>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</si>
  <si>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</si>
  <si>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</si>
  <si>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</si>
  <si>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</si>
  <si>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</si>
  <si>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</si>
  <si>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</si>
  <si>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</si>
  <si>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</si>
  <si>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</si>
  <si>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</si>
  <si>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</si>
  <si>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</si>
  <si>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</si>
  <si>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</si>
  <si>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</si>
  <si>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</si>
  <si>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</si>
  <si>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</si>
  <si>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</si>
  <si>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</si>
  <si>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</si>
  <si>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</si>
  <si>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</si>
  <si>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</si>
  <si>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</si>
  <si>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</si>
  <si>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</si>
  <si>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</si>
  <si>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</si>
  <si>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</si>
  <si>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</si>
  <si>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</si>
  <si>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</si>
  <si>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</si>
  <si>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</si>
  <si>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</si>
  <si>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</si>
  <si>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</si>
  <si>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</si>
  <si>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</si>
  <si>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</si>
  <si>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</si>
  <si>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</si>
  <si>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</si>
  <si>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</si>
  <si>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</si>
  <si>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</si>
  <si>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</si>
  <si>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</si>
  <si>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</si>
  <si>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</si>
  <si>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</si>
  <si>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</si>
  <si>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</si>
  <si>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</si>
  <si>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</si>
  <si>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</si>
  <si>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</si>
  <si>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</si>
  <si>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</si>
  <si>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</si>
  <si>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</si>
  <si>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</si>
  <si>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</si>
  <si>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</si>
  <si>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</si>
  <si>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</si>
  <si>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</si>
  <si>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</si>
  <si>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</si>
  <si>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</si>
  <si>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</si>
  <si>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</si>
  <si>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</si>
  <si>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</si>
  <si>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</si>
  <si>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</si>
  <si>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</si>
  <si>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</si>
  <si>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</si>
  <si>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</si>
  <si>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</si>
  <si>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</si>
  <si>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</si>
  <si>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</si>
  <si>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</si>
  <si>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</si>
  <si>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</si>
  <si>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</si>
  <si>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</si>
  <si>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</si>
  <si>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</si>
  <si>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</si>
  <si>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</si>
  <si>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</si>
  <si>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</si>
  <si>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</si>
  <si>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</si>
  <si>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</si>
  <si>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</si>
  <si>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</si>
  <si>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</si>
  <si>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</si>
  <si>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</si>
  <si>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</si>
  <si>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</si>
  <si>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</si>
  <si>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</si>
  <si>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</si>
  <si>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</si>
  <si>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</si>
  <si>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</si>
  <si>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</si>
  <si>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</si>
  <si>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</si>
  <si>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</si>
  <si>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</si>
  <si>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</si>
  <si>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</si>
  <si>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</si>
  <si>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</si>
  <si>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</si>
  <si>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</si>
  <si>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</si>
  <si>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</si>
  <si>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</si>
  <si>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</si>
  <si>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</si>
  <si>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</si>
  <si>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</si>
  <si>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</si>
  <si>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</si>
  <si>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</si>
  <si>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</si>
  <si>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</si>
  <si>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</si>
  <si>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</si>
  <si>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</si>
  <si>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</si>
  <si>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</si>
  <si>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</si>
  <si>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</si>
  <si>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</si>
  <si>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</si>
  <si>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</si>
  <si>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</si>
  <si>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</si>
  <si>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</si>
  <si>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</si>
  <si>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</si>
  <si>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</si>
  <si>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</si>
  <si>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</si>
  <si>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</si>
  <si>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</si>
  <si>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</si>
  <si>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</si>
  <si>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</si>
  <si>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</si>
  <si>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</si>
  <si>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</si>
  <si>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</si>
  <si>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</si>
  <si>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</si>
  <si>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</si>
  <si>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</si>
  <si>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</si>
  <si>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</si>
  <si>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</si>
  <si>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</si>
  <si>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</si>
  <si>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</si>
  <si>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</si>
  <si>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</si>
  <si>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</si>
  <si>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</si>
  <si>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</si>
  <si>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</si>
  <si>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</si>
  <si>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</si>
  <si>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</si>
  <si>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</si>
  <si>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</si>
  <si>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</si>
  <si>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</si>
  <si>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</si>
  <si>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</si>
  <si>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</si>
  <si>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</si>
  <si>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</si>
  <si>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</si>
  <si>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</si>
  <si>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</si>
  <si>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</si>
  <si>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</si>
  <si>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</si>
  <si>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</si>
  <si>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</si>
  <si>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</si>
  <si>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</si>
  <si>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</si>
  <si>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</si>
  <si>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</si>
  <si>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</si>
  <si>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</si>
  <si>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</si>
  <si>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</si>
  <si>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</si>
  <si>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</si>
  <si>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</si>
  <si>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</si>
  <si>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</si>
  <si>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</si>
  <si>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</si>
  <si>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</si>
  <si>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</si>
  <si>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</si>
  <si>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</si>
  <si>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</si>
  <si>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</si>
  <si>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</si>
  <si>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</si>
  <si>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</si>
  <si>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</si>
  <si>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</si>
  <si>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</si>
  <si>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</si>
  <si>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</si>
  <si>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</si>
  <si>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</si>
  <si>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</si>
  <si>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</si>
  <si>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</si>
  <si>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</si>
  <si>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</si>
  <si>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</si>
  <si>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</si>
  <si>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</si>
  <si>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</si>
  <si>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</si>
  <si>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</si>
  <si>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</si>
  <si>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</si>
  <si>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</si>
  <si>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</si>
  <si>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</si>
  <si>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</si>
  <si>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</si>
  <si>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</si>
  <si>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</si>
  <si>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</si>
  <si>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</si>
  <si>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</si>
  <si>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</si>
  <si>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</si>
  <si>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</si>
  <si>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</si>
  <si>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</si>
  <si>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</si>
  <si>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</si>
  <si>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</si>
  <si>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</si>
  <si>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</si>
  <si>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</si>
  <si>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</si>
  <si>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</si>
  <si>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</si>
  <si>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</si>
  <si>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</si>
  <si>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</si>
  <si>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</si>
  <si>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</si>
  <si>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</si>
  <si>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</si>
  <si>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</si>
  <si>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</si>
  <si>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</si>
  <si>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</si>
  <si>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</si>
  <si>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</si>
  <si>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</si>
  <si>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</si>
  <si>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</si>
  <si>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</si>
  <si>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</si>
  <si>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</si>
  <si>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</si>
  <si>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</si>
  <si>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</si>
  <si>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</si>
  <si>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</si>
  <si>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</si>
  <si>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</si>
  <si>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</si>
  <si>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</si>
  <si>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</si>
  <si>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</si>
  <si>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</si>
  <si>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</si>
  <si>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</si>
  <si>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</si>
  <si>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</si>
  <si>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</si>
  <si>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</si>
  <si>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</si>
  <si>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</si>
  <si>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</si>
  <si>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</si>
  <si>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</si>
  <si>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</si>
  <si>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</si>
  <si>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</si>
  <si>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</si>
  <si>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</si>
  <si>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</si>
  <si>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</si>
  <si>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</si>
  <si>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</si>
  <si>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</si>
  <si>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</si>
  <si>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</si>
  <si>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</si>
  <si>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</si>
  <si>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</si>
  <si>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</si>
  <si>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</si>
  <si>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</si>
  <si>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</si>
  <si>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</si>
  <si>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</si>
  <si>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</si>
  <si>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</si>
  <si>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</si>
  <si>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</si>
  <si>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</si>
  <si>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</si>
  <si>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</si>
  <si>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</si>
  <si>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</si>
  <si>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</si>
  <si>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</si>
  <si>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</si>
  <si>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</si>
  <si>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</si>
  <si>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</si>
  <si>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</si>
  <si>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</si>
  <si>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</si>
  <si>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</si>
  <si>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</si>
  <si>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</si>
  <si>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</si>
  <si>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</si>
  <si>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</si>
  <si>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</si>
  <si>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</si>
  <si>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</si>
  <si>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</si>
  <si>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</si>
  <si>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</si>
  <si>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</si>
  <si>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</si>
  <si>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</si>
  <si>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</si>
  <si>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</si>
  <si>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</si>
  <si>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</si>
  <si>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</si>
  <si>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</si>
  <si>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</si>
  <si>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</si>
  <si>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</si>
  <si>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</si>
  <si>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</si>
  <si>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</si>
  <si>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</si>
  <si>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</si>
  <si>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</si>
  <si>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</si>
  <si>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</si>
  <si>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</si>
  <si>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</si>
  <si>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</si>
  <si>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</si>
  <si>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</si>
  <si>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</si>
  <si>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</si>
  <si>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</si>
  <si>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</si>
  <si>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</si>
  <si>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</si>
  <si>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</si>
  <si>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</si>
  <si>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</si>
  <si>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</si>
  <si>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</si>
  <si>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</si>
  <si>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</si>
  <si>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</si>
  <si>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</si>
  <si>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</si>
  <si>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</si>
  <si>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</si>
  <si>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</si>
  <si>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</si>
  <si>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</si>
  <si>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</si>
  <si>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</si>
  <si>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</si>
  <si>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</si>
  <si>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</si>
  <si>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</si>
  <si>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</si>
  <si>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</si>
  <si>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</si>
  <si>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</si>
  <si>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</si>
  <si>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</si>
  <si>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</si>
  <si>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</si>
  <si>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</si>
  <si>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</si>
  <si>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</si>
  <si>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</si>
  <si>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</si>
  <si>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</si>
  <si>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</si>
  <si>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</si>
  <si>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</si>
  <si>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</si>
  <si>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</si>
  <si>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</si>
  <si>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</si>
  <si>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</si>
  <si>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</si>
  <si>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</si>
  <si>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</si>
  <si>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</si>
  <si>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</si>
  <si>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</si>
  <si>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</si>
  <si>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</si>
  <si>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</si>
  <si>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</si>
  <si>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</si>
  <si>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</si>
  <si>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</si>
  <si>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</si>
  <si>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</si>
  <si>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</si>
  <si>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</si>
  <si>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</si>
  <si>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</si>
  <si>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</si>
  <si>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</si>
  <si>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</si>
  <si>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</si>
  <si>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</si>
  <si>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</si>
  <si>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</si>
  <si>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</si>
  <si>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</si>
  <si>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</si>
  <si>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</si>
  <si>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</si>
  <si>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</si>
  <si>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</si>
  <si>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</si>
  <si>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</si>
  <si>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</si>
  <si>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</si>
  <si>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</si>
  <si>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</si>
  <si>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</si>
  <si>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</si>
  <si>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</si>
  <si>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</si>
  <si>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</si>
  <si>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</si>
  <si>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</si>
  <si>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</si>
  <si>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</si>
  <si>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</si>
  <si>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</si>
  <si>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</si>
  <si>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</si>
  <si>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</si>
  <si>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</si>
  <si>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</si>
  <si>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</si>
  <si>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</si>
  <si>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</si>
  <si>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</si>
  <si>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</si>
  <si>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</si>
  <si>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</si>
  <si>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</si>
  <si>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</si>
  <si>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</si>
  <si>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</si>
  <si>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</si>
  <si>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</si>
  <si>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</si>
  <si>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</si>
  <si>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</si>
  <si>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</si>
  <si>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</si>
  <si>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</si>
  <si>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</si>
  <si>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</si>
  <si>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</si>
  <si>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</si>
  <si>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</si>
  <si>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</si>
  <si>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</si>
  <si>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</si>
  <si>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</si>
  <si>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</si>
  <si>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</si>
  <si>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</si>
  <si>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</si>
  <si>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</si>
  <si>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</si>
  <si>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</si>
  <si>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</si>
  <si>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</si>
  <si>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</si>
  <si>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</si>
  <si>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</si>
  <si>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</si>
  <si>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</si>
  <si>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</si>
  <si>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</si>
  <si>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</si>
  <si>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</si>
  <si>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</si>
  <si>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</si>
  <si>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</si>
  <si>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</si>
  <si>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</si>
  <si>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</si>
  <si>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</si>
  <si>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</si>
  <si>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</si>
  <si>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</si>
  <si>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</si>
  <si>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</si>
  <si>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</si>
  <si>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</si>
  <si>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</si>
  <si>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</si>
  <si>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</si>
  <si>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</si>
  <si>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</si>
  <si>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</si>
  <si>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</si>
  <si>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</si>
  <si>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</si>
  <si>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</si>
  <si>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</si>
  <si>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</si>
  <si>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</si>
  <si>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</si>
  <si>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</si>
  <si>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</si>
  <si>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</si>
  <si>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</si>
  <si>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</si>
  <si>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</si>
  <si>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</si>
  <si>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</si>
  <si>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</si>
  <si>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</si>
  <si>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</si>
  <si>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</si>
  <si>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</si>
  <si>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</si>
  <si>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</si>
  <si>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</si>
  <si>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</si>
  <si>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</si>
  <si>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</si>
  <si>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</si>
  <si>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</si>
  <si>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</si>
  <si>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</si>
  <si>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</si>
  <si>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</si>
  <si>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</si>
  <si>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</si>
  <si>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</si>
  <si>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</si>
  <si>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</si>
  <si>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</si>
  <si>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</si>
  <si>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</si>
  <si>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</si>
  <si>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</si>
  <si>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</si>
  <si>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</si>
  <si>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</si>
  <si>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</si>
  <si>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</si>
  <si>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</si>
  <si>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</si>
  <si>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</si>
  <si>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</si>
  <si>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</si>
  <si>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</si>
  <si>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</si>
  <si>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</si>
  <si>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</si>
  <si>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</si>
  <si>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</si>
  <si>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</si>
  <si>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</si>
  <si>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</si>
  <si>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</si>
  <si>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</si>
  <si>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</si>
  <si>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</si>
  <si>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</si>
  <si>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</si>
  <si>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</si>
  <si>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</si>
  <si>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</si>
  <si>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</si>
  <si>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</si>
  <si>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</si>
  <si>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</si>
  <si>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</si>
  <si>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</si>
  <si>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</si>
  <si>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</si>
  <si>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</si>
  <si>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</si>
  <si>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</si>
  <si>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</si>
  <si>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</si>
  <si>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</si>
  <si>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</si>
  <si>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</si>
  <si>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</si>
  <si>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</si>
  <si>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</si>
  <si>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</si>
  <si>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</si>
  <si>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</si>
  <si>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</si>
  <si>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</si>
  <si>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</si>
  <si>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</si>
  <si>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</si>
  <si>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</si>
  <si>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</si>
  <si>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</si>
  <si>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</si>
  <si>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</si>
  <si>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</si>
  <si>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</si>
  <si>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</si>
  <si>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</si>
  <si>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</si>
  <si>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</si>
  <si>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</si>
  <si>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</si>
  <si>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</si>
  <si>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</si>
  <si>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</si>
  <si>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</si>
  <si>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</si>
  <si>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</si>
  <si>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</si>
  <si>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</si>
  <si>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</si>
  <si>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</si>
  <si>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</si>
  <si>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</si>
  <si>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</si>
  <si>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</si>
  <si>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</si>
  <si>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</si>
  <si>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</si>
  <si>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</si>
  <si>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</si>
  <si>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</si>
  <si>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</si>
  <si>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</si>
  <si>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</si>
  <si>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</si>
  <si>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</si>
  <si>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</si>
  <si>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</si>
  <si>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</si>
  <si>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</si>
  <si>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</si>
  <si>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</si>
  <si>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</si>
  <si>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</si>
  <si>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</si>
  <si>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</si>
  <si>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</si>
  <si>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</si>
  <si>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</si>
  <si>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</si>
  <si>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</si>
  <si>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</si>
  <si>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</si>
  <si>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</si>
  <si>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</si>
  <si>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</si>
  <si>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</si>
  <si>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</si>
  <si>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</si>
  <si>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</si>
  <si>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</si>
  <si>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</si>
  <si>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</si>
  <si>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</si>
  <si>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</si>
  <si>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</si>
  <si>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</si>
  <si>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</si>
  <si>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</si>
  <si>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</si>
  <si>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</si>
  <si>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</si>
  <si>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</si>
  <si>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</si>
  <si>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</si>
  <si>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</si>
  <si>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</si>
  <si>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</si>
  <si>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</si>
  <si>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</si>
  <si>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</si>
  <si>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</si>
  <si>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</si>
  <si>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</si>
  <si>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</si>
  <si>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</si>
  <si>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</si>
  <si>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</si>
  <si>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</si>
  <si>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</si>
  <si>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</si>
  <si>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</si>
  <si>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</si>
  <si>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</si>
  <si>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</si>
  <si>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</si>
  <si>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</si>
  <si>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</si>
  <si>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</si>
  <si>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</si>
  <si>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</si>
  <si>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</si>
  <si>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</si>
  <si>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</si>
  <si>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</si>
  <si>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</si>
  <si>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</si>
  <si>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</si>
  <si>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</si>
  <si>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</si>
  <si>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</si>
  <si>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</si>
  <si>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</si>
  <si>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</si>
  <si>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</si>
  <si>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</si>
  <si>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</si>
  <si>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</si>
  <si>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</si>
  <si>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</si>
  <si>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</si>
  <si>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</si>
  <si>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</si>
  <si>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</si>
  <si>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</si>
  <si>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</si>
  <si>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</si>
  <si>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</si>
  <si>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</si>
  <si>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</si>
  <si>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</si>
  <si>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</si>
  <si>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</si>
  <si>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</si>
  <si>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</si>
  <si>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</si>
  <si>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</si>
  <si>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</si>
  <si>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</si>
  <si>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</si>
  <si>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</si>
  <si>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</si>
  <si>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</si>
  <si>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</si>
  <si>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</si>
  <si>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</si>
  <si>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</si>
  <si>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</si>
  <si>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</si>
  <si>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</si>
  <si>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</si>
  <si>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</si>
  <si>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</si>
  <si>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</si>
  <si>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</si>
  <si>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</si>
  <si>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</si>
  <si>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</si>
  <si>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</si>
  <si>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</si>
  <si>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</si>
  <si>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</si>
  <si>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</si>
  <si>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</si>
  <si>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</si>
  <si>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</si>
  <si>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</si>
  <si>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</si>
  <si>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</si>
  <si>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</si>
  <si>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</si>
  <si>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</si>
  <si>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</si>
  <si>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</si>
  <si>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</si>
  <si>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</si>
  <si>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</si>
  <si>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</si>
  <si>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</si>
  <si>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</si>
  <si>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</si>
  <si>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</si>
  <si>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</si>
  <si>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</si>
  <si>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</si>
  <si>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</si>
  <si>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</si>
  <si>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</si>
  <si>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</si>
  <si>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</si>
  <si>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</si>
  <si>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</si>
  <si>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</si>
  <si>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</si>
  <si>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</si>
  <si>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</si>
  <si>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</si>
  <si>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</si>
  <si>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</si>
  <si>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</si>
  <si>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</si>
  <si>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</si>
  <si>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</si>
  <si>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</si>
  <si>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</si>
  <si>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</si>
  <si>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</si>
  <si>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</si>
  <si>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</si>
  <si>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</si>
  <si>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</si>
  <si>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</si>
  <si>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</si>
  <si>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</si>
  <si>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</si>
  <si>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</si>
  <si>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</si>
  <si>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</si>
  <si>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</si>
  <si>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</si>
  <si>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</si>
  <si>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</si>
  <si>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</si>
  <si>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</si>
  <si>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</si>
  <si>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</si>
  <si>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</si>
  <si>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</si>
  <si>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</si>
  <si>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</si>
  <si>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</si>
  <si>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</si>
  <si>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</si>
  <si>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</si>
  <si>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</si>
  <si>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</si>
  <si>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</si>
  <si>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</si>
  <si>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</si>
  <si>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</si>
  <si>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</si>
  <si>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</si>
  <si>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</si>
  <si>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</si>
  <si>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</si>
  <si>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</si>
  <si>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</si>
  <si>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</si>
  <si>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</si>
  <si>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</si>
  <si>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</si>
  <si>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</si>
  <si>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</si>
  <si>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</si>
  <si>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</si>
  <si>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</si>
  <si>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</si>
  <si>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</si>
  <si>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</si>
  <si>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</si>
  <si>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</si>
  <si>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</si>
  <si>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</si>
  <si>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</si>
  <si>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</si>
  <si>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</si>
  <si>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</si>
  <si>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</si>
  <si>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</si>
  <si>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</si>
  <si>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</si>
  <si>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</si>
  <si>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</si>
  <si>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</si>
  <si>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</si>
  <si>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</si>
  <si>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</si>
  <si>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</si>
  <si>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</si>
  <si>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</si>
  <si>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</si>
  <si>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</si>
  <si>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</si>
  <si>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</si>
  <si>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</si>
  <si>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</si>
  <si>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</si>
  <si>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</si>
  <si>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</si>
  <si>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</si>
  <si>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</si>
  <si>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</si>
  <si>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</si>
  <si>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</si>
  <si>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</si>
  <si>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</si>
  <si>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</si>
  <si>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</si>
  <si>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</si>
  <si>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</si>
  <si>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</si>
  <si>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</si>
  <si>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</si>
  <si>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</si>
  <si>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</si>
  <si>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</si>
  <si>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</si>
  <si>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</si>
  <si>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</si>
  <si>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</si>
  <si>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</si>
  <si>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</si>
  <si>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</si>
  <si>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</si>
  <si>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</si>
  <si>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</si>
  <si>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</si>
  <si>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</si>
  <si>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</si>
  <si>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</si>
  <si>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</si>
  <si>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</si>
  <si>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</si>
  <si>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</si>
  <si>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</si>
  <si>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</si>
  <si>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</si>
  <si>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</si>
  <si>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</si>
  <si>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</si>
  <si>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</si>
  <si>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</si>
  <si>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</si>
  <si>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</si>
  <si>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</si>
  <si>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</si>
  <si>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</si>
  <si>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</si>
  <si>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</si>
  <si>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</si>
  <si>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</si>
  <si>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</si>
  <si>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</si>
  <si>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</si>
  <si>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</si>
  <si>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</si>
  <si>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</si>
  <si>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</si>
  <si>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</si>
  <si>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</si>
  <si>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</si>
  <si>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</si>
  <si>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</si>
  <si>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</si>
  <si>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</si>
  <si>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</si>
  <si>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</si>
  <si>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</si>
  <si>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</si>
  <si>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</si>
  <si>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</si>
  <si>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</si>
  <si>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</si>
  <si>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</si>
  <si>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</si>
  <si>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</si>
  <si>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</si>
  <si>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</si>
  <si>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</si>
  <si>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</si>
  <si>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</si>
  <si>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</si>
  <si>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</si>
  <si>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</si>
  <si>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</si>
  <si>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</si>
  <si>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</si>
  <si>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</si>
  <si>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</si>
  <si>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</si>
  <si>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</si>
  <si>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</si>
  <si>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</si>
  <si>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</si>
  <si>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</si>
  <si>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</si>
  <si>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</si>
  <si>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</si>
  <si>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</si>
  <si>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</si>
  <si>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</si>
  <si>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</si>
  <si>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</si>
  <si>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</si>
  <si>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</si>
  <si>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</si>
  <si>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</si>
  <si>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</si>
  <si>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</si>
  <si>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</si>
  <si>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</si>
  <si>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</si>
  <si>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</si>
  <si>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</si>
  <si>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</si>
  <si>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</si>
  <si>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</si>
  <si>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</si>
  <si>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</si>
  <si>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</si>
  <si>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</si>
  <si>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</si>
  <si>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</si>
  <si>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</si>
  <si>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</si>
  <si>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</si>
  <si>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</si>
  <si>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</si>
  <si>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</si>
  <si>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</si>
  <si>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</si>
  <si>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</si>
  <si>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</si>
  <si>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</si>
  <si>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</si>
  <si>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</si>
  <si>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</si>
  <si>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</si>
  <si>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</si>
  <si>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</si>
  <si>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</si>
  <si>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</si>
  <si>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</si>
  <si>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</si>
  <si>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</si>
  <si>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</si>
  <si>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</si>
  <si>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</si>
  <si>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</si>
  <si>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</si>
  <si>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</si>
  <si>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</si>
  <si>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</si>
  <si>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</si>
  <si>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</si>
  <si>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</si>
  <si>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</si>
  <si>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</si>
  <si>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</si>
  <si>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</si>
  <si>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</si>
  <si>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</si>
  <si>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</si>
  <si>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</si>
  <si>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</si>
  <si>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</si>
  <si>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</si>
  <si>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</si>
  <si>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</si>
  <si>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</si>
  <si>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</si>
  <si>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</si>
  <si>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</si>
  <si>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</si>
  <si>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</si>
  <si>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</si>
  <si>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</si>
  <si>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</si>
  <si>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</si>
  <si>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</si>
  <si>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</si>
  <si>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</si>
  <si>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</si>
  <si>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</si>
  <si>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</si>
  <si>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</si>
  <si>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</si>
  <si>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</si>
  <si>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</si>
  <si>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</si>
  <si>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</si>
  <si>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</si>
  <si>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</si>
  <si>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</si>
  <si>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</si>
  <si>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</si>
  <si>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</si>
  <si>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</si>
  <si>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</si>
  <si>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</si>
  <si>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</si>
  <si>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</si>
  <si>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</si>
  <si>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</si>
  <si>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</si>
  <si>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</si>
  <si>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</si>
  <si>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</si>
  <si>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</si>
  <si>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</si>
  <si>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</si>
  <si>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</si>
  <si>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</si>
  <si>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</si>
  <si>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</si>
  <si>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</si>
  <si>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</si>
  <si>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</si>
  <si>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</si>
  <si>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</si>
  <si>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</si>
  <si>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</si>
  <si>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</si>
  <si>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</si>
  <si>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</si>
  <si>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</si>
  <si>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</si>
  <si>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</si>
  <si>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</si>
  <si>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</si>
  <si>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</si>
  <si>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</si>
  <si>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</si>
  <si>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</si>
  <si>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</si>
  <si>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</si>
  <si>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</si>
  <si>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</si>
  <si>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</si>
  <si>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</si>
  <si>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</si>
  <si>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</si>
  <si>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</si>
  <si>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</si>
  <si>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</si>
  <si>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</si>
  <si>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</si>
  <si>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</si>
  <si>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</si>
  <si>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</si>
  <si>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</si>
  <si>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</si>
  <si>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</si>
  <si>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</si>
  <si>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</si>
  <si>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</si>
  <si>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</si>
  <si>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</si>
  <si>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</si>
  <si>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</si>
  <si>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</si>
  <si>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</si>
  <si>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</si>
  <si>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</si>
  <si>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</si>
  <si>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</si>
  <si>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</si>
  <si>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</si>
  <si>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</si>
  <si>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</si>
  <si>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</si>
  <si>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</si>
  <si>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</si>
  <si>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</si>
  <si>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</si>
  <si>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</si>
  <si>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</si>
  <si>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</si>
  <si>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</si>
  <si>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</si>
  <si>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</si>
  <si>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</si>
  <si>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</si>
  <si>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</si>
  <si>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</si>
  <si>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</si>
  <si>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</si>
  <si>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</si>
  <si>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</si>
  <si>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</si>
  <si>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</si>
  <si>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</si>
  <si>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</si>
  <si>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</si>
  <si>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</si>
  <si>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</si>
  <si>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</si>
  <si>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</si>
  <si>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</si>
  <si>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</si>
  <si>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</si>
  <si>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</si>
  <si>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</si>
  <si>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</si>
  <si>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</si>
  <si>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</si>
  <si>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</si>
  <si>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</si>
  <si>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</si>
  <si>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</si>
  <si>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</si>
  <si>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</si>
  <si>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</si>
  <si>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</si>
  <si>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</si>
  <si>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</si>
  <si>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</si>
  <si>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</si>
  <si>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</si>
  <si>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</si>
  <si>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</si>
  <si>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</si>
  <si>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</si>
  <si>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</si>
  <si>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</si>
  <si>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</si>
  <si>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</si>
  <si>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</si>
  <si>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</si>
  <si>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</si>
  <si>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</si>
  <si>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</si>
  <si>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</si>
  <si>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</si>
  <si>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</si>
  <si>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</si>
  <si>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</si>
  <si>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</si>
  <si>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</si>
  <si>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</si>
  <si>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</si>
  <si>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</si>
  <si>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</si>
  <si>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</si>
  <si>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</si>
  <si>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</si>
  <si>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</si>
  <si>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</si>
  <si>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</si>
  <si>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</si>
  <si>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</si>
  <si>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</si>
  <si>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</si>
  <si>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</si>
  <si>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</si>
  <si>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</si>
  <si>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</si>
  <si>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</si>
  <si>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</si>
  <si>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</si>
  <si>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</si>
  <si>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</si>
  <si>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</si>
  <si>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</si>
  <si>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</si>
  <si>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</si>
  <si>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</si>
  <si>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</si>
  <si>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</si>
  <si>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</si>
  <si>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</si>
  <si>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</si>
  <si>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</si>
  <si>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</si>
  <si>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</si>
  <si>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</si>
  <si>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</si>
  <si>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</si>
  <si>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</si>
  <si>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</si>
  <si>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</si>
  <si>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</si>
  <si>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</si>
  <si>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</si>
  <si>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</si>
  <si>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</si>
  <si>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</si>
  <si>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</si>
  <si>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</si>
  <si>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</si>
  <si>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</si>
  <si>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</si>
  <si>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</si>
  <si>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</si>
  <si>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</si>
  <si>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</si>
  <si>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</si>
  <si>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</si>
  <si>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</si>
  <si>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</si>
  <si>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</si>
  <si>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</si>
  <si>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</si>
  <si>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</si>
  <si>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</si>
  <si>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</si>
  <si>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</si>
  <si>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</si>
  <si>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</si>
  <si>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</si>
  <si>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</si>
  <si>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</si>
  <si>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</si>
  <si>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</si>
  <si>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</si>
  <si>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</si>
  <si>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</si>
  <si>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</si>
  <si>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</si>
  <si>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</si>
  <si>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</si>
  <si>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</si>
  <si>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</si>
  <si>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</si>
  <si>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</si>
  <si>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</si>
  <si>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</si>
  <si>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</si>
  <si>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</si>
  <si>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</si>
  <si>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</si>
  <si>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</si>
  <si>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</si>
  <si>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</si>
  <si>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</si>
  <si>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</si>
  <si>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</si>
  <si>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</si>
  <si>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</si>
  <si>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</si>
  <si>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</si>
  <si>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</si>
  <si>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</si>
  <si>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</si>
  <si>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</si>
  <si>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</si>
  <si>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</si>
  <si>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</si>
  <si>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</si>
  <si>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</si>
  <si>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</si>
  <si>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</si>
  <si>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</si>
  <si>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</si>
  <si>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</si>
  <si>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</si>
  <si>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</si>
  <si>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</si>
  <si>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</si>
  <si>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</si>
  <si>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</si>
  <si>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</si>
  <si>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</si>
  <si>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</si>
  <si>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</si>
  <si>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</si>
  <si>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</si>
  <si>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</si>
  <si>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</si>
  <si>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</si>
  <si>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</si>
  <si>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</si>
  <si>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</si>
  <si>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</si>
  <si>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</si>
  <si>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</si>
  <si>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</si>
  <si>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</si>
  <si>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</si>
  <si>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</si>
  <si>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</si>
  <si>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</si>
  <si>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</si>
  <si>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</si>
  <si>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</si>
  <si>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</si>
  <si>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</si>
  <si>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</si>
  <si>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</si>
  <si>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</si>
  <si>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</si>
  <si>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</si>
  <si>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</si>
  <si>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</si>
  <si>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</si>
  <si>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</si>
  <si>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</si>
  <si>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</si>
  <si>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</si>
  <si>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</si>
  <si>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</si>
  <si>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</si>
  <si>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</si>
  <si>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</si>
  <si>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</si>
  <si>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</si>
  <si>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</si>
  <si>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</si>
  <si>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</si>
  <si>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</si>
  <si>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</si>
  <si>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</si>
  <si>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</si>
  <si>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</si>
  <si>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</si>
  <si>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</si>
  <si>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</si>
  <si>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</si>
  <si>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</si>
  <si>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</si>
  <si>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</si>
  <si>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</si>
  <si>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</si>
  <si>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</si>
  <si>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</si>
  <si>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</si>
  <si>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</si>
  <si>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</si>
  <si>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</si>
  <si>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</si>
  <si>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</si>
  <si>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</si>
  <si>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</si>
  <si>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</si>
  <si>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</si>
  <si>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</si>
  <si>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</si>
  <si>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</si>
  <si>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</si>
  <si>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</si>
  <si>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</si>
  <si>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</si>
  <si>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</si>
  <si>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</si>
  <si>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</si>
  <si>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</si>
  <si>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</si>
  <si>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</si>
  <si>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</si>
  <si>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</si>
  <si>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</si>
  <si>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</si>
  <si>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</si>
  <si>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</si>
  <si>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</si>
  <si>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</si>
  <si>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</si>
  <si>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</si>
  <si>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</si>
  <si>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</si>
  <si>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</si>
  <si>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</si>
  <si>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</si>
  <si>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</si>
  <si>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</si>
  <si>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</si>
  <si>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</si>
  <si>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</si>
  <si>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</si>
  <si>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</si>
  <si>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</si>
  <si>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</si>
  <si>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</si>
  <si>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</si>
  <si>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</si>
  <si>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</si>
  <si>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</si>
  <si>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</si>
  <si>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</si>
  <si>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</si>
  <si>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</si>
  <si>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</si>
  <si>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</si>
  <si>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</si>
  <si>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</si>
  <si>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</si>
  <si>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</si>
  <si>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</si>
  <si>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</si>
  <si>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</si>
  <si>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</si>
  <si>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</si>
  <si>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</si>
  <si>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</si>
  <si>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</si>
  <si>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</si>
  <si>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</si>
  <si>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</si>
  <si>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</si>
  <si>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</si>
  <si>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</si>
  <si>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</si>
  <si>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</si>
  <si>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</si>
  <si>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</si>
  <si>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</si>
  <si>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</si>
  <si>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</si>
  <si>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</si>
  <si>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</si>
  <si>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</si>
  <si>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</si>
  <si>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</si>
  <si>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</si>
  <si>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</si>
  <si>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</si>
  <si>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</si>
  <si>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</si>
  <si>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</si>
  <si>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</si>
  <si>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</si>
  <si>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</si>
  <si>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</si>
  <si>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</si>
  <si>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</si>
  <si>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</si>
  <si>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</si>
  <si>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</si>
  <si>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</si>
  <si>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</si>
  <si>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</si>
  <si>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</si>
  <si>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</si>
  <si>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</si>
  <si>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</si>
  <si>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</si>
  <si>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</si>
  <si>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</si>
  <si>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</si>
  <si>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</si>
  <si>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</si>
  <si>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</si>
  <si>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</si>
  <si>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</si>
  <si>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</si>
  <si>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</si>
  <si>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</si>
  <si>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</si>
  <si>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</si>
  <si>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</si>
  <si>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</si>
  <si>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</si>
  <si>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</si>
  <si>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</si>
  <si>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</si>
  <si>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</si>
  <si>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</si>
  <si>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</si>
  <si>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</si>
  <si>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</si>
  <si>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</si>
  <si>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</si>
  <si>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</si>
  <si>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</si>
  <si>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</si>
  <si>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</si>
  <si>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</si>
  <si>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</si>
  <si>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</si>
  <si>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</si>
  <si>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</si>
  <si>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</si>
  <si>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</si>
  <si>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</si>
  <si>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</si>
  <si>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</si>
  <si>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</si>
  <si>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</si>
  <si>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</si>
  <si>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</si>
  <si>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</si>
  <si>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</si>
  <si>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</si>
  <si>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</si>
  <si>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</si>
  <si>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</si>
  <si>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</si>
  <si>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</si>
  <si>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</si>
  <si>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</si>
  <si>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</si>
  <si>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</si>
  <si>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</si>
  <si>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</si>
  <si>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</si>
  <si>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</si>
  <si>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</si>
  <si>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</si>
  <si>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</si>
  <si>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</si>
  <si>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</si>
  <si>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</si>
  <si>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</si>
  <si>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</si>
  <si>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</si>
  <si>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</si>
  <si>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</si>
  <si>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</si>
  <si>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</si>
  <si>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</si>
  <si>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</si>
  <si>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</si>
  <si>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</si>
  <si>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</si>
  <si>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</si>
  <si>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</si>
  <si>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</si>
  <si>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</si>
  <si>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</si>
  <si>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</si>
  <si>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</si>
  <si>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</si>
  <si>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</si>
  <si>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</si>
  <si>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</si>
  <si>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</si>
  <si>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</si>
  <si>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</si>
  <si>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</si>
  <si>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</si>
  <si>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</si>
  <si>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</si>
  <si>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</si>
  <si>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</si>
  <si>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</si>
  <si>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</si>
  <si>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</si>
  <si>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</si>
  <si>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</si>
  <si>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</si>
  <si>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</si>
  <si>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</si>
  <si>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</si>
  <si>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</si>
  <si>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</si>
  <si>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</si>
  <si>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</si>
  <si>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</si>
  <si>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</si>
  <si>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</si>
  <si>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</si>
  <si>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</si>
  <si>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</si>
  <si>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</si>
  <si>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</si>
  <si>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</si>
  <si>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</si>
  <si>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</si>
  <si>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</si>
  <si>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</si>
  <si>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</si>
  <si>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</si>
  <si>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</si>
  <si>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</si>
  <si>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</si>
  <si>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</si>
  <si>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</si>
  <si>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</si>
  <si>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</si>
  <si>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</si>
  <si>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</si>
  <si>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</si>
  <si>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</si>
  <si>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</si>
  <si>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</si>
  <si>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</si>
  <si>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</si>
  <si>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</si>
  <si>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</si>
  <si>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</si>
  <si>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</si>
  <si>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</si>
  <si>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</si>
  <si>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</si>
  <si>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</si>
  <si>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</si>
  <si>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</si>
  <si>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</si>
  <si>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</si>
  <si>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</si>
  <si>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</si>
  <si>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</si>
  <si>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</si>
  <si>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</si>
  <si>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</si>
  <si>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</si>
  <si>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</si>
  <si>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</si>
  <si>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</si>
  <si>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</si>
  <si>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</si>
  <si>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</si>
  <si>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</si>
  <si>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</si>
  <si>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</si>
  <si>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</si>
  <si>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</si>
  <si>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</si>
  <si>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</si>
  <si>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</si>
  <si>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</si>
  <si>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</si>
  <si>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</si>
  <si>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</si>
  <si>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</si>
  <si>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</si>
  <si>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</si>
  <si>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</si>
  <si>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</si>
  <si>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</si>
  <si>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</si>
  <si>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</si>
  <si>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</si>
  <si>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</si>
  <si>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</si>
  <si>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</si>
  <si>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</si>
  <si>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</si>
  <si>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</si>
  <si>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</si>
  <si>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</si>
  <si>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</si>
  <si>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</si>
  <si>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</si>
  <si>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</si>
  <si>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</si>
  <si>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</si>
  <si>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</si>
  <si>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</si>
  <si>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</si>
  <si>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</si>
  <si>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</si>
  <si>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</si>
  <si>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</si>
  <si>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</si>
  <si>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</si>
  <si>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</si>
  <si>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</si>
  <si>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</si>
  <si>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</si>
  <si>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</si>
  <si>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</si>
  <si>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</si>
  <si>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</si>
  <si>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</si>
  <si>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</si>
  <si>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</si>
  <si>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</si>
  <si>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</si>
  <si>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</si>
  <si>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</si>
  <si>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</si>
  <si>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</si>
  <si>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</si>
  <si>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</si>
  <si>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</si>
  <si>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</si>
  <si>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</si>
  <si>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</si>
  <si>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</si>
  <si>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</si>
  <si>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</si>
  <si>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</si>
  <si>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</si>
  <si>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</si>
  <si>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</si>
  <si>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</si>
  <si>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</si>
  <si>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</si>
  <si>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</si>
  <si>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</si>
  <si>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</si>
  <si>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</si>
  <si>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</si>
  <si>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</si>
  <si>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</si>
  <si>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</si>
  <si>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</si>
  <si>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</si>
  <si>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</si>
  <si>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</si>
  <si>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</si>
  <si>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</si>
  <si>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</si>
  <si>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</si>
  <si>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</si>
  <si>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</si>
  <si>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</si>
  <si>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</si>
  <si>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</si>
  <si>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</si>
  <si>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</si>
  <si>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</si>
  <si>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</si>
  <si>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</si>
  <si>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</si>
  <si>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</si>
  <si>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</si>
  <si>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</si>
  <si>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</si>
  <si>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</si>
  <si>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</si>
  <si>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</si>
  <si>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</si>
  <si>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</si>
  <si>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</si>
  <si>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</si>
  <si>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</si>
  <si>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</si>
  <si>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</si>
  <si>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</si>
  <si>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</si>
  <si>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</si>
  <si>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</si>
  <si>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</si>
  <si>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</si>
  <si>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</si>
  <si>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</si>
  <si>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</si>
  <si>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</si>
  <si>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</si>
  <si>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</si>
  <si>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</si>
  <si>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</si>
  <si>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</si>
  <si>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</si>
  <si>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</si>
  <si>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</si>
  <si>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</si>
  <si>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</si>
  <si>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</si>
  <si>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</si>
  <si>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</si>
  <si>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</si>
  <si>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</si>
  <si>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</si>
  <si>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</si>
  <si>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</si>
  <si>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</si>
  <si>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</si>
  <si>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</si>
  <si>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</si>
  <si>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</si>
  <si>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</si>
  <si>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</si>
  <si>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</si>
  <si>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</si>
  <si>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</si>
  <si>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</si>
  <si>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</si>
  <si>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</si>
  <si>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</si>
  <si>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</si>
  <si>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</si>
  <si>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</si>
  <si>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</si>
  <si>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</si>
  <si>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</si>
  <si>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</si>
  <si>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</si>
  <si>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</si>
  <si>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</si>
  <si>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</si>
  <si>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</si>
  <si>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</si>
  <si>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</si>
  <si>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</si>
  <si>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</si>
  <si>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</si>
  <si>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</si>
  <si>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</si>
  <si>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</si>
  <si>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</si>
  <si>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</si>
  <si>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</si>
  <si>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</si>
  <si>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</si>
  <si>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</si>
  <si>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</si>
  <si>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</si>
  <si>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</si>
  <si>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</si>
  <si>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</si>
  <si>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</si>
  <si>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</si>
  <si>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</si>
  <si>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</si>
  <si>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</si>
  <si>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</si>
  <si>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</si>
  <si>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</si>
  <si>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</si>
  <si>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</si>
  <si>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</si>
  <si>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</si>
  <si>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</si>
  <si>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</si>
  <si>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</si>
  <si>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</si>
  <si>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</si>
  <si>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</si>
  <si>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</si>
  <si>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</si>
  <si>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</si>
  <si>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</si>
  <si>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</si>
  <si>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</si>
  <si>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</si>
  <si>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</si>
  <si>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</si>
  <si>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</si>
  <si>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</si>
  <si>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</si>
  <si>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</si>
  <si>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</si>
  <si>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</si>
  <si>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(Multiple Items)</t>
  </si>
  <si>
    <t>IT08030000</t>
  </si>
  <si>
    <t>NO USE</t>
  </si>
  <si>
    <t>SM-G Mirror CC Typ-C Equipment</t>
  </si>
  <si>
    <t>SM-G Mirror CC Typ-R Reimburs. (h alloc)</t>
  </si>
  <si>
    <t>FR8003901</t>
  </si>
  <si>
    <t>to do in 2026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</si>
  <si>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</si>
  <si>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</si>
  <si>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</si>
  <si>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</si>
  <si>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</si>
  <si>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</si>
  <si>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</si>
  <si>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</si>
  <si>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</si>
  <si>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Standard</t>
  </si>
  <si>
    <t>H000004863</t>
  </si>
  <si>
    <t>H000004864</t>
  </si>
  <si>
    <t>H000004865</t>
  </si>
  <si>
    <t>UNKNOWN</t>
  </si>
  <si>
    <t>MERCK SERONO ITALY - BARI (CCH)</t>
  </si>
  <si>
    <t>1250BA - OPERATIONS</t>
  </si>
  <si>
    <t>1250BA - OPERATIONS SUPPORT SERVICES</t>
  </si>
  <si>
    <t>H000001474</t>
  </si>
  <si>
    <t>1250BA - SITE INFRASTRUCTURE</t>
  </si>
  <si>
    <t>1250BA - QUALITY</t>
  </si>
  <si>
    <t>1250BA - OTHERS</t>
  </si>
  <si>
    <t>H000011472</t>
  </si>
  <si>
    <t>1250BA - MANUFACTURING</t>
  </si>
  <si>
    <t>H000012472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</si>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</sst>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90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67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</cellXfs>
  <cellStyles count="90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85.885780555553" createdVersion="7" refreshedVersion="7" minRefreshableVersion="3" recordCount="1711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711"/>
    </cacheField>
    <cacheField name="Forecast?" numFmtId="0">
      <sharedItems/>
    </cacheField>
    <cacheField name="Ticket" numFmtId="0">
      <sharedItems count="90"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  <s v="FR7606159"/>
        <s v="FR7659991"/>
        <s v="FR7668502"/>
        <s v="FR7668842"/>
        <s v="FR7675306"/>
        <s v="FR7681936"/>
        <s v="FR7705106"/>
        <s v="FR7760803"/>
        <s v="FR7778403"/>
        <s v="FR7784231"/>
        <s v="FR7797613"/>
        <s v="FR7803031"/>
        <s v="FR7835665"/>
        <s v="FR7856979"/>
        <s v="FR7861562"/>
        <s v="FR7864413"/>
        <s v="FR7889853"/>
        <s v="FR7896868"/>
        <s v="FR7917475"/>
        <s v="FR7917547"/>
        <s v="FR7918730"/>
        <s v="FR7920295"/>
        <s v="FR7989109"/>
        <s v="FR7986848"/>
        <s v="FR6801039" u="1"/>
        <s v="FR6711984" u="1"/>
        <s v="FR6797793" u="1"/>
        <s v="FR6914320" u="1"/>
        <s v="FR6884110" u="1"/>
        <s v="FR6737570" u="1"/>
        <s v="FR6855390" u="1"/>
        <s v="FR6712079" u="1"/>
        <s v="FR6837097" u="1"/>
        <s v="FR6803608" u="1"/>
        <s v="FR6808342" u="1"/>
        <s v="FR6853680" u="1"/>
        <s v="FR6831903" u="1"/>
        <s v="FR6700341" u="1"/>
        <s v="FR6736844" u="1"/>
        <s v="FR6762200" u="1"/>
        <s v="FR6821884" u="1"/>
        <s v="FR6799262" u="1"/>
        <s v="FR6894527" u="1"/>
        <s v="FR68795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 u="1"/>
        <m u="1"/>
      </sharedItems>
    </cacheField>
    <cacheField name="STATUS Check" numFmtId="0">
      <sharedItems containsBlank="1" count="7">
        <s v="completed"/>
        <s v="done"/>
        <m u="1"/>
        <s v="Not to work on" u="1"/>
        <s v="submitted" u="1"/>
        <s v="confirmed" u="1"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11">
  <r>
    <n v="1"/>
    <s v="F1"/>
    <x v="0"/>
    <s v="G000000994 "/>
    <m/>
    <s v="G000000529"/>
    <s v="Move"/>
    <x v="0"/>
    <x v="0"/>
    <s v="MGF"/>
    <m/>
    <m/>
    <s v="Francesco Ricioppo"/>
  </r>
  <r>
    <n v="2"/>
    <s v="F1"/>
    <x v="0"/>
    <s v="G000000995 "/>
    <m/>
    <s v="G000000529"/>
    <s v="Move"/>
    <x v="0"/>
    <x v="0"/>
    <s v="MGF"/>
    <m/>
    <m/>
    <s v="Francesco Ricioppo"/>
  </r>
  <r>
    <n v="3"/>
    <s v="F1"/>
    <x v="0"/>
    <s v="G000000993 "/>
    <m/>
    <s v="G000000873"/>
    <s v="Move"/>
    <x v="0"/>
    <x v="0"/>
    <s v="MGF"/>
    <m/>
    <m/>
    <s v="Francesco Ricioppo"/>
  </r>
  <r>
    <n v="4"/>
    <s v="F1"/>
    <x v="1"/>
    <s v="G000001357"/>
    <s v="MBS S&amp;T Learning &amp; Develop., Knwldg Mgt"/>
    <s v="G000001146"/>
    <s v="New"/>
    <x v="0"/>
    <x v="0"/>
    <s v="MGF"/>
    <m/>
    <m/>
    <s v="Yvonne Doernhofer"/>
  </r>
  <r>
    <n v="5"/>
    <s v="F1"/>
    <x v="1"/>
    <s v="G000001191"/>
    <s v="MBS S&amp;T - Business Process Management"/>
    <m/>
    <s v="Rename"/>
    <x v="0"/>
    <x v="0"/>
    <s v="MGF"/>
    <m/>
    <m/>
    <s v="Yvonne Doernhofer"/>
  </r>
  <r>
    <n v="6"/>
    <s v="F1"/>
    <x v="2"/>
    <s v="G000000511"/>
    <m/>
    <s v="G000000873"/>
    <s v="Move"/>
    <x v="0"/>
    <x v="0"/>
    <s v="MGF"/>
    <m/>
    <m/>
    <s v="Francesco Ricioppo"/>
  </r>
  <r>
    <n v="7"/>
    <s v="F1"/>
    <x v="2"/>
    <s v="G000000512"/>
    <m/>
    <s v="G000000873"/>
    <s v="Move"/>
    <x v="0"/>
    <x v="0"/>
    <s v="MGF"/>
    <m/>
    <m/>
    <s v="Francesco Ricioppo"/>
  </r>
  <r>
    <n v="8"/>
    <s v="F1"/>
    <x v="2"/>
    <s v="G000000513"/>
    <m/>
    <s v="G000000873"/>
    <s v="Move"/>
    <x v="0"/>
    <x v="0"/>
    <s v="MGF"/>
    <m/>
    <m/>
    <s v="Francesco Ricioppo"/>
  </r>
  <r>
    <n v="9"/>
    <s v="F1"/>
    <x v="2"/>
    <s v="G000000514"/>
    <m/>
    <s v="G000000873"/>
    <s v="Move"/>
    <x v="0"/>
    <x v="0"/>
    <s v="MGF"/>
    <m/>
    <m/>
    <s v="Francesco Ricioppo"/>
  </r>
  <r>
    <n v="10"/>
    <s v="F1"/>
    <x v="2"/>
    <s v="G000001007"/>
    <m/>
    <s v="G000000873"/>
    <s v="Move"/>
    <x v="0"/>
    <x v="0"/>
    <s v="MGF"/>
    <m/>
    <m/>
    <s v="Francesco Ricioppo"/>
  </r>
  <r>
    <n v="11"/>
    <s v="F1"/>
    <x v="2"/>
    <s v="G000001065"/>
    <m/>
    <s v="G000000873"/>
    <s v="Move"/>
    <x v="0"/>
    <x v="0"/>
    <s v="MGF"/>
    <m/>
    <m/>
    <s v="Francesco Ricioppo"/>
  </r>
  <r>
    <n v="12"/>
    <s v="F1"/>
    <x v="2"/>
    <s v="G000001066"/>
    <m/>
    <s v="G000000873"/>
    <s v="Move"/>
    <x v="0"/>
    <x v="0"/>
    <s v="MGF"/>
    <m/>
    <m/>
    <s v="Francesco Ricioppo"/>
  </r>
  <r>
    <n v="13"/>
    <s v="F1"/>
    <x v="3"/>
    <s v="G000000392"/>
    <s v="SM-PT"/>
    <m/>
    <s v="Rename"/>
    <x v="0"/>
    <x v="0"/>
    <s v="MGF"/>
    <m/>
    <m/>
    <s v="Marcus Morowski"/>
  </r>
  <r>
    <n v="14"/>
    <s v="F1"/>
    <x v="3"/>
    <s v="G000000389"/>
    <s v="SM-PM und PT"/>
    <m/>
    <s v="Rename"/>
    <x v="0"/>
    <x v="0"/>
    <s v="MGF"/>
    <m/>
    <m/>
    <s v="Marcus Morowski"/>
  </r>
  <r>
    <n v="15"/>
    <s v="F1"/>
    <x v="3"/>
    <s v="G000000918"/>
    <s v="SM-PTT Material Management"/>
    <m/>
    <s v="Rename"/>
    <x v="0"/>
    <x v="0"/>
    <s v="MGF"/>
    <m/>
    <m/>
    <s v="Marcus Morowski"/>
  </r>
  <r>
    <n v="16"/>
    <s v="F1"/>
    <x v="3"/>
    <s v="G000000919"/>
    <s v="SM-PTT Technical Warehouse"/>
    <m/>
    <s v="Rename"/>
    <x v="0"/>
    <x v="0"/>
    <s v="MGF"/>
    <m/>
    <m/>
    <s v="Marcus Morowski"/>
  </r>
  <r>
    <n v="17"/>
    <s v="F1"/>
    <x v="3"/>
    <s v="G000000919"/>
    <s v="SM-PTT IVV Allocation CCs"/>
    <m/>
    <s v="Rename"/>
    <x v="0"/>
    <x v="0"/>
    <s v="MGF"/>
    <s v="WTF, duplicated"/>
    <m/>
    <s v="Marcus Morowski"/>
  </r>
  <r>
    <n v="18"/>
    <s v="F1"/>
    <x v="3"/>
    <s v="G000000387"/>
    <s v="SM-PM"/>
    <s v="G000000389"/>
    <s v="Rename/Move"/>
    <x v="0"/>
    <x v="0"/>
    <s v="MGF"/>
    <m/>
    <m/>
    <s v="Marcus Morowski"/>
  </r>
  <r>
    <n v="19"/>
    <s v="F1"/>
    <x v="3"/>
    <s v="G000000391"/>
    <s v="SM-PMA"/>
    <s v="G000000387"/>
    <s v="Rename/Move"/>
    <x v="0"/>
    <x v="0"/>
    <s v="MGF"/>
    <m/>
    <m/>
    <s v="Marcus Morowski"/>
  </r>
  <r>
    <n v="20"/>
    <s v="F1"/>
    <x v="4"/>
    <s v="P000000196"/>
    <s v="PG1 Blending+Packaging"/>
    <m/>
    <s v="Rename"/>
    <x v="0"/>
    <x v="0"/>
    <s v="EL"/>
    <m/>
    <m/>
    <s v="Gerhard Doeller"/>
  </r>
  <r>
    <n v="21"/>
    <s v="F1"/>
    <x v="4"/>
    <s v="P000000197"/>
    <s v="PG2 Coating"/>
    <m/>
    <s v="Rename"/>
    <x v="0"/>
    <x v="0"/>
    <s v="EL"/>
    <m/>
    <m/>
    <s v="Gerhard Doeller"/>
  </r>
  <r>
    <n v="22"/>
    <s v="F1"/>
    <x v="4"/>
    <s v="P000000198"/>
    <s v="PG1 Substrates"/>
    <m/>
    <s v="Rename"/>
    <x v="0"/>
    <x v="0"/>
    <s v="EL"/>
    <m/>
    <m/>
    <s v="Gerhard Doeller"/>
  </r>
  <r>
    <n v="23"/>
    <s v="F1"/>
    <x v="5"/>
    <s v="L000013817"/>
    <s v="Business Integration _GPO "/>
    <s v="L000013445"/>
    <s v="New"/>
    <x v="0"/>
    <x v="0"/>
    <s v="LS"/>
    <m/>
    <m/>
    <s v="Jayson Martinez"/>
  </r>
  <r>
    <n v="24"/>
    <s v="F1"/>
    <x v="5"/>
    <s v="L000013818"/>
    <s v="Business Integration _PS VS "/>
    <s v="L000013417"/>
    <s v="New"/>
    <x v="0"/>
    <x v="0"/>
    <s v="LS"/>
    <m/>
    <m/>
    <s v="Jayson Martinez"/>
  </r>
  <r>
    <n v="25"/>
    <s v="F1"/>
    <x v="5"/>
    <s v="L000013819"/>
    <s v="mRNA and LNP Innovation"/>
    <s v="L000006420"/>
    <s v="New"/>
    <x v="0"/>
    <x v="0"/>
    <s v="LS"/>
    <m/>
    <m/>
    <s v="Jayson Martinez"/>
  </r>
  <r>
    <n v="26"/>
    <s v="F1"/>
    <x v="5"/>
    <s v="L000013820"/>
    <s v="Bioconujation and SM Innovation"/>
    <s v="L000006420"/>
    <s v="New"/>
    <x v="0"/>
    <x v="0"/>
    <s v="LS"/>
    <m/>
    <m/>
    <s v="Jayson Martinez"/>
  </r>
  <r>
    <n v="27"/>
    <s v="F1"/>
    <x v="5"/>
    <s v="L000013821"/>
    <s v="Viral Vectors Innovation"/>
    <s v="L000013174"/>
    <s v="New"/>
    <x v="0"/>
    <x v="0"/>
    <s v="LS"/>
    <m/>
    <m/>
    <s v="Jayson Martinez"/>
  </r>
  <r>
    <n v="28"/>
    <s v="F1"/>
    <x v="5"/>
    <s v="L000013822"/>
    <s v="Biologics Innovation"/>
    <s v="L000013174"/>
    <s v="New"/>
    <x v="0"/>
    <x v="0"/>
    <s v="LS"/>
    <m/>
    <m/>
    <s v="Jayson Martinez"/>
  </r>
  <r>
    <n v="29"/>
    <s v="F1"/>
    <x v="5"/>
    <s v="L000013823"/>
    <s v="PMO CDMO Innovation"/>
    <s v="L000013785"/>
    <s v="New"/>
    <x v="0"/>
    <x v="0"/>
    <s v="LS"/>
    <m/>
    <m/>
    <s v="Jayson Martinez"/>
  </r>
  <r>
    <n v="30"/>
    <s v="F1"/>
    <x v="5"/>
    <s v="L000005722"/>
    <s v="BM - Comm NA - South Pharma"/>
    <m/>
    <s v="Rename"/>
    <x v="0"/>
    <x v="0"/>
    <s v="LS"/>
    <m/>
    <m/>
    <s v="Jayson Martinez"/>
  </r>
  <r>
    <n v="31"/>
    <s v="F1"/>
    <x v="5"/>
    <s v="L000013350"/>
    <s v="CDMO - APAC Sales"/>
    <m/>
    <s v="Rename"/>
    <x v="0"/>
    <x v="0"/>
    <s v="LS"/>
    <m/>
    <m/>
    <s v="Jayson Martinez"/>
  </r>
  <r>
    <n v="32"/>
    <s v="F1"/>
    <x v="5"/>
    <s v="L000006425"/>
    <s v="Synthesis mRNA delivery &amp; PEG's"/>
    <s v="L000013819"/>
    <s v="Rename/Move"/>
    <x v="0"/>
    <x v="0"/>
    <s v="LS"/>
    <m/>
    <m/>
    <s v="Jayson Martinez"/>
  </r>
  <r>
    <n v="33"/>
    <s v="F1"/>
    <x v="5"/>
    <s v="L000006429"/>
    <s v="mRNA Delivery / Manufacturing"/>
    <s v="L000013819"/>
    <s v="Rename/Move"/>
    <x v="0"/>
    <x v="0"/>
    <s v="LS"/>
    <m/>
    <m/>
    <s v="Jayson Martinez"/>
  </r>
  <r>
    <n v="34"/>
    <s v="F1"/>
    <x v="5"/>
    <s v="L000006431"/>
    <s v="ADC Payload Automation &amp; Digital"/>
    <s v="L000013820"/>
    <s v="Rename/Move"/>
    <x v="0"/>
    <x v="0"/>
    <s v="LS"/>
    <m/>
    <m/>
    <s v="Jayson Martinez"/>
  </r>
  <r>
    <n v="35"/>
    <s v="F1"/>
    <x v="5"/>
    <s v="L000011451"/>
    <s v="ADC Bionconjugation Template"/>
    <s v="L000013820"/>
    <s v="Rename/Move"/>
    <x v="0"/>
    <x v="0"/>
    <s v="LS"/>
    <m/>
    <m/>
    <s v="Jayson Martinez"/>
  </r>
  <r>
    <n v="36"/>
    <s v="F1"/>
    <x v="5"/>
    <s v="L000007087"/>
    <s v="VV Innovation"/>
    <s v="L000013821"/>
    <s v="Rename/Move"/>
    <x v="0"/>
    <x v="0"/>
    <s v="LS"/>
    <m/>
    <m/>
    <s v="Jayson Martinez"/>
  </r>
  <r>
    <n v="37"/>
    <s v="F1"/>
    <x v="5"/>
    <s v="L000006414"/>
    <s v="Synthesis &amp; ADC CDMO Management"/>
    <s v="L000013789"/>
    <s v="Rename/Move"/>
    <x v="0"/>
    <x v="0"/>
    <s v="LS"/>
    <m/>
    <m/>
    <s v="Jayson Martinez"/>
  </r>
  <r>
    <n v="38"/>
    <s v="F1"/>
    <x v="5"/>
    <s v="L000013151"/>
    <s v="CDMO Operations"/>
    <s v="L000009201"/>
    <s v="Rename/Move"/>
    <x v="0"/>
    <x v="0"/>
    <s v="LS"/>
    <m/>
    <m/>
    <s v="Jayson Martinez"/>
  </r>
  <r>
    <n v="39"/>
    <s v="F1"/>
    <x v="5"/>
    <s v="L000013152"/>
    <s v="SAC BP &amp; Implementation"/>
    <s v="L000013789"/>
    <s v="Rename/Move"/>
    <x v="0"/>
    <x v="0"/>
    <s v="LS"/>
    <m/>
    <m/>
    <s v="Jayson Martinez"/>
  </r>
  <r>
    <n v="40"/>
    <s v="F1"/>
    <x v="5"/>
    <s v="L000006947"/>
    <s v="BioVV - Management"/>
    <s v="L000013789"/>
    <s v="Rename/Move"/>
    <x v="0"/>
    <x v="0"/>
    <s v="LS"/>
    <m/>
    <m/>
    <s v="Jayson Martinez"/>
  </r>
  <r>
    <n v="41"/>
    <s v="F1"/>
    <x v="5"/>
    <s v="L000006952"/>
    <s v="BioVV - Strategy"/>
    <s v="L000012321"/>
    <s v="Rename/Move"/>
    <x v="0"/>
    <x v="0"/>
    <s v="LS"/>
    <m/>
    <m/>
    <s v="Jayson Martinez"/>
  </r>
  <r>
    <n v="42"/>
    <s v="F1"/>
    <x v="5"/>
    <s v="L000009432"/>
    <s v="CDMO - Carlsbad"/>
    <s v="L000013151"/>
    <s v="Rename/Move"/>
    <x v="0"/>
    <x v="0"/>
    <s v="LS"/>
    <m/>
    <m/>
    <s v="Jayson Martinez"/>
  </r>
  <r>
    <n v="43"/>
    <s v="F1"/>
    <x v="5"/>
    <s v="L000011494"/>
    <s v="CDMO - Martillac"/>
    <s v="L000013151"/>
    <s v="Rename/Move"/>
    <x v="0"/>
    <x v="0"/>
    <s v="LS"/>
    <m/>
    <m/>
    <s v="Jayson Martinez"/>
  </r>
  <r>
    <n v="44"/>
    <s v="F1"/>
    <x v="5"/>
    <s v="L000011503"/>
    <s v="CDMO - Burlington"/>
    <s v="L000013151"/>
    <s v="Rename/Move"/>
    <x v="0"/>
    <x v="0"/>
    <s v="LS"/>
    <m/>
    <m/>
    <s v="Jayson Martinez"/>
  </r>
  <r>
    <n v="45"/>
    <s v="F1"/>
    <x v="5"/>
    <s v="L000013178"/>
    <s v="BioVV - Bus. Planning &amp; Implementation"/>
    <s v="L000013789"/>
    <s v="Rename/Move"/>
    <x v="0"/>
    <x v="0"/>
    <s v="LS"/>
    <m/>
    <m/>
    <s v="Jayson Martinez"/>
  </r>
  <r>
    <n v="46"/>
    <s v="F1"/>
    <x v="5"/>
    <s v="L000013398"/>
    <s v="CDMO - Shanghai"/>
    <s v="L000013151"/>
    <s v="Rename/Move"/>
    <x v="0"/>
    <x v="0"/>
    <s v="LS"/>
    <m/>
    <m/>
    <s v="Jayson Martinez"/>
  </r>
  <r>
    <n v="47"/>
    <s v="F1"/>
    <x v="5"/>
    <s v="L000013527"/>
    <m/>
    <s v="L000013817"/>
    <s v="Move"/>
    <x v="0"/>
    <x v="0"/>
    <s v="LS"/>
    <m/>
    <m/>
    <s v="Jayson Martinez"/>
  </r>
  <r>
    <n v="48"/>
    <s v="F1"/>
    <x v="5"/>
    <s v="L000006951"/>
    <m/>
    <s v="L000013779"/>
    <s v="Move"/>
    <x v="0"/>
    <x v="0"/>
    <s v="LS"/>
    <m/>
    <m/>
    <s v="Jayson Martinez"/>
  </r>
  <r>
    <n v="49"/>
    <s v="F1"/>
    <x v="5"/>
    <s v="L000007094"/>
    <m/>
    <s v="L000013821"/>
    <s v="Move"/>
    <x v="0"/>
    <x v="0"/>
    <s v="LS"/>
    <m/>
    <m/>
    <s v="Jayson Martinez"/>
  </r>
  <r>
    <n v="50"/>
    <s v="F1"/>
    <x v="5"/>
    <s v="L000013272"/>
    <m/>
    <s v="L000013821"/>
    <s v="Move"/>
    <x v="0"/>
    <x v="0"/>
    <s v="LS"/>
    <m/>
    <m/>
    <s v="Jayson Martinez"/>
  </r>
  <r>
    <n v="51"/>
    <s v="F1"/>
    <x v="5"/>
    <s v="L000013808"/>
    <m/>
    <s v="L000013775"/>
    <s v="Move"/>
    <x v="0"/>
    <x v="0"/>
    <s v="LS"/>
    <m/>
    <m/>
    <s v="Jayson Martinez"/>
  </r>
  <r>
    <n v="52"/>
    <s v="F1"/>
    <x v="5"/>
    <s v="L000005433"/>
    <m/>
    <s v="L000005326"/>
    <s v="Move"/>
    <x v="0"/>
    <x v="0"/>
    <s v="LS"/>
    <m/>
    <m/>
    <s v="Jayson Martinez"/>
  </r>
  <r>
    <n v="53"/>
    <s v="F1"/>
    <x v="5"/>
    <s v="L000005673"/>
    <m/>
    <s v="L000005668"/>
    <s v="Move"/>
    <x v="0"/>
    <x v="0"/>
    <s v="LS"/>
    <m/>
    <m/>
    <s v="Jayson Martinez"/>
  </r>
  <r>
    <n v="54"/>
    <s v="F1"/>
    <x v="5"/>
    <s v="L000006391"/>
    <m/>
    <s v="L000013786"/>
    <s v="Move"/>
    <x v="0"/>
    <x v="0"/>
    <s v="LS"/>
    <m/>
    <m/>
    <s v="Jayson Martinez"/>
  </r>
  <r>
    <n v="55"/>
    <s v="F1"/>
    <x v="5"/>
    <s v="L000006420"/>
    <m/>
    <s v="L000013785"/>
    <s v="Move"/>
    <x v="0"/>
    <x v="0"/>
    <s v="LS"/>
    <m/>
    <m/>
    <s v="Jayson Martinez"/>
  </r>
  <r>
    <n v="56"/>
    <s v="F1"/>
    <x v="5"/>
    <s v="L000006448"/>
    <m/>
    <s v="L000012321"/>
    <s v="Move"/>
    <x v="0"/>
    <x v="0"/>
    <s v="LS"/>
    <m/>
    <m/>
    <s v="Jayson Martinez"/>
  </r>
  <r>
    <n v="57"/>
    <s v="F1"/>
    <x v="5"/>
    <s v="L000006496"/>
    <m/>
    <s v="L000013784"/>
    <s v="Move"/>
    <x v="0"/>
    <x v="0"/>
    <s v="LS"/>
    <m/>
    <m/>
    <s v="Jayson Martinez"/>
  </r>
  <r>
    <n v="58"/>
    <s v="F1"/>
    <x v="5"/>
    <s v="L000011470"/>
    <m/>
    <s v="L000013783"/>
    <s v="Move"/>
    <x v="0"/>
    <x v="0"/>
    <s v="LS"/>
    <m/>
    <m/>
    <s v="Jayson Martinez"/>
  </r>
  <r>
    <n v="59"/>
    <s v="F1"/>
    <x v="5"/>
    <s v="L000013666"/>
    <m/>
    <s v="L000013787"/>
    <s v="Move"/>
    <x v="0"/>
    <x v="0"/>
    <s v="LS"/>
    <m/>
    <m/>
    <s v="Jayson Martinez"/>
  </r>
  <r>
    <n v="60"/>
    <s v="F1"/>
    <x v="5"/>
    <s v="L000006936"/>
    <m/>
    <s v="L000013786"/>
    <s v="Move"/>
    <x v="0"/>
    <x v="0"/>
    <s v="LS"/>
    <m/>
    <m/>
    <s v="Jayson Martinez"/>
  </r>
  <r>
    <n v="61"/>
    <s v="F1"/>
    <x v="5"/>
    <s v="L000007043"/>
    <m/>
    <s v="L000013787"/>
    <s v="Move"/>
    <x v="0"/>
    <x v="0"/>
    <s v="LS"/>
    <m/>
    <m/>
    <s v="Jayson Martinez"/>
  </r>
  <r>
    <n v="62"/>
    <s v="F1"/>
    <x v="5"/>
    <s v="L000011506"/>
    <m/>
    <s v="L000013784"/>
    <s v="Move"/>
    <x v="0"/>
    <x v="0"/>
    <s v="LS"/>
    <m/>
    <m/>
    <s v="Jayson Martinez"/>
  </r>
  <r>
    <n v="63"/>
    <s v="F1"/>
    <x v="5"/>
    <s v="L000013174"/>
    <m/>
    <s v="L000013785"/>
    <s v="Move"/>
    <x v="0"/>
    <x v="0"/>
    <s v="LS"/>
    <m/>
    <m/>
    <s v="Jayson Martinez"/>
  </r>
  <r>
    <n v="64"/>
    <s v="F1"/>
    <x v="5"/>
    <s v="L000006295"/>
    <m/>
    <s v="L000013685"/>
    <s v="Move"/>
    <x v="0"/>
    <x v="0"/>
    <s v="LS"/>
    <m/>
    <m/>
    <s v="Jayson Martinez"/>
  </r>
  <r>
    <n v="65"/>
    <s v="F1"/>
    <x v="6"/>
    <s v="G000001358"/>
    <s v="GMV MBS Hub Wroclaw - ABP"/>
    <s v="G000001143"/>
    <s v="New"/>
    <x v="0"/>
    <x v="0"/>
    <s v="MGF"/>
    <m/>
    <m/>
    <s v="Jojeff Tagnong"/>
  </r>
  <r>
    <n v="66"/>
    <s v="F1"/>
    <x v="7"/>
    <s v="P000001254"/>
    <s v="EL-OP-M Metrology &amp; Inspection"/>
    <s v="P000000001"/>
    <s v="New"/>
    <x v="0"/>
    <x v="0"/>
    <s v="EL"/>
    <m/>
    <m/>
    <s v="Eivy Denine Cruz"/>
  </r>
  <r>
    <n v="67"/>
    <s v="F1"/>
    <x v="7"/>
    <s v="P000001255"/>
    <s v="EL-OP-M M&amp;I Sales"/>
    <s v="P000001254"/>
    <s v="New"/>
    <x v="0"/>
    <x v="0"/>
    <s v="EL"/>
    <m/>
    <m/>
    <s v="Eivy Denine Cruz"/>
  </r>
  <r>
    <n v="68"/>
    <s v="F1"/>
    <x v="7"/>
    <s v="P000001256"/>
    <s v="EL-OP-M M&amp;I Marketing"/>
    <s v="P000001254"/>
    <s v="New"/>
    <x v="0"/>
    <x v="0"/>
    <s v="EL"/>
    <m/>
    <m/>
    <s v="Eivy Denine Cruz"/>
  </r>
  <r>
    <n v="69"/>
    <s v="F1"/>
    <x v="7"/>
    <s v="P000001257"/>
    <s v="EL-OP-M M&amp;I Operations"/>
    <s v="P000001254"/>
    <s v="New"/>
    <x v="0"/>
    <x v="0"/>
    <s v="EL"/>
    <m/>
    <m/>
    <s v="Eivy Denine Cruz"/>
  </r>
  <r>
    <n v="70"/>
    <s v="F1"/>
    <x v="7"/>
    <s v="P000001258"/>
    <s v="EL-OP-M M&amp;I R&amp;D"/>
    <s v="P000001254"/>
    <s v="New"/>
    <x v="0"/>
    <x v="0"/>
    <s v="EL"/>
    <m/>
    <m/>
    <s v="Eivy Denine Cruz"/>
  </r>
  <r>
    <n v="71"/>
    <s v="F1"/>
    <x v="7"/>
    <s v="P000001194"/>
    <m/>
    <s v="P000000635"/>
    <s v="Move"/>
    <x v="0"/>
    <x v="0"/>
    <s v="EL"/>
    <m/>
    <m/>
    <s v="Eivy Denine Cruz"/>
  </r>
  <r>
    <n v="72"/>
    <s v="F1"/>
    <x v="7"/>
    <s v="P000000391"/>
    <m/>
    <s v="O000000009"/>
    <s v="Delete"/>
    <x v="0"/>
    <x v="0"/>
    <s v="EL"/>
    <m/>
    <m/>
    <s v="Eivy Denine Cruz"/>
  </r>
  <r>
    <n v="73"/>
    <s v="F1"/>
    <x v="7"/>
    <s v="P000000773"/>
    <m/>
    <s v="O000000009"/>
    <s v="Delete"/>
    <x v="0"/>
    <x v="0"/>
    <s v="EL"/>
    <m/>
    <m/>
    <s v="Eivy Denine Cruz"/>
  </r>
  <r>
    <n v="74"/>
    <s v="F1"/>
    <x v="7"/>
    <s v="P000000543"/>
    <m/>
    <s v="O000000009"/>
    <s v="Delete"/>
    <x v="0"/>
    <x v="0"/>
    <s v="EL"/>
    <m/>
    <m/>
    <s v="Eivy Denine Cruz"/>
  </r>
  <r>
    <n v="75"/>
    <s v="F1"/>
    <x v="7"/>
    <s v="P000000549"/>
    <m/>
    <s v="O000000009"/>
    <s v="Delete"/>
    <x v="0"/>
    <x v="0"/>
    <s v="EL"/>
    <m/>
    <m/>
    <s v="Eivy Denine Cruz"/>
  </r>
  <r>
    <n v="76"/>
    <s v="F1"/>
    <x v="7"/>
    <s v="P000000798"/>
    <m/>
    <s v="O000000009"/>
    <s v="Delete"/>
    <x v="0"/>
    <x v="0"/>
    <s v="EL"/>
    <m/>
    <m/>
    <s v="Eivy Denine Cruz"/>
  </r>
  <r>
    <n v="77"/>
    <s v="F1"/>
    <x v="7"/>
    <s v="P000000799"/>
    <m/>
    <s v="O000000009"/>
    <s v="Delete"/>
    <x v="0"/>
    <x v="0"/>
    <s v="EL"/>
    <m/>
    <m/>
    <s v="Eivy Denine Cruz"/>
  </r>
  <r>
    <n v="78"/>
    <s v="F1"/>
    <x v="7"/>
    <s v="P000000961"/>
    <m/>
    <s v="O000000009"/>
    <s v="Delete"/>
    <x v="0"/>
    <x v="0"/>
    <s v="EL"/>
    <m/>
    <m/>
    <s v="Eivy Denine Cruz"/>
  </r>
  <r>
    <n v="79"/>
    <s v="F1"/>
    <x v="7"/>
    <s v="P000001095"/>
    <m/>
    <s v="O000000009"/>
    <s v="Delete"/>
    <x v="0"/>
    <x v="0"/>
    <s v="EL"/>
    <m/>
    <m/>
    <s v="Eivy Denine Cruz"/>
  </r>
  <r>
    <n v="80"/>
    <s v="F1"/>
    <x v="7"/>
    <s v="P000001096"/>
    <m/>
    <s v="O000000009"/>
    <s v="Delete"/>
    <x v="0"/>
    <x v="0"/>
    <s v="EL"/>
    <m/>
    <m/>
    <s v="Eivy Denine Cruz"/>
  </r>
  <r>
    <n v="81"/>
    <s v="F1"/>
    <x v="7"/>
    <s v="P000001097"/>
    <m/>
    <s v="O000000009"/>
    <s v="Delete"/>
    <x v="0"/>
    <x v="0"/>
    <s v="EL"/>
    <m/>
    <m/>
    <s v="Eivy Denine Cruz"/>
  </r>
  <r>
    <n v="82"/>
    <s v="F1"/>
    <x v="7"/>
    <s v="P000001098"/>
    <m/>
    <s v="O000000009"/>
    <s v="Delete"/>
    <x v="0"/>
    <x v="0"/>
    <s v="EL"/>
    <m/>
    <m/>
    <s v="Eivy Denine Cruz"/>
  </r>
  <r>
    <n v="83"/>
    <s v="F1"/>
    <x v="7"/>
    <s v="P000001099"/>
    <m/>
    <s v="O000000009"/>
    <s v="Delete"/>
    <x v="0"/>
    <x v="0"/>
    <s v="EL"/>
    <m/>
    <m/>
    <s v="Eivy Denine Cruz"/>
  </r>
  <r>
    <n v="84"/>
    <s v="F1"/>
    <x v="7"/>
    <s v="P000001100"/>
    <m/>
    <s v="O000000009"/>
    <s v="Delete"/>
    <x v="0"/>
    <x v="0"/>
    <s v="EL"/>
    <m/>
    <m/>
    <s v="Eivy Denine Cruz"/>
  </r>
  <r>
    <n v="85"/>
    <s v="F1"/>
    <x v="7"/>
    <s v="P000001101"/>
    <m/>
    <s v="O000000009"/>
    <s v="Delete"/>
    <x v="0"/>
    <x v="0"/>
    <s v="EL"/>
    <m/>
    <m/>
    <s v="Eivy Denine Cruz"/>
  </r>
  <r>
    <n v="86"/>
    <s v="F1"/>
    <x v="7"/>
    <s v="P000001163"/>
    <m/>
    <s v="O000000009"/>
    <s v="Delete"/>
    <x v="0"/>
    <x v="0"/>
    <s v="EL"/>
    <m/>
    <m/>
    <s v="Eivy Denine Cruz"/>
  </r>
  <r>
    <n v="87"/>
    <s v="F1"/>
    <x v="7"/>
    <s v="P000001164"/>
    <m/>
    <s v="O000000009"/>
    <s v="Delete"/>
    <x v="0"/>
    <x v="0"/>
    <s v="EL"/>
    <m/>
    <m/>
    <s v="Eivy Denine Cruz"/>
  </r>
  <r>
    <n v="88"/>
    <s v="F1"/>
    <x v="7"/>
    <s v="P000000001"/>
    <s v="EL-OP Optronics"/>
    <m/>
    <s v="Rename"/>
    <x v="0"/>
    <x v="0"/>
    <s v="EL"/>
    <m/>
    <m/>
    <s v="Eivy Denine Cruz"/>
  </r>
  <r>
    <n v="89"/>
    <s v="F1"/>
    <x v="7"/>
    <s v="P000000002"/>
    <s v="EL-OP BU Head &amp; Other"/>
    <m/>
    <s v="Rename"/>
    <x v="0"/>
    <x v="0"/>
    <s v="EL"/>
    <m/>
    <m/>
    <s v="Eivy Denine Cruz"/>
  </r>
  <r>
    <n v="90"/>
    <s v="F1"/>
    <x v="7"/>
    <s v="P000000695"/>
    <s v="EL-OP BU head Organization"/>
    <m/>
    <s v="Rename"/>
    <x v="0"/>
    <x v="0"/>
    <s v="EL"/>
    <m/>
    <m/>
    <s v="Eivy Denine Cruz"/>
  </r>
  <r>
    <n v="91"/>
    <s v="F1"/>
    <x v="7"/>
    <s v="P000000696"/>
    <s v="EL-OP Inventor Remuneration"/>
    <m/>
    <s v="Rename"/>
    <x v="0"/>
    <x v="0"/>
    <s v="EL"/>
    <m/>
    <m/>
    <s v="Eivy Denine Cruz"/>
  </r>
  <r>
    <n v="92"/>
    <s v="F1"/>
    <x v="7"/>
    <s v="P000000697"/>
    <s v="EL-OP Intangible Assets"/>
    <m/>
    <s v="Rename"/>
    <x v="0"/>
    <x v="0"/>
    <s v="EL"/>
    <m/>
    <m/>
    <s v="Eivy Denine Cruz"/>
  </r>
  <r>
    <n v="93"/>
    <s v="F1"/>
    <x v="7"/>
    <s v="P000000698"/>
    <s v="EL-OP Other"/>
    <m/>
    <s v="Rename"/>
    <x v="0"/>
    <x v="0"/>
    <s v="EL"/>
    <m/>
    <m/>
    <s v="Eivy Denine Cruz"/>
  </r>
  <r>
    <n v="94"/>
    <s v="F1"/>
    <x v="7"/>
    <s v="P000000022"/>
    <s v="EL-OP-W LC Windows"/>
    <m/>
    <s v="Rename"/>
    <x v="0"/>
    <x v="0"/>
    <s v="EL"/>
    <m/>
    <m/>
    <s v="Eivy Denine Cruz"/>
  </r>
  <r>
    <n v="95"/>
    <s v="F1"/>
    <x v="7"/>
    <s v="P000000055"/>
    <s v="EL-OP-S Supply Chain Optronics"/>
    <m/>
    <s v="Rename"/>
    <x v="0"/>
    <x v="0"/>
    <s v="EL"/>
    <m/>
    <m/>
    <s v="Eivy Denine Cruz"/>
  </r>
  <r>
    <n v="96"/>
    <s v="F1"/>
    <x v="7"/>
    <s v="P000000505"/>
    <s v="Optronics Production Sites"/>
    <m/>
    <s v="Rename"/>
    <x v="0"/>
    <x v="0"/>
    <s v="EL"/>
    <m/>
    <m/>
    <s v="Eivy Denine Cruz"/>
  </r>
  <r>
    <n v="97"/>
    <s v="F1"/>
    <x v="7"/>
    <s v="P000000056"/>
    <s v="EL-OP-SD Site Darmstadt, Germany"/>
    <m/>
    <s v="Rename"/>
    <x v="0"/>
    <x v="0"/>
    <s v="EL"/>
    <m/>
    <m/>
    <s v="Eivy Denine Cruz"/>
  </r>
  <r>
    <n v="98"/>
    <s v="F1"/>
    <x v="7"/>
    <s v="P000001172"/>
    <s v="EL-OP-SDPP Production Planning"/>
    <m/>
    <s v="Rename"/>
    <x v="0"/>
    <x v="0"/>
    <s v="EL"/>
    <m/>
    <m/>
    <s v="Eivy Denine Cruz"/>
  </r>
  <r>
    <n v="99"/>
    <s v="F1"/>
    <x v="7"/>
    <s v="P000000087"/>
    <s v="EL-OP-SA Site Atsugi, Japan"/>
    <m/>
    <s v="Rename"/>
    <x v="0"/>
    <x v="0"/>
    <s v="EL"/>
    <m/>
    <m/>
    <s v="Eivy Denine Cruz"/>
  </r>
  <r>
    <n v="100"/>
    <s v="F1"/>
    <x v="7"/>
    <s v="P000000097"/>
    <s v="EL-OP-SZ Site Suzhou, China"/>
    <m/>
    <s v="Rename"/>
    <x v="0"/>
    <x v="0"/>
    <s v="EL"/>
    <m/>
    <m/>
    <s v="Eivy Denine Cruz"/>
  </r>
  <r>
    <n v="101"/>
    <s v="F1"/>
    <x v="7"/>
    <s v="P000000107"/>
    <s v="EL-OP-ST Site Taoyuan, Taiwan"/>
    <m/>
    <s v="Rename"/>
    <x v="0"/>
    <x v="0"/>
    <s v="EL"/>
    <m/>
    <m/>
    <s v="Eivy Denine Cruz"/>
  </r>
  <r>
    <n v="102"/>
    <s v="F1"/>
    <x v="7"/>
    <s v="P000000117"/>
    <s v="EL-OP-SH Site Hsinchu, Taiwan"/>
    <m/>
    <s v="Rename"/>
    <x v="0"/>
    <x v="0"/>
    <s v="EL"/>
    <m/>
    <m/>
    <s v="Eivy Denine Cruz"/>
  </r>
  <r>
    <n v="103"/>
    <s v="F1"/>
    <x v="7"/>
    <s v="P000000127"/>
    <s v="EL-OP-SP Site Poseung, S. Korea"/>
    <m/>
    <s v="Rename"/>
    <x v="0"/>
    <x v="0"/>
    <s v="EL"/>
    <m/>
    <m/>
    <s v="Eivy Denine Cruz"/>
  </r>
  <r>
    <n v="104"/>
    <s v="F1"/>
    <x v="7"/>
    <s v="P000000137"/>
    <s v="EL-OP-SS Site Shanghai, China"/>
    <m/>
    <s v="Rename"/>
    <x v="0"/>
    <x v="0"/>
    <s v="EL"/>
    <m/>
    <m/>
    <s v="Eivy Denine Cruz"/>
  </r>
  <r>
    <n v="105"/>
    <s v="F1"/>
    <x v="7"/>
    <s v="P000000506"/>
    <s v="EL-OP-SC Supply Chain Excellence"/>
    <m/>
    <s v="Rename"/>
    <x v="0"/>
    <x v="0"/>
    <s v="EL"/>
    <m/>
    <m/>
    <s v="Eivy Denine Cruz"/>
  </r>
  <r>
    <n v="106"/>
    <s v="F1"/>
    <x v="7"/>
    <s v="P000000507"/>
    <s v="EL-OP-SQ QA Optronics"/>
    <m/>
    <s v="Rename"/>
    <x v="0"/>
    <x v="0"/>
    <s v="EL"/>
    <m/>
    <m/>
    <s v="Eivy Denine Cruz"/>
  </r>
  <r>
    <n v="107"/>
    <s v="F1"/>
    <x v="7"/>
    <s v="P000001167"/>
    <s v="EL-OP-SG Global Demand &amp; Supply Planning"/>
    <m/>
    <s v="Rename"/>
    <x v="0"/>
    <x v="0"/>
    <s v="EL"/>
    <m/>
    <m/>
    <s v="Eivy Denine Cruz"/>
  </r>
  <r>
    <n v="108"/>
    <s v="F1"/>
    <x v="7"/>
    <s v="P000001168"/>
    <s v="EL-OP-SV Value Stream Mngt"/>
    <m/>
    <s v="Rename"/>
    <x v="0"/>
    <x v="0"/>
    <s v="EL"/>
    <m/>
    <m/>
    <s v="Eivy Denine Cruz"/>
  </r>
  <r>
    <n v="109"/>
    <s v="F1"/>
    <x v="7"/>
    <s v="P000001109"/>
    <s v="EL-OP-L LC/DPM"/>
    <m/>
    <s v="Rename"/>
    <x v="0"/>
    <x v="0"/>
    <s v="EL"/>
    <m/>
    <m/>
    <s v="Eivy Denine Cruz"/>
  </r>
  <r>
    <n v="110"/>
    <s v="F1"/>
    <x v="7"/>
    <s v="P000001110"/>
    <s v="EL-OP-LC LC/DPM Sales CN"/>
    <m/>
    <s v="Rename"/>
    <x v="0"/>
    <x v="0"/>
    <s v="EL"/>
    <m/>
    <m/>
    <s v="Eivy Denine Cruz"/>
  </r>
  <r>
    <n v="111"/>
    <s v="F1"/>
    <x v="7"/>
    <s v="P000001111"/>
    <s v="EL-OP-LT LC/DPM Sales TW &amp; JP"/>
    <m/>
    <s v="Rename"/>
    <x v="0"/>
    <x v="0"/>
    <s v="EL"/>
    <m/>
    <m/>
    <s v="Eivy Denine Cruz"/>
  </r>
  <r>
    <n v="112"/>
    <s v="F1"/>
    <x v="7"/>
    <s v="P000001112"/>
    <s v="EL-OP-LM LC/DPM Marketing"/>
    <m/>
    <s v="Rename"/>
    <x v="0"/>
    <x v="0"/>
    <s v="EL"/>
    <m/>
    <m/>
    <s v="Eivy Denine Cruz"/>
  </r>
  <r>
    <n v="113"/>
    <s v="F1"/>
    <x v="7"/>
    <s v="P000001113"/>
    <s v="EL-OP-LM LC/DPM Marketing Organization"/>
    <m/>
    <s v="Rename"/>
    <x v="0"/>
    <x v="0"/>
    <s v="EL"/>
    <m/>
    <m/>
    <s v="Eivy Denine Cruz"/>
  </r>
  <r>
    <n v="114"/>
    <s v="F1"/>
    <x v="7"/>
    <s v="P000001114"/>
    <s v="EL-OP-LM LC/DPM Sales Promotion"/>
    <m/>
    <s v="Rename"/>
    <x v="0"/>
    <x v="0"/>
    <s v="EL"/>
    <m/>
    <m/>
    <s v="Eivy Denine Cruz"/>
  </r>
  <r>
    <n v="115"/>
    <s v="F1"/>
    <x v="7"/>
    <s v="P000001115"/>
    <s v="EL-OP-L LC/DPM Royalties/Commissions"/>
    <m/>
    <s v="Rename"/>
    <x v="0"/>
    <x v="0"/>
    <s v="EL"/>
    <m/>
    <m/>
    <s v="Eivy Denine Cruz"/>
  </r>
  <r>
    <n v="116"/>
    <s v="F1"/>
    <x v="7"/>
    <s v="P000001116"/>
    <s v="EL-OP-L LC/DPM Other"/>
    <m/>
    <s v="Rename"/>
    <x v="0"/>
    <x v="0"/>
    <s v="EL"/>
    <m/>
    <m/>
    <s v="Eivy Denine Cruz"/>
  </r>
  <r>
    <n v="117"/>
    <s v="F1"/>
    <x v="7"/>
    <s v="P000001117"/>
    <s v="EL-OP-LR LC/DPM R&amp;D"/>
    <m/>
    <s v="Rename"/>
    <x v="0"/>
    <x v="0"/>
    <s v="EL"/>
    <m/>
    <m/>
    <s v="Eivy Denine Cruz"/>
  </r>
  <r>
    <n v="118"/>
    <s v="F1"/>
    <x v="7"/>
    <s v="P000001209"/>
    <s v="EL-OP-LR LC/DPM R&amp;D General Expenses"/>
    <m/>
    <s v="Rename"/>
    <x v="0"/>
    <x v="0"/>
    <s v="EL"/>
    <m/>
    <m/>
    <s v="Eivy Denine Cruz"/>
  </r>
  <r>
    <n v="119"/>
    <s v="F1"/>
    <x v="7"/>
    <s v="P000001118"/>
    <s v="EL-OP-O OLED"/>
    <m/>
    <s v="Rename"/>
    <x v="0"/>
    <x v="0"/>
    <s v="EL"/>
    <m/>
    <m/>
    <s v="Eivy Denine Cruz"/>
  </r>
  <r>
    <n v="120"/>
    <s v="F1"/>
    <x v="7"/>
    <s v="P000001119"/>
    <s v="EL-OP-OC OLED Sales CN"/>
    <m/>
    <s v="Rename"/>
    <x v="0"/>
    <x v="0"/>
    <s v="EL"/>
    <m/>
    <m/>
    <s v="Eivy Denine Cruz"/>
  </r>
  <r>
    <n v="121"/>
    <s v="F1"/>
    <x v="7"/>
    <s v="P000001120"/>
    <s v="EL-OP-OK OLED Sales KR"/>
    <m/>
    <s v="Rename"/>
    <x v="0"/>
    <x v="0"/>
    <s v="EL"/>
    <m/>
    <m/>
    <s v="Eivy Denine Cruz"/>
  </r>
  <r>
    <n v="122"/>
    <s v="F1"/>
    <x v="7"/>
    <s v="P000001121"/>
    <s v="EL-OP-OM OLED Marketing"/>
    <m/>
    <s v="Rename"/>
    <x v="0"/>
    <x v="0"/>
    <s v="EL"/>
    <m/>
    <m/>
    <s v="Eivy Denine Cruz"/>
  </r>
  <r>
    <n v="123"/>
    <s v="F1"/>
    <x v="7"/>
    <s v="P000000687"/>
    <s v="XX_EL-OP-M Global Mkt Other"/>
    <m/>
    <s v="Rename"/>
    <x v="0"/>
    <x v="0"/>
    <s v="EL"/>
    <m/>
    <m/>
    <s v="Eivy Denine Cruz"/>
  </r>
  <r>
    <n v="124"/>
    <s v="F1"/>
    <x v="7"/>
    <s v="P000001122"/>
    <s v="EL-OP-OM OLED Marketing Organization"/>
    <m/>
    <s v="Rename"/>
    <x v="0"/>
    <x v="0"/>
    <s v="EL"/>
    <m/>
    <m/>
    <s v="Eivy Denine Cruz"/>
  </r>
  <r>
    <n v="125"/>
    <s v="F1"/>
    <x v="7"/>
    <s v="P000001123"/>
    <s v="EL-OP-OM OLED Sales Promotion"/>
    <m/>
    <s v="Rename"/>
    <x v="0"/>
    <x v="0"/>
    <s v="EL"/>
    <m/>
    <m/>
    <s v="Eivy Denine Cruz"/>
  </r>
  <r>
    <n v="126"/>
    <s v="F1"/>
    <x v="7"/>
    <s v="P000001124"/>
    <s v="EL-OP-O OLED Royalties/Commissions"/>
    <m/>
    <s v="Rename"/>
    <x v="0"/>
    <x v="0"/>
    <s v="EL"/>
    <m/>
    <m/>
    <s v="Eivy Denine Cruz"/>
  </r>
  <r>
    <n v="127"/>
    <s v="F1"/>
    <x v="7"/>
    <s v="P000001125"/>
    <s v="EL-OP-O OLED Other"/>
    <m/>
    <s v="Rename"/>
    <x v="0"/>
    <x v="0"/>
    <s v="EL"/>
    <m/>
    <m/>
    <s v="Eivy Denine Cruz"/>
  </r>
  <r>
    <n v="128"/>
    <s v="F1"/>
    <x v="7"/>
    <s v="P000001126"/>
    <s v="EL-OP-OR OLED R&amp;D"/>
    <m/>
    <s v="Rename"/>
    <x v="0"/>
    <x v="0"/>
    <s v="EL"/>
    <m/>
    <m/>
    <s v="Eivy Denine Cruz"/>
  </r>
  <r>
    <n v="129"/>
    <s v="F1"/>
    <x v="7"/>
    <s v="P000001221"/>
    <s v="EL-OP-OR OLED R&amp;D General Expenses"/>
    <m/>
    <s v="Rename"/>
    <x v="0"/>
    <x v="0"/>
    <s v="EL"/>
    <m/>
    <m/>
    <s v="Eivy Denine Cruz"/>
  </r>
  <r>
    <n v="130"/>
    <s v="F1"/>
    <x v="7"/>
    <s v="P000001127"/>
    <s v="EL-OP-B BS&amp;S"/>
    <m/>
    <s v="Rename"/>
    <x v="0"/>
    <x v="0"/>
    <s v="EL"/>
    <m/>
    <m/>
    <s v="Eivy Denine Cruz"/>
  </r>
  <r>
    <n v="131"/>
    <s v="F1"/>
    <x v="7"/>
    <s v="P000001128"/>
    <s v="EL-OP-BF Optical Technologies"/>
    <m/>
    <s v="Rename"/>
    <x v="0"/>
    <x v="0"/>
    <s v="EL"/>
    <m/>
    <m/>
    <s v="Eivy Denine Cruz"/>
  </r>
  <r>
    <n v="132"/>
    <s v="F1"/>
    <x v="7"/>
    <s v="P000001129"/>
    <s v="EL-OP BF OT Business Development Org"/>
    <m/>
    <s v="Rename"/>
    <x v="0"/>
    <x v="0"/>
    <s v="EL"/>
    <m/>
    <m/>
    <s v="Eivy Denine Cruz"/>
  </r>
  <r>
    <n v="133"/>
    <s v="F1"/>
    <x v="7"/>
    <s v="P000001130"/>
    <s v="EL-OP BF OT R&amp;D"/>
    <m/>
    <s v="Rename"/>
    <x v="0"/>
    <x v="0"/>
    <s v="EL"/>
    <m/>
    <m/>
    <s v="Eivy Denine Cruz"/>
  </r>
  <r>
    <n v="134"/>
    <s v="F1"/>
    <x v="7"/>
    <s v="P000000593"/>
    <s v="OT Projects"/>
    <m/>
    <s v="Rename"/>
    <x v="0"/>
    <x v="0"/>
    <s v="EL"/>
    <m/>
    <m/>
    <s v="Eivy Denine Cruz"/>
  </r>
  <r>
    <n v="135"/>
    <s v="F1"/>
    <x v="7"/>
    <s v="P000001251"/>
    <s v="Antireflection Technology"/>
    <m/>
    <s v="Rename"/>
    <x v="0"/>
    <x v="0"/>
    <s v="EL"/>
    <m/>
    <m/>
    <s v="Eivy Denine Cruz"/>
  </r>
  <r>
    <n v="136"/>
    <s v="F1"/>
    <x v="7"/>
    <s v="P000001252"/>
    <s v="PVH"/>
    <m/>
    <s v="Rename"/>
    <x v="0"/>
    <x v="0"/>
    <s v="EL"/>
    <m/>
    <m/>
    <s v="Eivy Denine Cruz"/>
  </r>
  <r>
    <n v="137"/>
    <s v="F1"/>
    <x v="7"/>
    <s v="P000001243"/>
    <s v="EL-OP BF OT R&amp;D General Expenses"/>
    <m/>
    <s v="Rename"/>
    <x v="0"/>
    <x v="0"/>
    <s v="EL"/>
    <m/>
    <m/>
    <s v="Eivy Denine Cruz"/>
  </r>
  <r>
    <n v="138"/>
    <s v="F1"/>
    <x v="7"/>
    <s v="P000001131"/>
    <s v="EL-OP BF OT Sales Promotion"/>
    <m/>
    <s v="Rename"/>
    <x v="0"/>
    <x v="0"/>
    <s v="EL"/>
    <m/>
    <m/>
    <s v="Eivy Denine Cruz"/>
  </r>
  <r>
    <n v="139"/>
    <s v="F1"/>
    <x v="7"/>
    <s v="P000001132"/>
    <s v="EL-OP BF OT Royalties/Commissions"/>
    <m/>
    <s v="Rename"/>
    <x v="0"/>
    <x v="0"/>
    <s v="EL"/>
    <m/>
    <m/>
    <s v="Eivy Denine Cruz"/>
  </r>
  <r>
    <n v="140"/>
    <s v="F1"/>
    <x v="7"/>
    <s v="P000001133"/>
    <s v="EL-OP BF OT Other"/>
    <m/>
    <s v="Rename"/>
    <x v="0"/>
    <x v="0"/>
    <s v="EL"/>
    <m/>
    <m/>
    <s v="Eivy Denine Cruz"/>
  </r>
  <r>
    <n v="141"/>
    <s v="F1"/>
    <x v="7"/>
    <s v="P000001134"/>
    <s v="EL-OP-B BS&amp;S Organization"/>
    <m/>
    <s v="Rename"/>
    <x v="0"/>
    <x v="0"/>
    <s v="EL"/>
    <m/>
    <m/>
    <s v="Eivy Denine Cruz"/>
  </r>
  <r>
    <n v="142"/>
    <s v="F1"/>
    <x v="7"/>
    <s v="P000001135"/>
    <s v="EL-OP-BN Novel Tools"/>
    <m/>
    <s v="Rename"/>
    <x v="0"/>
    <x v="0"/>
    <s v="EL"/>
    <m/>
    <m/>
    <s v="Eivy Denine Cruz"/>
  </r>
  <r>
    <n v="143"/>
    <s v="F1"/>
    <x v="7"/>
    <s v="P000001136"/>
    <s v="EL-OP-B BS&amp;S MarCom"/>
    <m/>
    <s v="Rename"/>
    <x v="0"/>
    <x v="0"/>
    <s v="EL"/>
    <m/>
    <m/>
    <s v="Eivy Denine Cruz"/>
  </r>
  <r>
    <n v="144"/>
    <s v="F1"/>
    <x v="7"/>
    <s v="P000001137"/>
    <s v="EL-OP-B BS&amp;S Other"/>
    <m/>
    <s v="Rename"/>
    <x v="0"/>
    <x v="0"/>
    <s v="EL"/>
    <m/>
    <m/>
    <s v="Eivy Denine Cruz"/>
  </r>
  <r>
    <n v="145"/>
    <s v="F1"/>
    <x v="7"/>
    <s v="P000000659"/>
    <s v="BOI"/>
    <m/>
    <s v="Rename"/>
    <x v="0"/>
    <x v="0"/>
    <s v="EL"/>
    <m/>
    <m/>
    <s v="Eivy Denine Cruz"/>
  </r>
  <r>
    <n v="146"/>
    <s v="F1"/>
    <x v="7"/>
    <s v="P000000673"/>
    <s v="AR hardware"/>
    <m/>
    <s v="Rename"/>
    <x v="0"/>
    <x v="0"/>
    <s v="EL"/>
    <m/>
    <m/>
    <s v="Eivy Denine Cruz"/>
  </r>
  <r>
    <n v="147"/>
    <s v="F1"/>
    <x v="7"/>
    <s v="P000000674"/>
    <s v="EUVen MORe"/>
    <m/>
    <s v="Rename"/>
    <x v="0"/>
    <x v="0"/>
    <s v="EL"/>
    <m/>
    <m/>
    <s v="Eivy Denine Cruz"/>
  </r>
  <r>
    <n v="148"/>
    <s v="F1"/>
    <x v="7"/>
    <s v="P000000675"/>
    <s v="Mat. Info DRAM"/>
    <m/>
    <s v="Rename"/>
    <x v="0"/>
    <x v="0"/>
    <s v="EL"/>
    <m/>
    <m/>
    <s v="Eivy Denine Cruz"/>
  </r>
  <r>
    <n v="149"/>
    <s v="F1"/>
    <x v="7"/>
    <s v="P000000678"/>
    <s v="OSC"/>
    <m/>
    <s v="Rename"/>
    <x v="0"/>
    <x v="0"/>
    <s v="EL"/>
    <m/>
    <m/>
    <s v="Eivy Denine Cruz"/>
  </r>
  <r>
    <n v="150"/>
    <s v="F1"/>
    <x v="7"/>
    <s v="P000000679"/>
    <s v="Planarization Incubator"/>
    <m/>
    <s v="Rename"/>
    <x v="0"/>
    <x v="0"/>
    <s v="EL"/>
    <m/>
    <m/>
    <s v="Eivy Denine Cruz"/>
  </r>
  <r>
    <n v="151"/>
    <s v="F1"/>
    <x v="7"/>
    <s v="P000000681"/>
    <s v="HIT'M/BN"/>
    <m/>
    <s v="Rename"/>
    <x v="0"/>
    <x v="0"/>
    <s v="EL"/>
    <m/>
    <m/>
    <s v="Eivy Denine Cruz"/>
  </r>
  <r>
    <n v="152"/>
    <s v="F1"/>
    <x v="7"/>
    <s v="P000001052"/>
    <s v="AR VR Lab"/>
    <m/>
    <s v="Rename"/>
    <x v="0"/>
    <x v="0"/>
    <s v="EL"/>
    <m/>
    <m/>
    <s v="Eivy Denine Cruz"/>
  </r>
  <r>
    <n v="153"/>
    <s v="F1"/>
    <x v="7"/>
    <s v="P000001058"/>
    <s v="RM for IJP"/>
    <m/>
    <s v="Rename"/>
    <x v="0"/>
    <x v="0"/>
    <s v="EL"/>
    <m/>
    <m/>
    <s v="Eivy Denine Cruz"/>
  </r>
  <r>
    <n v="154"/>
    <s v="F1"/>
    <x v="7"/>
    <s v="P000001094"/>
    <s v="LTD-MAP"/>
    <m/>
    <s v="Rename"/>
    <x v="0"/>
    <x v="0"/>
    <s v="EL"/>
    <m/>
    <m/>
    <s v="Eivy Denine Cruz"/>
  </r>
  <r>
    <n v="155"/>
    <s v="F1"/>
    <x v="7"/>
    <s v="P000000745"/>
    <s v="CTO Organization"/>
    <m/>
    <s v="Rename"/>
    <x v="0"/>
    <x v="0"/>
    <s v="EL"/>
    <m/>
    <m/>
    <s v="Eivy Denine Cruz"/>
  </r>
  <r>
    <n v="156"/>
    <s v="F1"/>
    <x v="7"/>
    <s v="P000000645"/>
    <s v="MIP Cost Variance"/>
    <m/>
    <s v="Rename"/>
    <x v="0"/>
    <x v="0"/>
    <s v="EL"/>
    <m/>
    <m/>
    <s v="Eivy Denine Cruz"/>
  </r>
  <r>
    <n v="157"/>
    <s v="F1"/>
    <x v="7"/>
    <s v="P000000646"/>
    <s v="CTO Leadership"/>
    <m/>
    <s v="Rename"/>
    <x v="0"/>
    <x v="0"/>
    <s v="EL"/>
    <m/>
    <m/>
    <s v="Eivy Denine Cruz"/>
  </r>
  <r>
    <n v="158"/>
    <s v="F1"/>
    <x v="7"/>
    <s v="P000000648"/>
    <s v="Materials AI"/>
    <m/>
    <s v="Rename"/>
    <x v="0"/>
    <x v="0"/>
    <s v="EL"/>
    <m/>
    <m/>
    <s v="Eivy Denine Cruz"/>
  </r>
  <r>
    <n v="159"/>
    <s v="F1"/>
    <x v="7"/>
    <s v="P000000649"/>
    <s v="Business Development  AR VR"/>
    <m/>
    <s v="Rename"/>
    <x v="0"/>
    <x v="0"/>
    <s v="EL"/>
    <m/>
    <m/>
    <s v="Eivy Denine Cruz"/>
  </r>
  <r>
    <n v="160"/>
    <s v="F1"/>
    <x v="7"/>
    <s v="P000001102"/>
    <s v="Technology Strategy &amp; Roadmap"/>
    <m/>
    <s v="Rename"/>
    <x v="0"/>
    <x v="0"/>
    <s v="EL"/>
    <m/>
    <m/>
    <s v="Eivy Denine Cruz"/>
  </r>
  <r>
    <n v="161"/>
    <s v="F1"/>
    <x v="7"/>
    <s v="P000001103"/>
    <s v="CTO Labs Capex"/>
    <m/>
    <s v="Rename"/>
    <x v="0"/>
    <x v="0"/>
    <s v="EL"/>
    <m/>
    <m/>
    <s v="Eivy Denine Cruz"/>
  </r>
  <r>
    <n v="162"/>
    <s v="F1"/>
    <x v="7"/>
    <s v="P000000484"/>
    <s v="EL-SC-Q Quality &amp; Compliance Mgmt."/>
    <m/>
    <s v="Rename"/>
    <x v="0"/>
    <x v="0"/>
    <s v="EL"/>
    <m/>
    <m/>
    <s v="Eivy Denine Cruz"/>
  </r>
  <r>
    <n v="163"/>
    <s v="F1"/>
    <x v="7"/>
    <s v="P000000487"/>
    <s v="EL-SC-QS Global Supplier Quality"/>
    <m/>
    <s v="Rename"/>
    <x v="0"/>
    <x v="0"/>
    <s v="EL"/>
    <m/>
    <m/>
    <s v="Eivy Denine Cruz"/>
  </r>
  <r>
    <n v="164"/>
    <s v="F1"/>
    <x v="7"/>
    <s v="P000000490"/>
    <s v="EL-SC-QT Trade Compliance China"/>
    <m/>
    <s v="Rename"/>
    <x v="0"/>
    <x v="0"/>
    <s v="EL"/>
    <m/>
    <m/>
    <s v="Eivy Denine Cruz"/>
  </r>
  <r>
    <n v="165"/>
    <s v="F1"/>
    <x v="7"/>
    <s v="P000000497"/>
    <s v="EL-SC-DO Process Development Optronics"/>
    <m/>
    <s v="Rename"/>
    <x v="0"/>
    <x v="0"/>
    <s v="EL"/>
    <m/>
    <m/>
    <s v="Eivy Denine Cruz"/>
  </r>
  <r>
    <n v="166"/>
    <s v="F1"/>
    <x v="7"/>
    <s v="P000001071"/>
    <s v="EL-SC-DO Projects"/>
    <m/>
    <s v="Rename"/>
    <x v="0"/>
    <x v="0"/>
    <s v="EL"/>
    <m/>
    <m/>
    <s v="Eivy Denine Cruz"/>
  </r>
  <r>
    <n v="167"/>
    <s v="F1"/>
    <x v="7"/>
    <s v="P000001072"/>
    <s v="EL-SC-DO Investments"/>
    <m/>
    <s v="Rename"/>
    <x v="0"/>
    <x v="0"/>
    <s v="EL"/>
    <m/>
    <m/>
    <s v="Eivy Denine Cruz"/>
  </r>
  <r>
    <n v="168"/>
    <s v="F1"/>
    <x v="7"/>
    <s v="P000001174"/>
    <s v="EL-SC-DO Process Development OptronicsIO"/>
    <m/>
    <s v="Rename"/>
    <x v="0"/>
    <x v="0"/>
    <s v="EL"/>
    <m/>
    <m/>
    <s v="Eivy Denine Cruz"/>
  </r>
  <r>
    <n v="169"/>
    <s v="F1"/>
    <x v="7"/>
    <s v="P000001081"/>
    <s v="EL-SC-DX Projects"/>
    <m/>
    <s v="Rename"/>
    <x v="0"/>
    <x v="0"/>
    <s v="EL"/>
    <m/>
    <m/>
    <s v="Eivy Denine Cruz"/>
  </r>
  <r>
    <n v="170"/>
    <s v="F1"/>
    <x v="7"/>
    <s v="P000001082"/>
    <s v="EL-SC-DX Investments"/>
    <m/>
    <s v="Rename"/>
    <x v="0"/>
    <x v="0"/>
    <s v="EL"/>
    <m/>
    <m/>
    <s v="Eivy Denine Cruz"/>
  </r>
  <r>
    <n v="171"/>
    <s v="F1"/>
    <x v="7"/>
    <s v="P000000635"/>
    <s v="EL-SC-E Engineering"/>
    <m/>
    <s v="Rename"/>
    <x v="0"/>
    <x v="0"/>
    <s v="EL"/>
    <m/>
    <m/>
    <s v="Eivy Denine Cruz"/>
  </r>
  <r>
    <n v="172"/>
    <s v="F1"/>
    <x v="7"/>
    <s v="P000001187"/>
    <s v="EL-SC-E Engineering Head"/>
    <m/>
    <s v="Rename"/>
    <x v="0"/>
    <x v="0"/>
    <s v="EL"/>
    <m/>
    <m/>
    <s v="Eivy Denine Cruz"/>
  </r>
  <r>
    <n v="173"/>
    <s v="F1"/>
    <x v="7"/>
    <s v="P000001188"/>
    <s v="EL-SC-EC Regional Engineering China/Taiw"/>
    <m/>
    <s v="Rename"/>
    <x v="0"/>
    <x v="0"/>
    <s v="EL"/>
    <m/>
    <m/>
    <s v="Eivy Denine Cruz"/>
  </r>
  <r>
    <n v="174"/>
    <s v="F1"/>
    <x v="7"/>
    <s v="P000001189"/>
    <s v="EL-SC-EK Regional Engineering Korea"/>
    <m/>
    <s v="Rename"/>
    <x v="0"/>
    <x v="0"/>
    <s v="EL"/>
    <m/>
    <m/>
    <s v="Eivy Denine Cruz"/>
  </r>
  <r>
    <n v="175"/>
    <s v="F1"/>
    <x v="7"/>
    <s v="P000001191"/>
    <s v="EL-SC-EE Global Capital Efficiency &amp; Pro"/>
    <m/>
    <s v="Rename"/>
    <x v="0"/>
    <x v="0"/>
    <s v="EL"/>
    <m/>
    <m/>
    <s v="Eivy Denine Cruz"/>
  </r>
  <r>
    <n v="176"/>
    <s v="F1"/>
    <x v="8"/>
    <s v="G000000414 "/>
    <m/>
    <s v="G000000873"/>
    <s v="Move"/>
    <x v="0"/>
    <x v="0"/>
    <s v="MGF"/>
    <m/>
    <m/>
    <s v="Francesco Ricioppo"/>
  </r>
  <r>
    <n v="177"/>
    <s v="F1"/>
    <x v="8"/>
    <s v="G000000415"/>
    <m/>
    <s v="G000000873"/>
    <s v="Move"/>
    <x v="0"/>
    <x v="0"/>
    <s v="MGF"/>
    <m/>
    <m/>
    <s v="Francesco Ricioppo"/>
  </r>
  <r>
    <n v="178"/>
    <s v="F1"/>
    <x v="8"/>
    <s v="G000000879 "/>
    <m/>
    <s v="G000000873"/>
    <s v="Move"/>
    <x v="0"/>
    <x v="0"/>
    <s v="MGF"/>
    <m/>
    <m/>
    <s v="Francesco Ricioppo"/>
  </r>
  <r>
    <n v="179"/>
    <s v="F1"/>
    <x v="8"/>
    <s v="G000000417"/>
    <m/>
    <s v="G000000873"/>
    <s v="Move"/>
    <x v="0"/>
    <x v="0"/>
    <s v="MGF"/>
    <m/>
    <m/>
    <s v="Francesco Ricioppo"/>
  </r>
  <r>
    <n v="180"/>
    <s v="F1"/>
    <x v="8"/>
    <s v="G000000880"/>
    <m/>
    <s v="G000000873"/>
    <s v="Move"/>
    <x v="0"/>
    <x v="0"/>
    <s v="MGF"/>
    <m/>
    <m/>
    <s v="Francesco Ricioppo"/>
  </r>
  <r>
    <n v="181"/>
    <s v="F1"/>
    <x v="8"/>
    <s v="G000000881"/>
    <m/>
    <s v="G000000873"/>
    <s v="Move"/>
    <x v="0"/>
    <x v="0"/>
    <s v="MGF"/>
    <m/>
    <m/>
    <s v="Francesco Ricioppo"/>
  </r>
  <r>
    <n v="182"/>
    <s v="F1"/>
    <x v="8"/>
    <s v="G000000495 "/>
    <m/>
    <s v="G000000523"/>
    <s v="Move"/>
    <x v="0"/>
    <x v="0"/>
    <s v="MGF"/>
    <m/>
    <m/>
    <s v="Francesco Ricioppo"/>
  </r>
  <r>
    <n v="183"/>
    <s v="F1"/>
    <x v="9"/>
    <s v="P000001259"/>
    <s v="EL-PS Support Functions"/>
    <s v="P000000024"/>
    <s v="New"/>
    <x v="0"/>
    <x v="0"/>
    <s v="EL"/>
    <m/>
    <m/>
    <s v="Eivy Denine Cruz"/>
  </r>
  <r>
    <n v="184"/>
    <s v="F1"/>
    <x v="9"/>
    <s v="P000001260"/>
    <s v="EL-PSL Legal"/>
    <s v="P000001259"/>
    <s v="New"/>
    <x v="0"/>
    <x v="0"/>
    <s v="EL"/>
    <m/>
    <m/>
    <s v="Eivy Denine Cruz"/>
  </r>
  <r>
    <n v="185"/>
    <s v="F1"/>
    <x v="9"/>
    <s v="P000001261"/>
    <s v="EL-PSH HR"/>
    <s v="P000001259"/>
    <s v="New"/>
    <x v="0"/>
    <x v="0"/>
    <s v="EL"/>
    <m/>
    <m/>
    <s v="Eivy Denine Cruz"/>
  </r>
  <r>
    <n v="186"/>
    <s v="F1"/>
    <x v="9"/>
    <s v="P000001262"/>
    <s v="EL-PSF Finance"/>
    <s v="P000001259"/>
    <s v="New"/>
    <x v="0"/>
    <x v="0"/>
    <s v="EL"/>
    <m/>
    <m/>
    <s v="Eivy Denine Cruz"/>
  </r>
  <r>
    <n v="187"/>
    <s v="F1"/>
    <x v="9"/>
    <s v="P000001263"/>
    <s v="EL-PSP Procurement"/>
    <s v="P000001259"/>
    <s v="New"/>
    <x v="0"/>
    <x v="0"/>
    <s v="EL"/>
    <m/>
    <m/>
    <s v="Eivy Denine Cruz"/>
  </r>
  <r>
    <n v="188"/>
    <s v="F1"/>
    <x v="9"/>
    <s v="P000001264"/>
    <s v="EL-PSI IT"/>
    <s v="P000001259"/>
    <s v="New"/>
    <x v="0"/>
    <x v="0"/>
    <s v="EL"/>
    <m/>
    <m/>
    <s v="Eivy Denine Cruz"/>
  </r>
  <r>
    <n v="189"/>
    <s v="F1"/>
    <x v="9"/>
    <s v="P000000148"/>
    <s v="EL-PS-O Global Operations General"/>
    <m/>
    <s v="Rename"/>
    <x v="0"/>
    <x v="0"/>
    <s v="EL"/>
    <m/>
    <m/>
    <s v="Eivy Denine Cruz"/>
  </r>
  <r>
    <n v="190"/>
    <s v="F1"/>
    <x v="10"/>
    <s v="G000001023"/>
    <m/>
    <s v="G000000873"/>
    <s v="Move"/>
    <x v="0"/>
    <x v="0"/>
    <s v="MGF"/>
    <m/>
    <m/>
    <s v="Francesco Ricioppo"/>
  </r>
  <r>
    <n v="191"/>
    <s v="F1"/>
    <x v="10"/>
    <s v="G000001024"/>
    <m/>
    <s v="G000000873"/>
    <s v="Move"/>
    <x v="0"/>
    <x v="0"/>
    <s v="MGF"/>
    <m/>
    <m/>
    <s v="Francesco Ricioppo"/>
  </r>
  <r>
    <n v="192"/>
    <s v="F1"/>
    <x v="10"/>
    <s v="G000000950"/>
    <m/>
    <s v="G000000873"/>
    <s v="Move"/>
    <x v="0"/>
    <x v="0"/>
    <s v="MGF"/>
    <m/>
    <m/>
    <s v="Francesco Ricioppo"/>
  </r>
  <r>
    <n v="193"/>
    <s v="F1"/>
    <x v="10"/>
    <s v="G000000415"/>
    <m/>
    <s v="G000000873"/>
    <s v="Move"/>
    <x v="0"/>
    <x v="0"/>
    <s v="MGF"/>
    <m/>
    <m/>
    <s v="Francesco Ricioppo"/>
  </r>
  <r>
    <n v="194"/>
    <s v="F1"/>
    <x v="10"/>
    <s v="G000000414"/>
    <m/>
    <s v="G000000873"/>
    <s v="Move"/>
    <x v="0"/>
    <x v="0"/>
    <s v="MGF"/>
    <m/>
    <m/>
    <s v="Francesco Ricioppo"/>
  </r>
  <r>
    <n v="195"/>
    <s v="F1"/>
    <x v="10"/>
    <s v="G000000417"/>
    <m/>
    <s v="G000000873"/>
    <s v="Move"/>
    <x v="0"/>
    <x v="0"/>
    <s v="MGF"/>
    <m/>
    <m/>
    <s v="Francesco Ricioppo"/>
  </r>
  <r>
    <n v="196"/>
    <s v="F1"/>
    <x v="10"/>
    <s v="G000000880"/>
    <m/>
    <s v="G000000873"/>
    <s v="Move"/>
    <x v="0"/>
    <x v="0"/>
    <s v="MGF"/>
    <m/>
    <m/>
    <s v="Francesco Ricioppo"/>
  </r>
  <r>
    <n v="197"/>
    <s v="F1"/>
    <x v="10"/>
    <s v="G000000881"/>
    <m/>
    <s v="G000000873"/>
    <s v="Move"/>
    <x v="0"/>
    <x v="0"/>
    <s v="MGF"/>
    <m/>
    <m/>
    <s v="Francesco Ricioppo"/>
  </r>
  <r>
    <n v="198"/>
    <s v="F1"/>
    <x v="10"/>
    <s v="G000000363"/>
    <m/>
    <s v="G000000873"/>
    <s v="Move"/>
    <x v="0"/>
    <x v="0"/>
    <s v="MGF"/>
    <m/>
    <m/>
    <s v="Francesco Ricioppo"/>
  </r>
  <r>
    <n v="199"/>
    <s v="F1"/>
    <x v="10"/>
    <s v="G000000888"/>
    <m/>
    <s v="G000000873"/>
    <s v="Move"/>
    <x v="0"/>
    <x v="0"/>
    <s v="MGF"/>
    <m/>
    <m/>
    <s v="Francesco Ricioppo"/>
  </r>
  <r>
    <n v="200"/>
    <s v="F1"/>
    <x v="10"/>
    <s v="G000001008"/>
    <m/>
    <s v="G000000873"/>
    <s v="Move"/>
    <x v="0"/>
    <x v="0"/>
    <s v="MGF"/>
    <m/>
    <m/>
    <s v="Francesco Ricioppo"/>
  </r>
  <r>
    <n v="201"/>
    <s v="F1"/>
    <x v="10"/>
    <s v="G000000471"/>
    <m/>
    <s v="G000000873"/>
    <s v="Move"/>
    <x v="0"/>
    <x v="0"/>
    <s v="MGF"/>
    <m/>
    <m/>
    <s v="Francesco Ricioppo"/>
  </r>
  <r>
    <n v="202"/>
    <s v="F1"/>
    <x v="10"/>
    <s v="G000000467"/>
    <m/>
    <s v="G000000873"/>
    <s v="Move"/>
    <x v="0"/>
    <x v="0"/>
    <s v="MGF"/>
    <m/>
    <m/>
    <s v="Francesco Ricioppo"/>
  </r>
  <r>
    <n v="203"/>
    <s v="F1"/>
    <x v="11"/>
    <s v="P000001265"/>
    <s v="IC Cross charges"/>
    <s v="P000001209"/>
    <s v="New"/>
    <x v="0"/>
    <x v="0"/>
    <s v="EL"/>
    <m/>
    <m/>
    <s v="Eivy Denine Cruz"/>
  </r>
  <r>
    <n v="204"/>
    <s v="F1"/>
    <x v="11"/>
    <s v="P000001266"/>
    <s v="IC Cross charges"/>
    <s v="P000001243"/>
    <s v="New"/>
    <x v="0"/>
    <x v="0"/>
    <s v="EL"/>
    <m/>
    <m/>
    <s v="Eivy Denine Cruz"/>
  </r>
  <r>
    <n v="205"/>
    <s v="F1"/>
    <x v="11"/>
    <s v="P000001267"/>
    <s v="Licrivision"/>
    <s v="P000000590"/>
    <s v="New"/>
    <x v="0"/>
    <x v="0"/>
    <s v="EL"/>
    <m/>
    <m/>
    <s v="Eivy Denine Cruz"/>
  </r>
  <r>
    <n v="206"/>
    <s v="F1"/>
    <x v="12"/>
    <s v="L000013824"/>
    <s v="mRNA CDMO QAO"/>
    <s v="L000013595"/>
    <s v="New"/>
    <x v="0"/>
    <x v="0"/>
    <s v="MGF"/>
    <m/>
    <m/>
    <s v="Marvin Graef"/>
  </r>
  <r>
    <n v="207"/>
    <s v="F1"/>
    <x v="12"/>
    <s v="L000013825"/>
    <s v="mRNA CDMO Support Functions"/>
    <s v="L000013595"/>
    <s v="New"/>
    <x v="0"/>
    <x v="0"/>
    <s v="MGF"/>
    <m/>
    <m/>
    <s v="Marvin Graef"/>
  </r>
  <r>
    <n v="208"/>
    <s v="F1"/>
    <x v="13"/>
    <s v="P000000331"/>
    <s v="Quality Gernsheim"/>
    <m/>
    <s v="Rename"/>
    <x v="0"/>
    <x v="0"/>
    <s v="EL"/>
    <m/>
    <m/>
    <s v="Eivy Denine Cruz"/>
  </r>
  <r>
    <n v="209"/>
    <s v="F2"/>
    <x v="14"/>
    <s v="G000000918"/>
    <m/>
    <s v="G000000392"/>
    <s v="Move"/>
    <x v="0"/>
    <x v="0"/>
    <s v="MGF"/>
    <s v="MOVED in 1000 both KR00"/>
    <m/>
    <s v="Marcus Morowski"/>
  </r>
  <r>
    <n v="210"/>
    <s v="F2"/>
    <x v="15"/>
    <s v="G000000537"/>
    <m/>
    <s v="G000000873"/>
    <s v="Move"/>
    <x v="0"/>
    <x v="0"/>
    <s v="MGF"/>
    <s v="MOVED in 1000 both KR00"/>
    <m/>
    <s v="Francesco Ricioppo"/>
  </r>
  <r>
    <n v="211"/>
    <s v="F2"/>
    <x v="16"/>
    <s v="G000000474"/>
    <m/>
    <s v="G000000397"/>
    <s v="Move"/>
    <x v="0"/>
    <x v="0"/>
    <s v="MGF"/>
    <s v="MOVED in 1000 both KR00"/>
    <m/>
    <s v="Francesco Ricioppo"/>
  </r>
  <r>
    <n v="212"/>
    <s v="F2"/>
    <x v="16"/>
    <s v="G000000478"/>
    <m/>
    <s v="G000000397"/>
    <s v="Move"/>
    <x v="0"/>
    <x v="0"/>
    <s v="MGF"/>
    <s v="MOVED in 1000 both KR00"/>
    <m/>
    <s v="Francesco Ricioppo"/>
  </r>
  <r>
    <n v="213"/>
    <s v="F2"/>
    <x v="16"/>
    <s v="G000000443"/>
    <m/>
    <s v="G000000873"/>
    <s v="Move"/>
    <x v="0"/>
    <x v="0"/>
    <s v="MGF"/>
    <s v="MOVED in 1000 both KR00"/>
    <m/>
    <s v="Francesco Ricioppo"/>
  </r>
  <r>
    <n v="214"/>
    <s v="F2"/>
    <x v="16"/>
    <s v="G000000446"/>
    <m/>
    <s v="G000000873"/>
    <s v="Move"/>
    <x v="0"/>
    <x v="0"/>
    <s v="MGF"/>
    <s v="MOVED in 1000 both KR00"/>
    <m/>
    <s v="Francesco Ricioppo"/>
  </r>
  <r>
    <n v="215"/>
    <s v="F2"/>
    <x v="16"/>
    <s v="G000000447"/>
    <m/>
    <s v="G000000873"/>
    <s v="Move"/>
    <x v="0"/>
    <x v="0"/>
    <s v="MGF"/>
    <s v="MOVED in 1000 both KR00"/>
    <m/>
    <s v="Francesco Ricioppo"/>
  </r>
  <r>
    <n v="216"/>
    <s v="F2"/>
    <x v="17"/>
    <s v="G000000951"/>
    <s v="SC Gebaeude Electronics DA"/>
    <m/>
    <s v="Rename"/>
    <x v="0"/>
    <x v="0"/>
    <s v="MGF"/>
    <s v="Created on both 1000; name is okay"/>
    <m/>
    <s v="Francesco Ricioppo"/>
  </r>
  <r>
    <n v="217"/>
    <s v="F2"/>
    <x v="17"/>
    <s v="G000000531"/>
    <s v="Freiflaechen und allg. Infrastruktur"/>
    <m/>
    <s v="Rename"/>
    <x v="0"/>
    <x v="0"/>
    <s v="MGF"/>
    <s v="Created on both 1000; name is okay"/>
    <m/>
    <s v="Francesco Ricioppo"/>
  </r>
  <r>
    <n v="218"/>
    <s v="F2"/>
    <x v="17"/>
    <s v="G000000532"/>
    <s v="Freiflaechen und Parken"/>
    <m/>
    <s v="Rename"/>
    <x v="0"/>
    <x v="0"/>
    <s v="MGF"/>
    <s v="Created on both 1000; name is okay"/>
    <m/>
    <s v="Francesco Ricioppo"/>
  </r>
  <r>
    <n v="219"/>
    <s v="F2"/>
    <x v="17"/>
    <s v="G000000945"/>
    <s v="Allgemeine Infrastruktur"/>
    <m/>
    <s v="Rename"/>
    <x v="0"/>
    <x v="0"/>
    <s v="MGF"/>
    <s v="Created on both 1000; name is okay"/>
    <m/>
    <s v="Francesco Ricioppo"/>
  </r>
  <r>
    <n v="220"/>
    <s v="F2"/>
    <x v="18"/>
    <s v="G000000089 "/>
    <s v="SM-IE Energy Operations &amp; Management"/>
    <m/>
    <s v="Rename"/>
    <x v="0"/>
    <x v="0"/>
    <s v="MGF"/>
    <s v="Created on both 1000; name is okay"/>
    <m/>
    <s v="Francesco Ricioppo"/>
  </r>
  <r>
    <n v="221"/>
    <s v="F2"/>
    <x v="19"/>
    <s v="G000000472"/>
    <s v="SM-HI Ideenmanagement"/>
    <s v="G000000359"/>
    <s v="Rename/Move"/>
    <x v="0"/>
    <x v="0"/>
    <s v="MGF"/>
    <s v="Created on both 1000; name is okay"/>
    <m/>
    <s v="Francesco Ricioppo"/>
  </r>
  <r>
    <n v="222"/>
    <s v="F2"/>
    <x v="20"/>
    <s v="L000013826"/>
    <s v="LW - Ecommerce Specialist"/>
    <s v="L000013126"/>
    <s v="New"/>
    <x v="0"/>
    <x v="0"/>
    <s v="LS"/>
    <s v="Created on both 1000; name is okay"/>
    <m/>
    <s v="Ruby Grace Garcia"/>
  </r>
  <r>
    <n v="223"/>
    <s v="F2"/>
    <x v="20"/>
    <s v="L000013827"/>
    <s v="LW - Global Digital Camp"/>
    <s v="L000013126"/>
    <s v="New"/>
    <x v="0"/>
    <x v="0"/>
    <s v="LS"/>
    <s v="Created on both 1000; name is okay"/>
    <m/>
    <s v="Ruby Grace Garcia"/>
  </r>
  <r>
    <n v="224"/>
    <s v="F2"/>
    <x v="20"/>
    <s v="L000013828"/>
    <s v="LW - Content Manager"/>
    <s v="L000013126"/>
    <s v="New"/>
    <x v="0"/>
    <x v="0"/>
    <s v="LS"/>
    <s v="Created on both 1000; name is okay"/>
    <m/>
    <s v="Ruby Grace Garcia"/>
  </r>
  <r>
    <n v="225"/>
    <s v="F2"/>
    <x v="20"/>
    <s v="L000013829"/>
    <s v="LW - Mark&amp;Digit Comm Spe"/>
    <s v="L000013126"/>
    <s v="New"/>
    <x v="0"/>
    <x v="0"/>
    <s v="LS"/>
    <s v="Created on both 1000; name is okay"/>
    <m/>
    <s v="Ruby Grace Garcia"/>
  </r>
  <r>
    <n v="226"/>
    <s v="F2"/>
    <x v="20"/>
    <s v="L000013830"/>
    <s v="Schnelldorf DF Operations CCV"/>
    <s v="L000012340"/>
    <s v="New"/>
    <x v="0"/>
    <x v="0"/>
    <s v="LS"/>
    <s v="Created on both 1000; name is okay"/>
    <m/>
    <s v="Ruby Grace Garcia"/>
  </r>
  <r>
    <n v="227"/>
    <s v="F2"/>
    <x v="20"/>
    <s v="L000013831"/>
    <s v="LS ERP Travel"/>
    <s v="L000013799"/>
    <s v="New"/>
    <x v="0"/>
    <x v="0"/>
    <s v="LS"/>
    <s v="Created on both 1000; name is okay"/>
    <m/>
    <s v="Ruby Grace Garcia"/>
  </r>
  <r>
    <n v="228"/>
    <s v="F2"/>
    <x v="20"/>
    <s v="L000013832"/>
    <s v="Darmstadt Freight Services -G"/>
    <s v="L000009975"/>
    <s v="New"/>
    <x v="0"/>
    <x v="0"/>
    <s v="LS"/>
    <s v="Created on both 1000; name is okay"/>
    <m/>
    <s v="Ruby Grace Garcia"/>
  </r>
  <r>
    <n v="229"/>
    <s v="F2"/>
    <x v="20"/>
    <s v="L000013833"/>
    <s v="Gernsheim Operations"/>
    <s v="L000013451"/>
    <s v="New"/>
    <x v="0"/>
    <x v="0"/>
    <s v="LS"/>
    <s v="Created on both 1000; name is okay"/>
    <m/>
    <s v="Ruby Grace Garcia"/>
  </r>
  <r>
    <n v="230"/>
    <s v="F2"/>
    <x v="20"/>
    <s v="L000013834"/>
    <s v="PG-3 Production"/>
    <s v="L000013833"/>
    <s v="New"/>
    <x v="0"/>
    <x v="0"/>
    <s v="LS"/>
    <s v="Created on both 1000; name is okay"/>
    <m/>
    <s v="Ruby Grace Garcia"/>
  </r>
  <r>
    <n v="231"/>
    <s v="F2"/>
    <x v="20"/>
    <s v="L000013835"/>
    <s v="PG-8 Production"/>
    <s v="L000013833"/>
    <s v="New"/>
    <x v="0"/>
    <x v="0"/>
    <s v="LS"/>
    <s v="Created on both 1000; name is okay"/>
    <m/>
    <s v="Ruby Grace Garcia"/>
  </r>
  <r>
    <n v="232"/>
    <s v="F2"/>
    <x v="20"/>
    <s v="L000013836"/>
    <s v="LSS Digital Transformation"/>
    <s v="L000013779"/>
    <s v="New"/>
    <x v="0"/>
    <x v="0"/>
    <s v="LS"/>
    <s v="Created on both 1000; name is okay"/>
    <m/>
    <s v="Ruby Grace Garcia"/>
  </r>
  <r>
    <n v="233"/>
    <s v="F2"/>
    <x v="20"/>
    <s v="L000013837"/>
    <s v="GoGlobal Program PS Marketing Center"/>
    <s v="L000013854"/>
    <s v="New"/>
    <x v="0"/>
    <x v="0"/>
    <s v="LS"/>
    <s v="Created on both 1000; name is okay"/>
    <m/>
    <s v="Ruby Grace Garcia"/>
  </r>
  <r>
    <n v="234"/>
    <s v="F2"/>
    <x v="20"/>
    <s v="L000013838"/>
    <s v="GoGlobal Program Downstream Franchises"/>
    <s v="L000013856"/>
    <s v="New"/>
    <x v="0"/>
    <x v="0"/>
    <s v="LS"/>
    <s v="Created on both 1000; name is okay"/>
    <m/>
    <s v="Ruby Grace Garcia"/>
  </r>
  <r>
    <n v="235"/>
    <s v="F2"/>
    <x v="20"/>
    <s v="L000013839"/>
    <s v="GoGlobal Program UPM"/>
    <s v="L000013553"/>
    <s v="New"/>
    <x v="0"/>
    <x v="0"/>
    <s v="LS"/>
    <s v="Created on both 1000; name is okay"/>
    <m/>
    <s v="Ruby Grace Garcia"/>
  </r>
  <r>
    <n v="236"/>
    <s v="F2"/>
    <x v="20"/>
    <s v="L000013840"/>
    <s v="Process Liquids &amp; Buffers"/>
    <s v="L000013553"/>
    <s v="New"/>
    <x v="0"/>
    <x v="0"/>
    <s v="LS"/>
    <s v="Created on both 1000; name is okay"/>
    <m/>
    <s v="Ruby Grace Garcia"/>
  </r>
  <r>
    <n v="237"/>
    <s v="F2"/>
    <x v="20"/>
    <s v="L000013841"/>
    <s v="Cell Lines &amp; CCM"/>
    <s v="L000013553"/>
    <s v="New"/>
    <x v="0"/>
    <x v="0"/>
    <s v="LS"/>
    <s v="Created on both 1000; name is okay"/>
    <m/>
    <s v="Ruby Grace Garcia"/>
  </r>
  <r>
    <n v="238"/>
    <s v="F2"/>
    <x v="20"/>
    <s v="L000013842"/>
    <s v="UPM - Strategy &amp; Execution"/>
    <s v="L000013553"/>
    <s v="New"/>
    <x v="0"/>
    <x v="0"/>
    <s v="LS"/>
    <s v="Created on both 1000; name is okay"/>
    <m/>
    <s v="Ruby Grace Garcia"/>
  </r>
  <r>
    <n v="239"/>
    <s v="F2"/>
    <x v="20"/>
    <s v="L000013843"/>
    <s v="Solid &amp; Liquid Formulations"/>
    <s v="L000013553"/>
    <s v="New"/>
    <x v="0"/>
    <x v="0"/>
    <s v="LS"/>
    <s v="Created on both 1000; name is okay"/>
    <m/>
    <s v="Ruby Grace Garcia"/>
  </r>
  <r>
    <n v="240"/>
    <s v="F2"/>
    <x v="20"/>
    <s v="L000013844"/>
    <s v="Excipients Liquid Applications"/>
    <s v="L000013553"/>
    <s v="New"/>
    <x v="0"/>
    <x v="0"/>
    <s v="LS"/>
    <s v="Created on both 1000; name is okay"/>
    <m/>
    <s v="Ruby Grace Garcia"/>
  </r>
  <r>
    <n v="241"/>
    <s v="F2"/>
    <x v="20"/>
    <s v="L000013845"/>
    <s v="UPM Management"/>
    <s v="L000013553"/>
    <s v="New"/>
    <x v="0"/>
    <x v="0"/>
    <s v="LS"/>
    <s v="Created on both 1000; name is okay"/>
    <m/>
    <s v="Ruby Grace Garcia"/>
  </r>
  <r>
    <n v="242"/>
    <s v="F2"/>
    <x v="20"/>
    <s v="L000013846"/>
    <s v="Single Use - Hardware Services"/>
    <s v="L000013554"/>
    <s v="New"/>
    <x v="0"/>
    <x v="0"/>
    <s v="LS"/>
    <s v="Created on both 1000; name is okay"/>
    <m/>
    <s v="Ruby Grace Garcia"/>
  </r>
  <r>
    <n v="243"/>
    <s v="F2"/>
    <x v="20"/>
    <s v="L000013847"/>
    <s v="Single Use - Management"/>
    <s v="L000013554"/>
    <s v="New"/>
    <x v="0"/>
    <x v="0"/>
    <s v="LS"/>
    <s v="Created on both 1000; name is okay"/>
    <m/>
    <s v="Ruby Grace Garcia"/>
  </r>
  <r>
    <n v="244"/>
    <s v="F2"/>
    <x v="20"/>
    <s v="L000013848"/>
    <s v="Single Use - Core"/>
    <s v="L000013554"/>
    <s v="New"/>
    <x v="0"/>
    <x v="0"/>
    <s v="LS"/>
    <s v="Created on both 1000; name is okay"/>
    <m/>
    <s v="Ruby Grace Garcia"/>
  </r>
  <r>
    <n v="245"/>
    <s v="F2"/>
    <x v="20"/>
    <s v="L000013849"/>
    <s v="Single Use - Growth Segments"/>
    <s v="L000013554"/>
    <s v="New"/>
    <x v="0"/>
    <x v="0"/>
    <s v="LS"/>
    <s v="Created on both 1000; name is okay"/>
    <m/>
    <s v="Ruby Grace Garcia"/>
  </r>
  <r>
    <n v="246"/>
    <s v="F2"/>
    <x v="20"/>
    <s v="L000013850"/>
    <s v="Single Use - Integrated Platform Solut"/>
    <s v="L000013554"/>
    <s v="New"/>
    <x v="0"/>
    <x v="0"/>
    <s v="LS"/>
    <s v="Created on both 1000; name is okay"/>
    <m/>
    <s v="Ruby Grace Garcia"/>
  </r>
  <r>
    <n v="247"/>
    <s v="F2"/>
    <x v="20"/>
    <s v="L000013851"/>
    <s v="Single Use - Market Positioning"/>
    <s v="L000013554"/>
    <s v="New"/>
    <x v="0"/>
    <x v="0"/>
    <s v="LS"/>
    <s v="Created on both 1000; name is okay"/>
    <m/>
    <s v="Ruby Grace Garcia"/>
  </r>
  <r>
    <n v="248"/>
    <s v="F2"/>
    <x v="20"/>
    <s v="L000013852"/>
    <s v="Single Use - Strategic Solutions &amp;BP&amp;I"/>
    <s v="L000013554"/>
    <s v="New"/>
    <x v="0"/>
    <x v="0"/>
    <s v="LS"/>
    <s v="Created on both 1000; name is okay"/>
    <m/>
    <s v="Ruby Grace Garcia"/>
  </r>
  <r>
    <n v="249"/>
    <s v="F2"/>
    <x v="20"/>
    <s v="L000013853"/>
    <s v="Single Use - Portfolio Operations"/>
    <s v="L000013554"/>
    <s v="New"/>
    <x v="0"/>
    <x v="0"/>
    <s v="LS"/>
    <s v="Created on both 1000; name is okay"/>
    <m/>
    <s v="Ruby Grace Garcia"/>
  </r>
  <r>
    <n v="250"/>
    <s v="F2"/>
    <x v="20"/>
    <s v="L000013854"/>
    <s v="PS Marketing Center"/>
    <s v="L000006294"/>
    <s v="New"/>
    <x v="0"/>
    <x v="0"/>
    <s v="LS"/>
    <s v="Created on both 1000; name is okay"/>
    <m/>
    <s v="Ruby Grace Garcia"/>
  </r>
  <r>
    <n v="251"/>
    <s v="F2"/>
    <x v="20"/>
    <s v="L000013855"/>
    <s v="Focused Modalities and BP&amp;I"/>
    <s v="L000013854"/>
    <s v="New"/>
    <x v="0"/>
    <x v="0"/>
    <s v="LS"/>
    <s v="Created on both 1000; name is okay"/>
    <m/>
    <s v="Ruby Grace Garcia"/>
  </r>
  <r>
    <n v="252"/>
    <s v="F2"/>
    <x v="20"/>
    <s v="L000013856"/>
    <s v="Downstream &amp; Validation Service Franch"/>
    <s v="L000006294"/>
    <s v="New"/>
    <x v="0"/>
    <x v="0"/>
    <s v="LS"/>
    <s v="Created on both 1000; name is okay"/>
    <m/>
    <s v="Ruby Grace Garcia"/>
  </r>
  <r>
    <n v="253"/>
    <s v="F2"/>
    <x v="20"/>
    <s v="L000013857"/>
    <s v="Downstream Management"/>
    <s v="L000013856"/>
    <s v="New"/>
    <x v="0"/>
    <x v="0"/>
    <s v="LS"/>
    <s v="Created on both 1000; name is okay"/>
    <m/>
    <s v="Ruby Grace Garcia"/>
  </r>
  <r>
    <n v="254"/>
    <s v="F2"/>
    <x v="20"/>
    <s v="L000013858"/>
    <s v="Downstream Portfolio Ops &amp;PS Governance"/>
    <s v="L000013856"/>
    <s v="New"/>
    <x v="0"/>
    <x v="0"/>
    <s v="LS"/>
    <s v="Created on both 1000; name is okay"/>
    <m/>
    <s v="Ruby Grace Garcia"/>
  </r>
  <r>
    <n v="255"/>
    <s v="F2"/>
    <x v="20"/>
    <s v="L000013859"/>
    <s v="Downstream Strategy &amp; Execution"/>
    <s v="L000013856"/>
    <s v="New"/>
    <x v="0"/>
    <x v="0"/>
    <s v="LS"/>
    <s v="Created on both 1000; name is okay"/>
    <m/>
    <s v="Ruby Grace Garcia"/>
  </r>
  <r>
    <n v="256"/>
    <s v="F2"/>
    <x v="20"/>
    <s v="L000013860"/>
    <s v="Validation Services &amp; Quality"/>
    <s v="L000013856"/>
    <s v="New"/>
    <x v="0"/>
    <x v="0"/>
    <s v="LS"/>
    <s v="Created on both 1000; name is okay"/>
    <m/>
    <s v="Ruby Grace Garcia"/>
  </r>
  <r>
    <n v="257"/>
    <s v="F2"/>
    <x v="20"/>
    <s v="L000013861"/>
    <s v="CDMO &amp; Bioprocess Materials"/>
    <s v="L000011390"/>
    <s v="New"/>
    <x v="0"/>
    <x v="0"/>
    <s v="LS"/>
    <s v="Created on both 1000; name is okay"/>
    <m/>
    <s v="Ruby Grace Garcia"/>
  </r>
  <r>
    <n v="258"/>
    <s v="F2"/>
    <x v="20"/>
    <s v="L000013862"/>
    <s v="Reg Mgmt &amp; Trade Comp."/>
    <s v="L000011390"/>
    <s v="New"/>
    <x v="0"/>
    <x v="0"/>
    <s v="LS"/>
    <s v="Created on both 1000; name is okay"/>
    <m/>
    <s v="Ruby Grace Garcia"/>
  </r>
  <r>
    <n v="259"/>
    <s v="F2"/>
    <x v="20"/>
    <s v="L000013863"/>
    <s v="DV Validation Management"/>
    <s v="L000011357"/>
    <s v="New"/>
    <x v="0"/>
    <x v="0"/>
    <s v="LS"/>
    <s v="Created on both 1000; name is okay"/>
    <m/>
    <s v="Ruby Grace Garcia"/>
  </r>
  <r>
    <n v="260"/>
    <s v="F2"/>
    <x v="20"/>
    <s v="L000013864"/>
    <s v="LSS Engineering"/>
    <s v="L000013452"/>
    <s v="New"/>
    <x v="0"/>
    <x v="0"/>
    <s v="LS"/>
    <s v="Created on both 1000; name is okay"/>
    <m/>
    <s v="Ruby Grace Garcia"/>
  </r>
  <r>
    <n v="261"/>
    <s v="F2"/>
    <x v="20"/>
    <s v="L000013865"/>
    <s v="E&amp;T LT"/>
    <s v="L000013452"/>
    <s v="New"/>
    <x v="0"/>
    <x v="0"/>
    <s v="LS"/>
    <s v="Created on both 1000; name is okay"/>
    <m/>
    <s v="Ruby Grace Garcia"/>
  </r>
  <r>
    <n v="262"/>
    <s v="F2"/>
    <x v="20"/>
    <s v="L000013866"/>
    <s v="Proj &amp; Eng - EMEA"/>
    <s v="L000013452"/>
    <s v="New"/>
    <x v="0"/>
    <x v="0"/>
    <s v="LS"/>
    <s v="Created on both 1000; name is okay"/>
    <m/>
    <s v="Ruby Grace Garcia"/>
  </r>
  <r>
    <n v="263"/>
    <s v="F2"/>
    <x v="20"/>
    <s v="L000013867"/>
    <s v="Global Eng &amp; SMEs"/>
    <s v="L000013452"/>
    <s v="New"/>
    <x v="0"/>
    <x v="0"/>
    <s v="LS"/>
    <s v="Created on both 1000; name is okay"/>
    <m/>
    <s v="Ruby Grace Garcia"/>
  </r>
  <r>
    <n v="264"/>
    <s v="F2"/>
    <x v="20"/>
    <s v="L000013868"/>
    <s v="LS-SC-EW Global Eng &amp;SMEs"/>
    <s v="L000013867"/>
    <s v="New"/>
    <x v="0"/>
    <x v="0"/>
    <s v="LS"/>
    <s v="Created on both 1000; name is okay"/>
    <m/>
    <s v="Ruby Grace Garcia"/>
  </r>
  <r>
    <n v="265"/>
    <s v="F2"/>
    <x v="20"/>
    <s v="L000013869"/>
    <s v="LS-SC-EWA FEE&amp;D"/>
    <s v="L000013867"/>
    <s v="New"/>
    <x v="0"/>
    <x v="0"/>
    <s v="LS"/>
    <s v="Created on both 1000; name is okay"/>
    <m/>
    <s v="Ruby Grace Garcia"/>
  </r>
  <r>
    <n v="266"/>
    <s v="F2"/>
    <x v="20"/>
    <s v="L000013870"/>
    <s v="LS-SC-EWB Global Project Controls"/>
    <s v="L000013867"/>
    <s v="New"/>
    <x v="0"/>
    <x v="0"/>
    <s v="LS"/>
    <s v="Created on both 1000; name is okay"/>
    <m/>
    <s v="Ruby Grace Garcia"/>
  </r>
  <r>
    <n v="267"/>
    <s v="F2"/>
    <x v="20"/>
    <s v="L000013871"/>
    <s v="LS-SC-EWC Global CSA Engineering"/>
    <s v="L000013867"/>
    <s v="New"/>
    <x v="0"/>
    <x v="0"/>
    <s v="LS"/>
    <s v="Created on both 1000; name is okay"/>
    <m/>
    <s v="Ruby Grace Garcia"/>
  </r>
  <r>
    <n v="268"/>
    <s v="F2"/>
    <x v="20"/>
    <s v="L000013872"/>
    <s v="LS-SC-EWDBA Membrane"/>
    <s v="L000013867"/>
    <s v="New"/>
    <x v="0"/>
    <x v="0"/>
    <s v="LS"/>
    <s v="Created on both 1000; name is okay"/>
    <m/>
    <s v="Ruby Grace Garcia"/>
  </r>
  <r>
    <n v="269"/>
    <s v="F2"/>
    <x v="20"/>
    <s v="L000013873"/>
    <s v="LS-SC-EWE GA &amp; OT Eng"/>
    <s v="L000013867"/>
    <s v="New"/>
    <x v="0"/>
    <x v="0"/>
    <s v="LS"/>
    <s v="Created on both 1000; name is okay"/>
    <m/>
    <s v="Ruby Grace Garcia"/>
  </r>
  <r>
    <n v="270"/>
    <s v="F2"/>
    <x v="20"/>
    <s v="L000013874"/>
    <s v="LS-SC-EWG Global Process Engineering"/>
    <s v="L000013867"/>
    <s v="New"/>
    <x v="0"/>
    <x v="0"/>
    <s v="LS"/>
    <s v="Created on both 1000; name is okay"/>
    <m/>
    <s v="Ruby Grace Garcia"/>
  </r>
  <r>
    <n v="271"/>
    <s v="F2"/>
    <x v="20"/>
    <s v="L000013801"/>
    <s v="GES"/>
    <m/>
    <s v="Rename"/>
    <x v="0"/>
    <x v="0"/>
    <s v="LS"/>
    <s v="Created on both 1000; name is okay"/>
    <m/>
    <s v="Ruby Grace Garcia"/>
  </r>
  <r>
    <n v="272"/>
    <s v="F2"/>
    <x v="20"/>
    <s v="L000013803"/>
    <s v="STO - Mgmt, Commercial, Change &amp; Comms"/>
    <m/>
    <s v="Rename"/>
    <x v="0"/>
    <x v="0"/>
    <s v="LS"/>
    <s v="Created on both 1000; name is okay"/>
    <m/>
    <s v="Ruby Grace Garcia"/>
  </r>
  <r>
    <n v="273"/>
    <s v="F2"/>
    <x v="20"/>
    <s v="L000013519"/>
    <s v="PS Business Franchises - to be deleted"/>
    <m/>
    <s v="Rename"/>
    <x v="0"/>
    <x v="0"/>
    <s v="LS"/>
    <s v="Created on both 1000; name is okay"/>
    <m/>
    <s v="Ruby Grace Garcia"/>
  </r>
  <r>
    <n v="274"/>
    <s v="F2"/>
    <x v="20"/>
    <s v="L000007285"/>
    <s v="PSMMOR1975.5032 5032-PSC-Cust to be del"/>
    <m/>
    <s v="Rename"/>
    <x v="0"/>
    <x v="0"/>
    <s v="LS"/>
    <s v="Created on both 1000; name is okay"/>
    <m/>
    <s v="Ruby Grace Garcia"/>
  </r>
  <r>
    <n v="275"/>
    <s v="F2"/>
    <x v="20"/>
    <s v="L000007286"/>
    <s v="PS1000BE40MS1006-PGSTS-LE Lab to be del"/>
    <m/>
    <s v="Rename"/>
    <x v="0"/>
    <x v="0"/>
    <s v="LS"/>
    <s v="Created on both 1000; name is okay"/>
    <m/>
    <s v="Ruby Grace Garcia"/>
  </r>
  <r>
    <n v="276"/>
    <s v="F2"/>
    <x v="20"/>
    <s v="L000007513"/>
    <s v="PS01010000699601-TM lab &amp; ed to be del"/>
    <m/>
    <s v="Rename"/>
    <x v="0"/>
    <x v="0"/>
    <s v="LS"/>
    <s v="Created on both 1000; name is okay"/>
    <m/>
    <s v="Ruby Grace Garcia"/>
  </r>
  <r>
    <n v="277"/>
    <s v="F2"/>
    <x v="20"/>
    <s v="L000013292"/>
    <s v="Global Services Offerings to be del"/>
    <m/>
    <s v="Rename"/>
    <x v="0"/>
    <x v="0"/>
    <s v="LS"/>
    <s v="Created on both 1000; name is okay"/>
    <m/>
    <s v="Ruby Grace Garcia"/>
  </r>
  <r>
    <n v="278"/>
    <s v="F2"/>
    <x v="20"/>
    <s v="L000013557"/>
    <s v="GTM Modality Focus -to be deleted"/>
    <m/>
    <s v="Rename"/>
    <x v="0"/>
    <x v="0"/>
    <s v="LS"/>
    <s v="Created on both 1000; name is okay"/>
    <m/>
    <s v="Ruby Grace Garcia"/>
  </r>
  <r>
    <n v="279"/>
    <s v="F2"/>
    <x v="20"/>
    <s v="L000013559"/>
    <s v="Portfolio Operations - to be deleted"/>
    <m/>
    <s v="Rename"/>
    <x v="0"/>
    <x v="0"/>
    <s v="LS"/>
    <s v="Created on both 1000; name is okay"/>
    <m/>
    <s v="Ruby Grace Garcia"/>
  </r>
  <r>
    <n v="280"/>
    <s v="F2"/>
    <x v="20"/>
    <s v="L000013561"/>
    <s v="Bus Plannning &amp; Implement - to be del"/>
    <m/>
    <s v="Rename"/>
    <x v="0"/>
    <x v="0"/>
    <s v="LS"/>
    <s v="Created on both 1000; name is okay"/>
    <m/>
    <s v="Ruby Grace Garcia"/>
  </r>
  <r>
    <n v="281"/>
    <s v="F2"/>
    <x v="20"/>
    <s v="L000013529"/>
    <s v="PS Digital Experience - to be deleted"/>
    <m/>
    <s v="Rename"/>
    <x v="0"/>
    <x v="0"/>
    <s v="LS"/>
    <s v="Created on both 1000; name is okay"/>
    <m/>
    <s v="Ruby Grace Garcia"/>
  </r>
  <r>
    <n v="282"/>
    <s v="F2"/>
    <x v="20"/>
    <s v="L000011397"/>
    <s v="LS-QRP Pharma, Food Mat. &amp; Medical Dev."/>
    <m/>
    <s v="Rename"/>
    <x v="0"/>
    <x v="0"/>
    <s v="LS"/>
    <s v="Created on both 1000; name is okay"/>
    <m/>
    <s v="Ruby Grace Garcia"/>
  </r>
  <r>
    <n v="283"/>
    <s v="F2"/>
    <x v="20"/>
    <s v="L000011361"/>
    <s v="LS-QD DA Audits"/>
    <m/>
    <s v="Rename"/>
    <x v="0"/>
    <x v="0"/>
    <s v="LS"/>
    <s v="Created on both 1000; name is okay"/>
    <m/>
    <s v="Ruby Grace Garcia"/>
  </r>
  <r>
    <n v="284"/>
    <s v="F2"/>
    <x v="20"/>
    <s v="L000012190"/>
    <s v="Ext Manuf Production -G"/>
    <s v="L000013770"/>
    <s v="Rename/Move"/>
    <x v="0"/>
    <x v="0"/>
    <s v="LS"/>
    <s v="Created on both 1000; name is okay"/>
    <m/>
    <s v="Ruby Grace Garcia"/>
  </r>
  <r>
    <n v="285"/>
    <s v="F2"/>
    <x v="20"/>
    <s v="L000010054"/>
    <s v="Ext Manuf Production Applied-G"/>
    <s v="L000012190"/>
    <s v="Rename/Move"/>
    <x v="0"/>
    <x v="0"/>
    <s v="LS"/>
    <s v="Created on both 1000; name is okay"/>
    <m/>
    <s v="Ruby Grace Garcia"/>
  </r>
  <r>
    <n v="286"/>
    <s v="F2"/>
    <x v="20"/>
    <s v="L000010055"/>
    <s v="Ext Manuf Production Process-G"/>
    <s v="L000012190"/>
    <s v="Rename/Move"/>
    <x v="0"/>
    <x v="0"/>
    <s v="LS"/>
    <s v="Created on both 1000; name is okay"/>
    <m/>
    <s v="Ruby Grace Garcia"/>
  </r>
  <r>
    <n v="287"/>
    <s v="F2"/>
    <x v="20"/>
    <s v="L000010056"/>
    <s v="Ext Manuf Production Research-G"/>
    <s v="L000012190"/>
    <s v="Rename/Move"/>
    <x v="0"/>
    <x v="0"/>
    <s v="LS"/>
    <s v="Created on both 1000; name is okay"/>
    <m/>
    <s v="Ruby Grace Garcia"/>
  </r>
  <r>
    <n v="288"/>
    <s v="F2"/>
    <x v="20"/>
    <s v="L000012348"/>
    <s v="Marketing Insights and Analytics"/>
    <s v="L000013854"/>
    <s v="Rename/Move"/>
    <x v="0"/>
    <x v="0"/>
    <s v="LS"/>
    <s v="Created on both 1000; name is okay"/>
    <m/>
    <s v="Ruby Grace Garcia"/>
  </r>
  <r>
    <n v="289"/>
    <s v="F2"/>
    <x v="20"/>
    <s v="L000006518"/>
    <s v="Mirus Bio Forecast"/>
    <s v="L000013154"/>
    <s v="Rename/Move"/>
    <x v="0"/>
    <x v="0"/>
    <s v="LS"/>
    <s v="Created on both 1000; name is okay"/>
    <m/>
    <s v="Ruby Grace Garcia"/>
  </r>
  <r>
    <n v="290"/>
    <s v="F2"/>
    <x v="20"/>
    <s v="L000012318"/>
    <s v="GoGlobal Program Single Use"/>
    <s v="L000013554"/>
    <s v="Rename/Move"/>
    <x v="0"/>
    <x v="0"/>
    <s v="LS"/>
    <s v="Created on both 1000; name is okay"/>
    <m/>
    <s v="Ruby Grace Garcia"/>
  </r>
  <r>
    <n v="291"/>
    <s v="F2"/>
    <x v="20"/>
    <s v="L000013129"/>
    <s v="Process &amp; Formulation Mat to be del"/>
    <s v="L000013553"/>
    <s v="Rename/Move"/>
    <x v="0"/>
    <x v="0"/>
    <s v="LS"/>
    <s v="Created on both 1000; name is okay"/>
    <m/>
    <s v="Ruby Grace Garcia"/>
  </r>
  <r>
    <n v="292"/>
    <s v="F2"/>
    <x v="20"/>
    <s v="L000013179"/>
    <s v="UPM Marketing Mgmt -G"/>
    <s v="L000013845"/>
    <s v="Rename/Move"/>
    <x v="0"/>
    <x v="0"/>
    <s v="LS"/>
    <s v="Created on both 1000; name is okay"/>
    <m/>
    <s v="Ruby Grace Garcia"/>
  </r>
  <r>
    <n v="293"/>
    <s v="F2"/>
    <x v="20"/>
    <s v="L000013554"/>
    <s v="SingleUse&amp;Integrated Platform Sol Fran"/>
    <s v="L000006294"/>
    <s v="Rename/Move"/>
    <x v="0"/>
    <x v="0"/>
    <s v="LS"/>
    <s v="Created on both 1000; name is okay"/>
    <m/>
    <s v="Ruby Grace Garcia"/>
  </r>
  <r>
    <n v="294"/>
    <s v="F2"/>
    <x v="20"/>
    <s v="L000013558"/>
    <s v="Marketing and Brand"/>
    <s v="L000013854"/>
    <s v="Rename/Move"/>
    <x v="0"/>
    <x v="0"/>
    <s v="LS"/>
    <s v="Created on both 1000; name is okay"/>
    <m/>
    <s v="Ruby Grace Garcia"/>
  </r>
  <r>
    <n v="295"/>
    <s v="F2"/>
    <x v="20"/>
    <s v="L000013143"/>
    <s v="UPM Portfolio Operations"/>
    <s v="L000013553"/>
    <s v="Rename/Move"/>
    <x v="0"/>
    <x v="0"/>
    <s v="LS"/>
    <s v="Created on both 1000; name is okay"/>
    <m/>
    <s v="Ruby Grace Garcia"/>
  </r>
  <r>
    <n v="296"/>
    <s v="F2"/>
    <x v="20"/>
    <s v="L000013560"/>
    <s v="Pricing and Governance"/>
    <s v="L000013854"/>
    <s v="Rename/Move"/>
    <x v="0"/>
    <x v="0"/>
    <s v="LS"/>
    <s v="Created on both 1000; name is okay"/>
    <m/>
    <s v="Ruby Grace Garcia"/>
  </r>
  <r>
    <n v="297"/>
    <s v="F2"/>
    <x v="20"/>
    <s v="L000013562"/>
    <s v="Franchises Management - to be deleted"/>
    <s v="L000013845"/>
    <s v="Rename/Move"/>
    <x v="0"/>
    <x v="0"/>
    <s v="LS"/>
    <s v="Created on both 1000; name is okay"/>
    <m/>
    <s v="Ruby Grace Garcia"/>
  </r>
  <r>
    <n v="298"/>
    <s v="F2"/>
    <x v="20"/>
    <s v="L000006562"/>
    <s v="UPM Royalties"/>
    <s v="L000013845"/>
    <s v="Rename/Move"/>
    <x v="0"/>
    <x v="0"/>
    <s v="LS"/>
    <s v="Created on both 1000; name is okay"/>
    <m/>
    <s v="Ruby Grace Garcia"/>
  </r>
  <r>
    <n v="299"/>
    <s v="F2"/>
    <x v="20"/>
    <s v="L000013142"/>
    <s v="UPM Royalty Income Ares Trading"/>
    <s v="L000006562"/>
    <s v="Rename/Move"/>
    <x v="0"/>
    <x v="0"/>
    <s v="LS"/>
    <s v="Created on both 1000; name is okay"/>
    <m/>
    <s v="Ruby Grace Garcia"/>
  </r>
  <r>
    <n v="300"/>
    <s v="F2"/>
    <x v="20"/>
    <s v="L000013139"/>
    <s v="UPM Management"/>
    <s v="L000013845"/>
    <s v="Rename/Move"/>
    <x v="0"/>
    <x v="0"/>
    <s v="LS"/>
    <s v="Created on both 1000; name is okay"/>
    <m/>
    <s v="Ruby Grace Garcia"/>
  </r>
  <r>
    <n v="301"/>
    <s v="F2"/>
    <x v="20"/>
    <s v="L000011729"/>
    <s v="CRM Operations"/>
    <s v="L000012364"/>
    <s v="Rename/Move"/>
    <x v="0"/>
    <x v="0"/>
    <s v="LS"/>
    <s v="Created on both 1000; name is okay"/>
    <m/>
    <s v="Ruby Grace Garcia"/>
  </r>
  <r>
    <n v="302"/>
    <s v="F2"/>
    <x v="20"/>
    <s v="L000013532"/>
    <s v="eCommerce"/>
    <s v="L000013854"/>
    <s v="Rename/Move"/>
    <x v="0"/>
    <x v="0"/>
    <s v="LS"/>
    <s v="Created on both 1000; name is okay"/>
    <m/>
    <s v="Ruby Grace Garcia"/>
  </r>
  <r>
    <n v="303"/>
    <s v="F2"/>
    <x v="20"/>
    <s v="L000005965"/>
    <m/>
    <s v="L000012017"/>
    <s v="Move"/>
    <x v="0"/>
    <x v="0"/>
    <s v="LS"/>
    <s v="MOVED in 1000"/>
    <m/>
    <s v="Ruby Grace Garcia"/>
  </r>
  <r>
    <n v="304"/>
    <s v="F2"/>
    <x v="20"/>
    <s v="L000012018"/>
    <m/>
    <s v="L000012017"/>
    <s v="Move"/>
    <x v="0"/>
    <x v="0"/>
    <s v="LS"/>
    <s v="MOVED in 1000"/>
    <m/>
    <s v="Ruby Grace Garcia"/>
  </r>
  <r>
    <n v="305"/>
    <s v="F2"/>
    <x v="20"/>
    <s v="L000013177"/>
    <m/>
    <s v="L000012017"/>
    <s v="Move"/>
    <x v="0"/>
    <x v="0"/>
    <s v="LS"/>
    <s v="MOVED in 1000"/>
    <m/>
    <s v="Ruby Grace Garcia"/>
  </r>
  <r>
    <n v="306"/>
    <s v="F2"/>
    <x v="20"/>
    <s v="L000006078"/>
    <m/>
    <s v="L000013126"/>
    <s v="Move"/>
    <x v="0"/>
    <x v="0"/>
    <s v="LS"/>
    <s v="MOVED in 1000"/>
    <m/>
    <s v="Ruby Grace Garcia"/>
  </r>
  <r>
    <n v="307"/>
    <s v="F2"/>
    <x v="20"/>
    <s v="L000006079"/>
    <m/>
    <s v="L000013126"/>
    <s v="Move"/>
    <x v="0"/>
    <x v="0"/>
    <s v="LS"/>
    <s v="MOVED in 1000"/>
    <m/>
    <s v="Ruby Grace Garcia"/>
  </r>
  <r>
    <n v="308"/>
    <s v="F2"/>
    <x v="20"/>
    <s v="L000006085"/>
    <m/>
    <s v="L000013198"/>
    <s v="Move"/>
    <x v="0"/>
    <x v="0"/>
    <s v="LS"/>
    <s v="MOVED in 1000"/>
    <m/>
    <s v="Ruby Grace Garcia"/>
  </r>
  <r>
    <n v="309"/>
    <s v="F2"/>
    <x v="20"/>
    <s v="L000013312"/>
    <m/>
    <s v="L000013126"/>
    <s v="Move"/>
    <x v="0"/>
    <x v="0"/>
    <s v="LS"/>
    <s v="MOVED in 1000"/>
    <m/>
    <s v="Ruby Grace Garcia"/>
  </r>
  <r>
    <n v="310"/>
    <s v="F2"/>
    <x v="20"/>
    <s v="L000013502"/>
    <m/>
    <s v="L000012340"/>
    <s v="Move"/>
    <x v="0"/>
    <x v="0"/>
    <s v="LS"/>
    <s v="MOVED in 1000"/>
    <m/>
    <s v="Ruby Grace Garcia"/>
  </r>
  <r>
    <n v="311"/>
    <s v="F2"/>
    <x v="20"/>
    <s v="L000010074"/>
    <m/>
    <s v="L000013451"/>
    <s v="Move"/>
    <x v="0"/>
    <x v="0"/>
    <s v="LS"/>
    <s v="MOVED in 1000"/>
    <m/>
    <s v="Ruby Grace Garcia"/>
  </r>
  <r>
    <n v="312"/>
    <s v="F2"/>
    <x v="20"/>
    <s v="L000013371"/>
    <m/>
    <s v="L000013779"/>
    <s v="Move"/>
    <x v="0"/>
    <x v="0"/>
    <s v="LS"/>
    <s v="MOVED in 1000"/>
    <m/>
    <s v="Ruby Grace Garcia"/>
  </r>
  <r>
    <n v="313"/>
    <s v="F2"/>
    <x v="20"/>
    <s v="L000013372"/>
    <m/>
    <s v="L000013779"/>
    <s v="Move"/>
    <x v="0"/>
    <x v="0"/>
    <s v="LS"/>
    <s v="MOVED in 1000"/>
    <m/>
    <s v="Ruby Grace Garcia"/>
  </r>
  <r>
    <n v="314"/>
    <s v="F2"/>
    <x v="20"/>
    <s v="L000006677"/>
    <m/>
    <s v="L000013289"/>
    <s v="Move"/>
    <x v="0"/>
    <x v="0"/>
    <s v="LS"/>
    <s v="MOVED in 1000"/>
    <m/>
    <s v="Ruby Grace Garcia"/>
  </r>
  <r>
    <n v="315"/>
    <s v="F2"/>
    <x v="20"/>
    <s v="L000006678"/>
    <m/>
    <s v="L000013289"/>
    <s v="Move"/>
    <x v="0"/>
    <x v="0"/>
    <s v="LS"/>
    <s v="MOVED in 1000"/>
    <m/>
    <s v="Ruby Grace Garcia"/>
  </r>
  <r>
    <n v="316"/>
    <s v="F2"/>
    <x v="20"/>
    <s v="L000012755"/>
    <m/>
    <s v="L000012348"/>
    <s v="Move"/>
    <x v="0"/>
    <x v="0"/>
    <s v="LS"/>
    <s v="MOVED in 1000"/>
    <m/>
    <s v="Ruby Grace Garcia"/>
  </r>
  <r>
    <n v="317"/>
    <s v="F2"/>
    <x v="20"/>
    <s v="L000006557"/>
    <m/>
    <s v="L000013558"/>
    <s v="Move"/>
    <x v="0"/>
    <x v="0"/>
    <s v="LS"/>
    <s v="MOVED in 1000"/>
    <m/>
    <s v="Ruby Grace Garcia"/>
  </r>
  <r>
    <n v="318"/>
    <s v="F2"/>
    <x v="20"/>
    <s v="L000012679"/>
    <m/>
    <s v="L000013558"/>
    <s v="Move"/>
    <x v="0"/>
    <x v="0"/>
    <s v="LS"/>
    <s v="MOVED in 1000"/>
    <m/>
    <s v="Ruby Grace Garcia"/>
  </r>
  <r>
    <n v="319"/>
    <s v="F2"/>
    <x v="20"/>
    <s v="L000012606"/>
    <m/>
    <s v="L000013850"/>
    <s v="Move"/>
    <x v="0"/>
    <x v="0"/>
    <s v="LS"/>
    <s v="MOVED in 1000"/>
    <m/>
    <s v="Ruby Grace Garcia"/>
  </r>
  <r>
    <n v="320"/>
    <s v="F2"/>
    <x v="20"/>
    <s v="L000006987"/>
    <m/>
    <s v="L000013846"/>
    <s v="Move"/>
    <x v="0"/>
    <x v="0"/>
    <s v="LS"/>
    <s v="MOVED in 1000"/>
    <m/>
    <s v="Ruby Grace Garcia"/>
  </r>
  <r>
    <n v="321"/>
    <s v="F2"/>
    <x v="20"/>
    <s v="L000012357"/>
    <m/>
    <s v="L000013846"/>
    <s v="Move"/>
    <x v="0"/>
    <x v="0"/>
    <s v="LS"/>
    <s v="MOVED in 1000"/>
    <m/>
    <s v="Ruby Grace Garcia"/>
  </r>
  <r>
    <n v="322"/>
    <s v="F2"/>
    <x v="20"/>
    <s v="L000013161"/>
    <m/>
    <s v="L000013860"/>
    <s v="Move"/>
    <x v="0"/>
    <x v="0"/>
    <s v="LS"/>
    <s v="MOVED in 1000"/>
    <m/>
    <s v="Ruby Grace Garcia"/>
  </r>
  <r>
    <n v="323"/>
    <s v="F2"/>
    <x v="20"/>
    <s v="L000013635"/>
    <m/>
    <s v="L000013846"/>
    <s v="Move"/>
    <x v="0"/>
    <x v="0"/>
    <s v="LS"/>
    <s v="MOVED in 1000"/>
    <m/>
    <s v="Ruby Grace Garcia"/>
  </r>
  <r>
    <n v="324"/>
    <s v="F2"/>
    <x v="20"/>
    <s v="L000013636"/>
    <m/>
    <s v="L000013860"/>
    <s v="Move"/>
    <x v="0"/>
    <x v="0"/>
    <s v="LS"/>
    <s v="MOVED in 1000"/>
    <m/>
    <s v="Ruby Grace Garcia"/>
  </r>
  <r>
    <n v="325"/>
    <s v="F2"/>
    <x v="20"/>
    <s v="L000013637"/>
    <m/>
    <s v="L000013846"/>
    <s v="Move"/>
    <x v="0"/>
    <x v="0"/>
    <s v="LS"/>
    <s v="MOVED in 1000"/>
    <m/>
    <s v="Ruby Grace Garcia"/>
  </r>
  <r>
    <n v="326"/>
    <s v="F2"/>
    <x v="20"/>
    <s v="L000013553"/>
    <m/>
    <s v="L000006294"/>
    <s v="Move"/>
    <x v="0"/>
    <x v="0"/>
    <s v="LS"/>
    <s v="MOVED in 1000"/>
    <m/>
    <s v="Ruby Grace Garcia"/>
  </r>
  <r>
    <n v="327"/>
    <s v="F2"/>
    <x v="20"/>
    <s v="L000006593"/>
    <m/>
    <s v="L000013845"/>
    <s v="Move"/>
    <x v="0"/>
    <x v="0"/>
    <s v="LS"/>
    <s v="MOVED in 1000"/>
    <m/>
    <s v="Ruby Grace Garcia"/>
  </r>
  <r>
    <n v="328"/>
    <s v="F2"/>
    <x v="20"/>
    <s v="L000011440"/>
    <m/>
    <s v="L000013843"/>
    <s v="Move"/>
    <x v="0"/>
    <x v="0"/>
    <s v="LS"/>
    <s v="MOVED in 1000"/>
    <m/>
    <s v="Ruby Grace Garcia"/>
  </r>
  <r>
    <n v="329"/>
    <s v="F2"/>
    <x v="20"/>
    <s v="L000011442"/>
    <m/>
    <s v="L000013843"/>
    <s v="Move"/>
    <x v="0"/>
    <x v="0"/>
    <s v="LS"/>
    <s v="MOVED in 1000"/>
    <m/>
    <s v="Ruby Grace Garcia"/>
  </r>
  <r>
    <n v="330"/>
    <s v="F2"/>
    <x v="20"/>
    <s v="L000013563"/>
    <m/>
    <s v="L000013845"/>
    <s v="Move"/>
    <x v="0"/>
    <x v="0"/>
    <s v="LS"/>
    <s v="MOVED in 1000"/>
    <m/>
    <s v="Ruby Grace Garcia"/>
  </r>
  <r>
    <n v="331"/>
    <s v="F2"/>
    <x v="20"/>
    <s v="L000013555"/>
    <m/>
    <s v="L000013856"/>
    <s v="Move"/>
    <x v="0"/>
    <x v="0"/>
    <s v="LS"/>
    <s v="MOVED in 1000"/>
    <m/>
    <s v="Ruby Grace Garcia"/>
  </r>
  <r>
    <n v="332"/>
    <s v="F2"/>
    <x v="20"/>
    <s v="L000006575"/>
    <m/>
    <s v="L000013853"/>
    <s v="Move"/>
    <x v="0"/>
    <x v="0"/>
    <s v="LS"/>
    <s v="MOVED in 1000"/>
    <m/>
    <s v="Ruby Grace Garcia"/>
  </r>
  <r>
    <n v="333"/>
    <s v="F2"/>
    <x v="20"/>
    <s v="L000006578"/>
    <m/>
    <s v="L000013858"/>
    <s v="Move"/>
    <x v="0"/>
    <x v="0"/>
    <s v="LS"/>
    <s v="MOVED in 1000"/>
    <m/>
    <s v="Ruby Grace Garcia"/>
  </r>
  <r>
    <n v="334"/>
    <s v="F2"/>
    <x v="20"/>
    <s v="L000011402"/>
    <m/>
    <s v="L000013858"/>
    <s v="Move"/>
    <x v="0"/>
    <x v="0"/>
    <s v="LS"/>
    <s v="MOVED in 1000"/>
    <m/>
    <s v="Ruby Grace Garcia"/>
  </r>
  <r>
    <n v="335"/>
    <s v="F2"/>
    <x v="20"/>
    <s v="L000012682"/>
    <m/>
    <s v="L000013858"/>
    <s v="Move"/>
    <x v="0"/>
    <x v="0"/>
    <s v="LS"/>
    <s v="MOVED in 1000"/>
    <m/>
    <s v="Ruby Grace Garcia"/>
  </r>
  <r>
    <n v="336"/>
    <s v="F2"/>
    <x v="20"/>
    <s v="L000012687"/>
    <m/>
    <s v="L000013858"/>
    <s v="Move"/>
    <x v="0"/>
    <x v="0"/>
    <s v="LS"/>
    <s v="MOVED in 1000"/>
    <m/>
    <s v="Ruby Grace Garcia"/>
  </r>
  <r>
    <n v="337"/>
    <s v="F2"/>
    <x v="20"/>
    <s v="L000012722"/>
    <m/>
    <s v="L000013858"/>
    <s v="Move"/>
    <x v="0"/>
    <x v="0"/>
    <s v="LS"/>
    <s v="MOVED in 1000"/>
    <m/>
    <s v="Ruby Grace Garcia"/>
  </r>
  <r>
    <n v="338"/>
    <s v="F2"/>
    <x v="20"/>
    <s v="L000006553"/>
    <m/>
    <s v="L000013553"/>
    <s v="Move"/>
    <x v="0"/>
    <x v="0"/>
    <s v="LS"/>
    <s v="MOVED in 1000"/>
    <m/>
    <s v="Ruby Grace Garcia"/>
  </r>
  <r>
    <n v="339"/>
    <s v="F2"/>
    <x v="20"/>
    <s v="L000006555"/>
    <m/>
    <s v="L000013553"/>
    <s v="Move"/>
    <x v="0"/>
    <x v="0"/>
    <s v="LS"/>
    <s v="MOVED in 1000"/>
    <m/>
    <s v="Ruby Grace Garcia"/>
  </r>
  <r>
    <n v="340"/>
    <s v="F2"/>
    <x v="20"/>
    <s v="L000011434"/>
    <m/>
    <s v="L000013554"/>
    <s v="Move"/>
    <x v="0"/>
    <x v="0"/>
    <s v="LS"/>
    <s v="MOVED in 1000"/>
    <m/>
    <s v="Ruby Grace Garcia"/>
  </r>
  <r>
    <n v="341"/>
    <s v="F2"/>
    <x v="20"/>
    <s v="L000012688"/>
    <m/>
    <s v="L000013554"/>
    <s v="Move"/>
    <x v="0"/>
    <x v="0"/>
    <s v="LS"/>
    <s v="MOVED in 1000"/>
    <m/>
    <s v="Ruby Grace Garcia"/>
  </r>
  <r>
    <n v="342"/>
    <s v="F2"/>
    <x v="20"/>
    <s v="L000012724"/>
    <m/>
    <s v="L000013553"/>
    <s v="Move"/>
    <x v="0"/>
    <x v="0"/>
    <s v="LS"/>
    <s v="MOVED in 1000"/>
    <m/>
    <s v="Ruby Grace Garcia"/>
  </r>
  <r>
    <n v="343"/>
    <s v="F2"/>
    <x v="20"/>
    <s v="L000012732"/>
    <m/>
    <s v="L000006562"/>
    <s v="Move"/>
    <x v="0"/>
    <x v="0"/>
    <s v="LS"/>
    <s v="MOVED in 1000"/>
    <m/>
    <s v="Ruby Grace Garcia"/>
  </r>
  <r>
    <n v="344"/>
    <s v="F2"/>
    <x v="20"/>
    <s v="L000012832"/>
    <m/>
    <s v="L000013554"/>
    <s v="Move"/>
    <x v="0"/>
    <x v="0"/>
    <s v="LS"/>
    <s v="MOVED in 1000"/>
    <m/>
    <s v="Ruby Grace Garcia"/>
  </r>
  <r>
    <n v="345"/>
    <s v="F2"/>
    <x v="20"/>
    <s v="L000006558"/>
    <m/>
    <s v="L000013854"/>
    <s v="Move"/>
    <x v="0"/>
    <x v="0"/>
    <s v="LS"/>
    <s v="MOVED in 1000"/>
    <m/>
    <s v="Ruby Grace Garcia"/>
  </r>
  <r>
    <n v="346"/>
    <s v="F2"/>
    <x v="20"/>
    <s v="L000007464"/>
    <m/>
    <s v="L000013531"/>
    <s v="Move"/>
    <x v="0"/>
    <x v="0"/>
    <s v="LS"/>
    <s v="MOVED in 1000"/>
    <m/>
    <s v="Ruby Grace Garcia"/>
  </r>
  <r>
    <n v="347"/>
    <s v="F2"/>
    <x v="20"/>
    <s v="L000007467"/>
    <m/>
    <s v="L000013530"/>
    <s v="Move"/>
    <x v="0"/>
    <x v="0"/>
    <s v="LS"/>
    <s v="MOVED in 1000"/>
    <m/>
    <s v="Ruby Grace Garcia"/>
  </r>
  <r>
    <n v="348"/>
    <s v="F2"/>
    <x v="20"/>
    <s v="L000007540"/>
    <m/>
    <s v="L000013530"/>
    <s v="Move"/>
    <x v="0"/>
    <x v="0"/>
    <s v="LS"/>
    <s v="MOVED in 1000"/>
    <m/>
    <s v="Ruby Grace Garcia"/>
  </r>
  <r>
    <n v="349"/>
    <s v="F2"/>
    <x v="20"/>
    <s v="L000011730"/>
    <m/>
    <s v="L000012361"/>
    <s v="Move"/>
    <x v="0"/>
    <x v="0"/>
    <s v="LS"/>
    <s v="MOVED in 1000"/>
    <m/>
    <s v="Ruby Grace Garcia"/>
  </r>
  <r>
    <n v="350"/>
    <s v="F2"/>
    <x v="20"/>
    <s v="L000013530"/>
    <m/>
    <s v="L000011719"/>
    <s v="Move"/>
    <x v="0"/>
    <x v="0"/>
    <s v="LS"/>
    <s v="MOVED in 1000"/>
    <m/>
    <s v="Ruby Grace Garcia"/>
  </r>
  <r>
    <n v="351"/>
    <s v="F2"/>
    <x v="20"/>
    <s v="L000013531"/>
    <m/>
    <s v="L000013854"/>
    <s v="Move"/>
    <x v="0"/>
    <x v="0"/>
    <s v="LS"/>
    <s v="MOVED in 1000"/>
    <m/>
    <s v="Ruby Grace Garcia"/>
  </r>
  <r>
    <n v="352"/>
    <s v="F2"/>
    <x v="20"/>
    <s v="L000007117"/>
    <m/>
    <s v="L000013855"/>
    <s v="Move"/>
    <x v="0"/>
    <x v="0"/>
    <s v="LS"/>
    <s v="MOVED in 1000"/>
    <m/>
    <s v="Ruby Grace Garcia"/>
  </r>
  <r>
    <n v="353"/>
    <s v="F2"/>
    <x v="20"/>
    <s v="L000013550"/>
    <m/>
    <s v="L000013855"/>
    <s v="Move"/>
    <x v="0"/>
    <x v="0"/>
    <s v="LS"/>
    <s v="MOVED in 1000"/>
    <m/>
    <s v="Ruby Grace Garcia"/>
  </r>
  <r>
    <n v="354"/>
    <s v="F2"/>
    <x v="20"/>
    <s v="L000011148"/>
    <m/>
    <s v="L000013387"/>
    <s v="Move"/>
    <x v="0"/>
    <x v="0"/>
    <s v="LS"/>
    <s v="MOVED in 1000"/>
    <m/>
    <s v="Ruby Grace Garcia"/>
  </r>
  <r>
    <n v="355"/>
    <s v="F2"/>
    <x v="20"/>
    <s v="L000011152"/>
    <m/>
    <s v="L000013275"/>
    <s v="Move"/>
    <x v="0"/>
    <x v="0"/>
    <s v="LS"/>
    <s v="MOVED in 1000"/>
    <m/>
    <s v="Ruby Grace Garcia"/>
  </r>
  <r>
    <n v="356"/>
    <s v="F2"/>
    <x v="20"/>
    <s v="L000013435"/>
    <m/>
    <s v="L000010042"/>
    <s v="Move"/>
    <x v="0"/>
    <x v="0"/>
    <s v="LS"/>
    <s v="MOVED in 1000"/>
    <m/>
    <s v="Ruby Grace Garcia"/>
  </r>
  <r>
    <n v="357"/>
    <s v="F2"/>
    <x v="20"/>
    <s v="L000013732"/>
    <m/>
    <s v="L000010042"/>
    <s v="Move"/>
    <x v="0"/>
    <x v="0"/>
    <s v="LS"/>
    <s v="MOVED in 1000"/>
    <m/>
    <s v="Ruby Grace Garcia"/>
  </r>
  <r>
    <n v="358"/>
    <s v="F2"/>
    <x v="20"/>
    <s v="L000013816"/>
    <m/>
    <s v="L000013448"/>
    <s v="Move"/>
    <x v="0"/>
    <x v="0"/>
    <s v="LS"/>
    <s v="MOVED in 1000"/>
    <m/>
    <s v="Ruby Grace Garcia"/>
  </r>
  <r>
    <n v="359"/>
    <s v="F2"/>
    <x v="20"/>
    <s v="L000013618"/>
    <m/>
    <s v="L000009432"/>
    <s v="Move"/>
    <x v="0"/>
    <x v="0"/>
    <s v="LS"/>
    <s v="MOVED in 1000"/>
    <m/>
    <s v="Ruby Grace Garcia"/>
  </r>
  <r>
    <n v="360"/>
    <s v="F2"/>
    <x v="20"/>
    <s v="L000005915"/>
    <m/>
    <s v="L000013610"/>
    <s v="Move"/>
    <x v="0"/>
    <x v="0"/>
    <s v="LS"/>
    <s v="MOVED in 1000"/>
    <m/>
    <s v="Ruby Grace Garcia"/>
  </r>
  <r>
    <n v="361"/>
    <s v="F2"/>
    <x v="20"/>
    <s v="L000006676"/>
    <m/>
    <s v="L000013679"/>
    <s v="Move"/>
    <x v="0"/>
    <x v="0"/>
    <s v="LS"/>
    <s v="MOVED in 1000"/>
    <m/>
    <s v="Ruby Grace Garcia"/>
  </r>
  <r>
    <n v="362"/>
    <s v="F2"/>
    <x v="20"/>
    <s v="L000012830"/>
    <m/>
    <s v="L000013679"/>
    <s v="Move"/>
    <x v="0"/>
    <x v="0"/>
    <s v="LS"/>
    <s v="MOVED in 1000"/>
    <m/>
    <s v="Ruby Grace Garcia"/>
  </r>
  <r>
    <n v="363"/>
    <s v="F2"/>
    <x v="20"/>
    <s v="L000006956"/>
    <m/>
    <s v="L000013685"/>
    <s v="Move"/>
    <x v="0"/>
    <x v="0"/>
    <s v="LS"/>
    <s v="MOVED in 1000"/>
    <m/>
    <s v="Ruby Grace Garcia"/>
  </r>
  <r>
    <n v="364"/>
    <s v="F2"/>
    <x v="20"/>
    <s v="L000006957"/>
    <m/>
    <s v="L000013685"/>
    <s v="Move"/>
    <x v="0"/>
    <x v="0"/>
    <s v="LS"/>
    <s v="MOVED in 1000"/>
    <m/>
    <s v="Ruby Grace Garcia"/>
  </r>
  <r>
    <n v="365"/>
    <s v="F2"/>
    <x v="20"/>
    <s v="L000006960"/>
    <m/>
    <s v="L000013685"/>
    <s v="Move"/>
    <x v="0"/>
    <x v="0"/>
    <s v="LS"/>
    <s v="MOVED in 1000"/>
    <m/>
    <s v="Ruby Grace Garcia"/>
  </r>
  <r>
    <n v="366"/>
    <s v="F2"/>
    <x v="20"/>
    <s v="L000007073"/>
    <m/>
    <s v="L000013685"/>
    <s v="Move"/>
    <x v="0"/>
    <x v="0"/>
    <s v="LS"/>
    <s v="MOVED in 1000"/>
    <m/>
    <s v="Ruby Grace Garcia"/>
  </r>
  <r>
    <n v="367"/>
    <s v="F2"/>
    <x v="20"/>
    <s v="L000011517"/>
    <m/>
    <s v="L000013685"/>
    <s v="Move"/>
    <x v="0"/>
    <x v="0"/>
    <s v="LS"/>
    <s v="MOVED in 1000"/>
    <m/>
    <s v="Ruby Grace Garcia"/>
  </r>
  <r>
    <n v="368"/>
    <s v="F2"/>
    <x v="20"/>
    <s v="L000012599"/>
    <m/>
    <s v="L000013685"/>
    <s v="Move"/>
    <x v="0"/>
    <x v="0"/>
    <s v="LS"/>
    <s v="MOVED in 1000"/>
    <m/>
    <s v="Ruby Grace Garcia"/>
  </r>
  <r>
    <n v="369"/>
    <s v="F2"/>
    <x v="20"/>
    <s v="L000013359"/>
    <m/>
    <s v="L000013685"/>
    <s v="Move"/>
    <x v="0"/>
    <x v="0"/>
    <s v="LS"/>
    <s v="MOVED in 1000"/>
    <m/>
    <s v="Ruby Grace Garcia"/>
  </r>
  <r>
    <n v="370"/>
    <s v="F2"/>
    <x v="20"/>
    <s v="L000013184"/>
    <m/>
    <s v="L000013685"/>
    <s v="Move"/>
    <x v="0"/>
    <x v="0"/>
    <s v="LS"/>
    <s v="MOVED in 1000"/>
    <m/>
    <s v="Ruby Grace Garcia"/>
  </r>
  <r>
    <n v="371"/>
    <s v="F2"/>
    <x v="20"/>
    <s v="L000013366"/>
    <m/>
    <s v="L000013685"/>
    <s v="Move"/>
    <x v="0"/>
    <x v="0"/>
    <s v="LS"/>
    <s v="MOVED in 1000"/>
    <m/>
    <s v="Ruby Grace Garcia"/>
  </r>
  <r>
    <n v="372"/>
    <s v="F2"/>
    <x v="20"/>
    <s v="L000013368"/>
    <m/>
    <s v="L000013685"/>
    <s v="Move"/>
    <x v="0"/>
    <x v="0"/>
    <s v="LS"/>
    <s v="MOVED in 1000"/>
    <m/>
    <s v="Ruby Grace Garcia"/>
  </r>
  <r>
    <n v="373"/>
    <s v="F2"/>
    <x v="20"/>
    <s v="L000013369"/>
    <m/>
    <s v="L000013685"/>
    <s v="Move"/>
    <x v="0"/>
    <x v="0"/>
    <s v="LS"/>
    <s v="MOVED in 1000"/>
    <m/>
    <s v="Ruby Grace Garcia"/>
  </r>
  <r>
    <n v="374"/>
    <s v="F2"/>
    <x v="20"/>
    <s v="L000006951"/>
    <m/>
    <s v="L000013685"/>
    <s v="Move"/>
    <x v="0"/>
    <x v="0"/>
    <s v="LS"/>
    <s v="MOVED in 1000"/>
    <m/>
    <s v="Ruby Grace Garcia"/>
  </r>
  <r>
    <n v="375"/>
    <s v="F2"/>
    <x v="20"/>
    <s v="L000006170"/>
    <m/>
    <s v="L000013680"/>
    <s v="Move"/>
    <x v="0"/>
    <x v="0"/>
    <s v="LS"/>
    <s v="MOVED in 1000"/>
    <m/>
    <s v="Ruby Grace Garcia"/>
  </r>
  <r>
    <n v="376"/>
    <s v="F2"/>
    <x v="20"/>
    <s v="L000012443"/>
    <m/>
    <s v="L000013680"/>
    <s v="Move"/>
    <x v="0"/>
    <x v="0"/>
    <s v="LS"/>
    <s v="MOVED in 1000"/>
    <m/>
    <s v="Ruby Grace Garcia"/>
  </r>
  <r>
    <n v="377"/>
    <s v="F2"/>
    <x v="20"/>
    <s v="L000012917"/>
    <m/>
    <s v="L000013680"/>
    <s v="Move"/>
    <x v="0"/>
    <x v="0"/>
    <s v="LS"/>
    <s v="MOVED in 1000"/>
    <m/>
    <s v="Ruby Grace Garcia"/>
  </r>
  <r>
    <n v="378"/>
    <s v="F2"/>
    <x v="20"/>
    <s v="L000011350"/>
    <m/>
    <s v="L000013687"/>
    <s v="Move"/>
    <x v="0"/>
    <x v="0"/>
    <s v="LS"/>
    <s v="MOVED in 1000"/>
    <m/>
    <s v="Ruby Grace Garcia"/>
  </r>
  <r>
    <n v="379"/>
    <s v="F2"/>
    <x v="20"/>
    <s v="L000012849"/>
    <m/>
    <s v="L000013687"/>
    <s v="Move"/>
    <x v="0"/>
    <x v="0"/>
    <s v="LS"/>
    <s v="MOVED in 1000"/>
    <m/>
    <s v="Ruby Grace Garcia"/>
  </r>
  <r>
    <n v="380"/>
    <s v="F2"/>
    <x v="20"/>
    <s v="L000012850"/>
    <m/>
    <s v="L000013687"/>
    <s v="Move"/>
    <x v="0"/>
    <x v="0"/>
    <s v="LS"/>
    <s v="MOVED in 1000"/>
    <m/>
    <s v="Ruby Grace Garcia"/>
  </r>
  <r>
    <n v="381"/>
    <s v="F2"/>
    <x v="20"/>
    <s v="L000012852"/>
    <m/>
    <s v="L000013687"/>
    <s v="Move"/>
    <x v="0"/>
    <x v="0"/>
    <s v="LS"/>
    <s v="MOVED in 1000"/>
    <m/>
    <s v="Ruby Grace Garcia"/>
  </r>
  <r>
    <n v="382"/>
    <s v="F2"/>
    <x v="20"/>
    <s v="L000012853"/>
    <m/>
    <s v="L000013687"/>
    <s v="Move"/>
    <x v="0"/>
    <x v="0"/>
    <s v="LS"/>
    <s v="MOVED in 1000"/>
    <m/>
    <s v="Ruby Grace Garcia"/>
  </r>
  <r>
    <n v="383"/>
    <s v="F2"/>
    <x v="20"/>
    <s v="L000012854"/>
    <m/>
    <s v="L000013687"/>
    <s v="Move"/>
    <x v="0"/>
    <x v="0"/>
    <s v="LS"/>
    <s v="MOVED in 1000"/>
    <m/>
    <s v="Ruby Grace Garcia"/>
  </r>
  <r>
    <n v="384"/>
    <s v="F2"/>
    <x v="20"/>
    <s v="L000012855"/>
    <m/>
    <s v="L000013687"/>
    <s v="Move"/>
    <x v="0"/>
    <x v="0"/>
    <s v="LS"/>
    <s v="MOVED in 1000"/>
    <m/>
    <s v="Ruby Grace Garcia"/>
  </r>
  <r>
    <n v="385"/>
    <s v="F2"/>
    <x v="20"/>
    <s v="L000012856"/>
    <m/>
    <s v="L000013687"/>
    <s v="Move"/>
    <x v="0"/>
    <x v="0"/>
    <s v="LS"/>
    <s v="MOVED in 1000"/>
    <m/>
    <s v="Ruby Grace Garcia"/>
  </r>
  <r>
    <n v="386"/>
    <s v="F2"/>
    <x v="20"/>
    <s v="L000012857"/>
    <m/>
    <s v="L000013687"/>
    <s v="Move"/>
    <x v="0"/>
    <x v="0"/>
    <s v="LS"/>
    <s v="MOVED in 1000"/>
    <m/>
    <s v="Ruby Grace Garcia"/>
  </r>
  <r>
    <n v="387"/>
    <s v="F2"/>
    <x v="20"/>
    <s v="L000012858"/>
    <m/>
    <s v="L000013687"/>
    <s v="Move"/>
    <x v="0"/>
    <x v="0"/>
    <s v="LS"/>
    <s v="MOVED in 1000"/>
    <m/>
    <s v="Ruby Grace Garcia"/>
  </r>
  <r>
    <n v="388"/>
    <s v="F2"/>
    <x v="20"/>
    <s v="L000012911"/>
    <m/>
    <s v="L000013687"/>
    <s v="Move"/>
    <x v="0"/>
    <x v="0"/>
    <s v="LS"/>
    <s v="MOVED in 1000"/>
    <m/>
    <s v="Ruby Grace Garcia"/>
  </r>
  <r>
    <n v="389"/>
    <s v="F2"/>
    <x v="20"/>
    <s v="L000013075"/>
    <m/>
    <s v="L000013687"/>
    <s v="Move"/>
    <x v="0"/>
    <x v="0"/>
    <s v="LS"/>
    <s v="MOVED in 1000"/>
    <m/>
    <s v="Ruby Grace Garcia"/>
  </r>
  <r>
    <n v="390"/>
    <s v="F2"/>
    <x v="20"/>
    <s v="L000013076"/>
    <m/>
    <s v="L000013687"/>
    <s v="Move"/>
    <x v="0"/>
    <x v="0"/>
    <s v="LS"/>
    <s v="MOVED in 1000"/>
    <m/>
    <s v="Ruby Grace Garcia"/>
  </r>
  <r>
    <n v="391"/>
    <s v="F2"/>
    <x v="20"/>
    <s v="L000013077"/>
    <m/>
    <s v="L000013687"/>
    <s v="Move"/>
    <x v="0"/>
    <x v="0"/>
    <s v="LS"/>
    <s v="MOVED in 1000"/>
    <m/>
    <s v="Ruby Grace Garcia"/>
  </r>
  <r>
    <n v="392"/>
    <s v="F2"/>
    <x v="20"/>
    <s v="L000013085"/>
    <m/>
    <s v="L000013687"/>
    <s v="Move"/>
    <x v="0"/>
    <x v="0"/>
    <s v="LS"/>
    <s v="MOVED in 1000"/>
    <m/>
    <s v="Ruby Grace Garcia"/>
  </r>
  <r>
    <n v="393"/>
    <s v="F2"/>
    <x v="20"/>
    <s v="L000013086"/>
    <m/>
    <s v="L000013687"/>
    <s v="Move"/>
    <x v="0"/>
    <x v="0"/>
    <s v="LS"/>
    <s v="MOVED in 1000"/>
    <m/>
    <s v="Ruby Grace Garcia"/>
  </r>
  <r>
    <n v="394"/>
    <s v="F2"/>
    <x v="20"/>
    <s v="L000011049"/>
    <m/>
    <s v="L000013687"/>
    <s v="Move"/>
    <x v="0"/>
    <x v="0"/>
    <s v="LS"/>
    <s v="MOVED in 1000"/>
    <m/>
    <s v="Ruby Grace Garcia"/>
  </r>
  <r>
    <n v="395"/>
    <s v="F2"/>
    <x v="20"/>
    <s v="L000011050"/>
    <m/>
    <s v="L000013687"/>
    <s v="Move"/>
    <x v="0"/>
    <x v="0"/>
    <s v="LS"/>
    <s v="MOVED in 1000"/>
    <m/>
    <s v="Ruby Grace Garcia"/>
  </r>
  <r>
    <n v="396"/>
    <s v="F2"/>
    <x v="20"/>
    <s v="L000011051"/>
    <m/>
    <s v="L000013687"/>
    <s v="Move"/>
    <x v="0"/>
    <x v="0"/>
    <s v="LS"/>
    <s v="MOVED in 1000"/>
    <m/>
    <s v="Ruby Grace Garcia"/>
  </r>
  <r>
    <n v="397"/>
    <s v="F2"/>
    <x v="20"/>
    <s v="L000011052"/>
    <m/>
    <s v="L000013687"/>
    <s v="Move"/>
    <x v="0"/>
    <x v="0"/>
    <s v="LS"/>
    <s v="MOVED in 1000"/>
    <m/>
    <s v="Ruby Grace Garcia"/>
  </r>
  <r>
    <n v="398"/>
    <s v="F2"/>
    <x v="20"/>
    <s v="L000011053"/>
    <m/>
    <s v="L000013687"/>
    <s v="Move"/>
    <x v="0"/>
    <x v="0"/>
    <s v="LS"/>
    <s v="MOVED in 1000"/>
    <m/>
    <s v="Ruby Grace Garcia"/>
  </r>
  <r>
    <n v="399"/>
    <s v="F2"/>
    <x v="20"/>
    <s v="L000011054"/>
    <m/>
    <s v="L000013687"/>
    <s v="Move"/>
    <x v="0"/>
    <x v="0"/>
    <s v="LS"/>
    <s v="MOVED in 1000"/>
    <m/>
    <s v="Ruby Grace Garcia"/>
  </r>
  <r>
    <n v="400"/>
    <s v="F2"/>
    <x v="20"/>
    <s v="L000011055"/>
    <m/>
    <s v="L000013687"/>
    <s v="Move"/>
    <x v="0"/>
    <x v="0"/>
    <s v="LS"/>
    <s v="MOVED in 1000"/>
    <m/>
    <s v="Ruby Grace Garcia"/>
  </r>
  <r>
    <n v="401"/>
    <s v="F2"/>
    <x v="20"/>
    <s v="L000011056"/>
    <m/>
    <s v="L000013687"/>
    <s v="Move"/>
    <x v="0"/>
    <x v="0"/>
    <s v="LS"/>
    <s v="MOVED in 1000"/>
    <m/>
    <s v="Ruby Grace Garcia"/>
  </r>
  <r>
    <n v="402"/>
    <s v="F2"/>
    <x v="20"/>
    <s v="L000011057"/>
    <m/>
    <s v="L000013687"/>
    <s v="Move"/>
    <x v="0"/>
    <x v="0"/>
    <s v="LS"/>
    <s v="MOVED in 1000"/>
    <m/>
    <s v="Ruby Grace Garcia"/>
  </r>
  <r>
    <n v="403"/>
    <s v="F2"/>
    <x v="20"/>
    <s v="L000011058"/>
    <m/>
    <s v="L000013687"/>
    <s v="Move"/>
    <x v="0"/>
    <x v="0"/>
    <s v="LS"/>
    <s v="MOVED in 1000"/>
    <m/>
    <s v="Ruby Grace Garcia"/>
  </r>
  <r>
    <n v="404"/>
    <s v="F2"/>
    <x v="20"/>
    <s v="L000011059"/>
    <m/>
    <s v="L000013687"/>
    <s v="Move"/>
    <x v="0"/>
    <x v="0"/>
    <s v="LS"/>
    <s v="MOVED in 1000"/>
    <m/>
    <s v="Ruby Grace Garcia"/>
  </r>
  <r>
    <n v="405"/>
    <s v="F2"/>
    <x v="20"/>
    <s v="L000011060"/>
    <m/>
    <s v="L000013687"/>
    <s v="Move"/>
    <x v="0"/>
    <x v="0"/>
    <s v="LS"/>
    <s v="MOVED in 1000"/>
    <m/>
    <s v="Ruby Grace Garcia"/>
  </r>
  <r>
    <n v="406"/>
    <s v="F2"/>
    <x v="20"/>
    <s v="L000011061"/>
    <m/>
    <s v="L000013687"/>
    <s v="Move"/>
    <x v="0"/>
    <x v="0"/>
    <s v="LS"/>
    <s v="MOVED in 1000"/>
    <m/>
    <s v="Ruby Grace Garcia"/>
  </r>
  <r>
    <n v="407"/>
    <s v="F2"/>
    <x v="20"/>
    <s v="L000011062"/>
    <m/>
    <s v="L000013687"/>
    <s v="Move"/>
    <x v="0"/>
    <x v="0"/>
    <s v="LS"/>
    <s v="MOVED in 1000"/>
    <m/>
    <s v="Ruby Grace Garcia"/>
  </r>
  <r>
    <n v="408"/>
    <s v="F2"/>
    <x v="20"/>
    <s v="L000011063"/>
    <m/>
    <s v="L000013687"/>
    <s v="Move"/>
    <x v="0"/>
    <x v="0"/>
    <s v="LS"/>
    <s v="MOVED in 1000"/>
    <m/>
    <s v="Ruby Grace Garcia"/>
  </r>
  <r>
    <n v="409"/>
    <s v="F2"/>
    <x v="20"/>
    <s v="L000012973"/>
    <m/>
    <s v="L000013687"/>
    <s v="Move"/>
    <x v="0"/>
    <x v="0"/>
    <s v="LS"/>
    <s v="MOVED in 1000"/>
    <m/>
    <s v="Ruby Grace Garcia"/>
  </r>
  <r>
    <n v="410"/>
    <s v="F2"/>
    <x v="20"/>
    <s v="L000013741"/>
    <m/>
    <s v="L000013687"/>
    <s v="Move"/>
    <x v="0"/>
    <x v="0"/>
    <s v="LS"/>
    <s v="MOVED in 1000"/>
    <m/>
    <s v="Ruby Grace Garcia"/>
  </r>
  <r>
    <n v="411"/>
    <s v="F2"/>
    <x v="20"/>
    <s v="L000013742"/>
    <m/>
    <s v="L000013687"/>
    <s v="Move"/>
    <x v="0"/>
    <x v="0"/>
    <s v="LS"/>
    <s v="MOVED in 1000"/>
    <m/>
    <s v="Ruby Grace Garcia"/>
  </r>
  <r>
    <n v="412"/>
    <s v="F2"/>
    <x v="20"/>
    <s v="L000013743"/>
    <m/>
    <s v="L000013687"/>
    <s v="Move"/>
    <x v="0"/>
    <x v="0"/>
    <s v="LS"/>
    <s v="MOVED in 1000"/>
    <m/>
    <s v="Ruby Grace Garcia"/>
  </r>
  <r>
    <n v="413"/>
    <s v="F2"/>
    <x v="20"/>
    <s v="L000013744"/>
    <m/>
    <s v="L000013687"/>
    <s v="Move"/>
    <x v="0"/>
    <x v="0"/>
    <s v="LS"/>
    <s v="MOVED in 1000"/>
    <m/>
    <s v="Ruby Grace Garcia"/>
  </r>
  <r>
    <n v="414"/>
    <s v="F2"/>
    <x v="20"/>
    <s v="L000013745"/>
    <m/>
    <s v="L000013687"/>
    <s v="Move"/>
    <x v="0"/>
    <x v="0"/>
    <s v="LS"/>
    <s v="MOVED in 1000"/>
    <m/>
    <s v="Ruby Grace Garcia"/>
  </r>
  <r>
    <n v="415"/>
    <s v="F2"/>
    <x v="20"/>
    <s v="L000013746"/>
    <m/>
    <s v="L000013687"/>
    <s v="Move"/>
    <x v="0"/>
    <x v="0"/>
    <s v="LS"/>
    <s v="MOVED in 1000"/>
    <m/>
    <s v="Ruby Grace Garcia"/>
  </r>
  <r>
    <n v="416"/>
    <s v="F2"/>
    <x v="20"/>
    <s v="L000013747"/>
    <m/>
    <s v="L000013687"/>
    <s v="Move"/>
    <x v="0"/>
    <x v="0"/>
    <s v="LS"/>
    <s v="MOVED in 1000"/>
    <m/>
    <s v="Ruby Grace Garcia"/>
  </r>
  <r>
    <n v="417"/>
    <s v="F2"/>
    <x v="20"/>
    <s v="L000013748"/>
    <m/>
    <s v="L000013687"/>
    <s v="Move"/>
    <x v="0"/>
    <x v="0"/>
    <s v="LS"/>
    <s v="MOVED in 1000"/>
    <m/>
    <s v="Ruby Grace Garcia"/>
  </r>
  <r>
    <n v="418"/>
    <s v="F2"/>
    <x v="20"/>
    <s v="L000013749"/>
    <m/>
    <s v="L000013687"/>
    <s v="Move"/>
    <x v="0"/>
    <x v="0"/>
    <s v="LS"/>
    <s v="MOVED in 1000"/>
    <m/>
    <s v="Ruby Grace Garcia"/>
  </r>
  <r>
    <n v="419"/>
    <s v="F2"/>
    <x v="20"/>
    <s v="L000013750"/>
    <m/>
    <s v="L000013687"/>
    <s v="Move"/>
    <x v="0"/>
    <x v="0"/>
    <s v="LS"/>
    <s v="MOVED in 1000"/>
    <m/>
    <s v="Ruby Grace Garcia"/>
  </r>
  <r>
    <n v="420"/>
    <s v="F2"/>
    <x v="20"/>
    <s v="L000013751"/>
    <m/>
    <s v="L000013687"/>
    <s v="Move"/>
    <x v="0"/>
    <x v="0"/>
    <s v="LS"/>
    <s v="MOVED in 1000"/>
    <m/>
    <s v="Ruby Grace Garcia"/>
  </r>
  <r>
    <n v="421"/>
    <s v="F2"/>
    <x v="20"/>
    <s v="L000013752"/>
    <m/>
    <s v="L000013687"/>
    <s v="Move"/>
    <x v="0"/>
    <x v="0"/>
    <s v="LS"/>
    <s v="MOVED in 1000"/>
    <m/>
    <s v="Ruby Grace Garcia"/>
  </r>
  <r>
    <n v="422"/>
    <s v="F2"/>
    <x v="20"/>
    <s v="L000013753"/>
    <m/>
    <s v="L000013687"/>
    <s v="Move"/>
    <x v="0"/>
    <x v="0"/>
    <s v="LS"/>
    <s v="MOVED in 1000"/>
    <m/>
    <s v="Ruby Grace Garcia"/>
  </r>
  <r>
    <n v="423"/>
    <s v="F2"/>
    <x v="20"/>
    <s v="L000013755"/>
    <m/>
    <s v="L000013687"/>
    <s v="Move"/>
    <x v="0"/>
    <x v="0"/>
    <s v="LS"/>
    <s v="MOVED in 1000"/>
    <m/>
    <s v="Ruby Grace Garcia"/>
  </r>
  <r>
    <n v="424"/>
    <s v="F2"/>
    <x v="20"/>
    <s v="L000013757"/>
    <m/>
    <s v="L000013687"/>
    <s v="Move"/>
    <x v="0"/>
    <x v="0"/>
    <s v="LS"/>
    <s v="MOVED in 1000"/>
    <m/>
    <s v="Ruby Grace Garcia"/>
  </r>
  <r>
    <n v="425"/>
    <s v="F2"/>
    <x v="20"/>
    <s v="L000013758"/>
    <m/>
    <s v="L000013687"/>
    <s v="Move"/>
    <x v="0"/>
    <x v="0"/>
    <s v="LS"/>
    <s v="MOVED in 1000"/>
    <m/>
    <s v="Ruby Grace Garcia"/>
  </r>
  <r>
    <n v="426"/>
    <s v="F2"/>
    <x v="20"/>
    <s v="L000013759"/>
    <m/>
    <s v="L000013687"/>
    <s v="Move"/>
    <x v="0"/>
    <x v="0"/>
    <s v="LS"/>
    <s v="MOVED in 1000"/>
    <m/>
    <s v="Ruby Grace Garcia"/>
  </r>
  <r>
    <n v="427"/>
    <s v="F2"/>
    <x v="20"/>
    <s v="L000013760"/>
    <m/>
    <s v="L000013687"/>
    <s v="Move"/>
    <x v="0"/>
    <x v="0"/>
    <s v="LS"/>
    <s v="MOVED in 1000"/>
    <m/>
    <s v="Ruby Grace Garcia"/>
  </r>
  <r>
    <n v="428"/>
    <s v="F2"/>
    <x v="20"/>
    <s v="L000013776"/>
    <m/>
    <s v="L000013687"/>
    <s v="Move"/>
    <x v="0"/>
    <x v="0"/>
    <s v="LS"/>
    <s v="MOVED in 1000"/>
    <m/>
    <s v="Ruby Grace Garcia"/>
  </r>
  <r>
    <n v="429"/>
    <s v="F2"/>
    <x v="20"/>
    <s v="L000013777"/>
    <m/>
    <s v="L000013687"/>
    <s v="Move"/>
    <x v="0"/>
    <x v="0"/>
    <s v="LS"/>
    <s v="MOVED in 1000"/>
    <m/>
    <s v="Ruby Grace Garcia"/>
  </r>
  <r>
    <n v="430"/>
    <s v="F2"/>
    <x v="20"/>
    <s v="L000013778"/>
    <m/>
    <s v="L000013687"/>
    <s v="Move"/>
    <x v="0"/>
    <x v="0"/>
    <s v="LS"/>
    <s v="MOVED in 1000"/>
    <m/>
    <s v="Ruby Grace Garcia"/>
  </r>
  <r>
    <n v="431"/>
    <s v="F2"/>
    <x v="20"/>
    <s v="L000013761"/>
    <m/>
    <s v="L000013687"/>
    <s v="Move"/>
    <x v="0"/>
    <x v="0"/>
    <s v="LS"/>
    <s v="MOVED in 1000"/>
    <m/>
    <s v="Ruby Grace Garcia"/>
  </r>
  <r>
    <n v="432"/>
    <s v="F2"/>
    <x v="20"/>
    <s v="L000011127"/>
    <m/>
    <s v="L000013687"/>
    <s v="Move"/>
    <x v="0"/>
    <x v="0"/>
    <s v="LS"/>
    <s v="MOVED in 1000"/>
    <m/>
    <s v="Ruby Grace Garcia"/>
  </r>
  <r>
    <n v="433"/>
    <s v="F2"/>
    <x v="20"/>
    <s v="L000011352"/>
    <m/>
    <s v="L000013687"/>
    <s v="Move"/>
    <x v="0"/>
    <x v="0"/>
    <s v="LS"/>
    <s v="MOVED in 1000"/>
    <m/>
    <s v="Ruby Grace Garcia"/>
  </r>
  <r>
    <n v="434"/>
    <s v="F2"/>
    <x v="20"/>
    <s v="L000013762"/>
    <m/>
    <s v="L000013687"/>
    <s v="Move"/>
    <x v="0"/>
    <x v="0"/>
    <s v="LS"/>
    <s v="MOVED in 1000"/>
    <m/>
    <s v="Ruby Grace Garcia"/>
  </r>
  <r>
    <n v="435"/>
    <s v="F2"/>
    <x v="20"/>
    <s v="L000013763"/>
    <m/>
    <s v="L000013687"/>
    <s v="Move"/>
    <x v="0"/>
    <x v="0"/>
    <s v="LS"/>
    <s v="MOVED in 1000"/>
    <m/>
    <s v="Ruby Grace Garcia"/>
  </r>
  <r>
    <n v="436"/>
    <s v="F2"/>
    <x v="20"/>
    <s v="L000013764"/>
    <m/>
    <s v="L000013687"/>
    <s v="Move"/>
    <x v="0"/>
    <x v="0"/>
    <s v="LS"/>
    <s v="MOVED in 1000"/>
    <m/>
    <s v="Ruby Grace Garcia"/>
  </r>
  <r>
    <n v="437"/>
    <s v="F2"/>
    <x v="20"/>
    <s v="L000013765"/>
    <m/>
    <s v="L000013687"/>
    <s v="Move"/>
    <x v="0"/>
    <x v="0"/>
    <s v="LS"/>
    <s v="MOVED in 1000"/>
    <m/>
    <s v="Ruby Grace Garcia"/>
  </r>
  <r>
    <n v="438"/>
    <s v="F2"/>
    <x v="20"/>
    <s v="L000013766"/>
    <m/>
    <s v="L000013687"/>
    <s v="Move"/>
    <x v="0"/>
    <x v="0"/>
    <s v="LS"/>
    <s v="MOVED in 1000"/>
    <m/>
    <s v="Ruby Grace Garcia"/>
  </r>
  <r>
    <n v="439"/>
    <s v="F2"/>
    <x v="20"/>
    <s v="L000013767"/>
    <m/>
    <s v="L000013687"/>
    <s v="Move"/>
    <x v="0"/>
    <x v="0"/>
    <s v="LS"/>
    <s v="MOVED in 1000"/>
    <m/>
    <s v="Ruby Grace Garcia"/>
  </r>
  <r>
    <n v="440"/>
    <s v="F2"/>
    <x v="20"/>
    <s v="L000013768"/>
    <m/>
    <s v="L000013687"/>
    <s v="Move"/>
    <x v="0"/>
    <x v="0"/>
    <s v="LS"/>
    <s v="MOVED in 1000"/>
    <m/>
    <s v="Ruby Grace Garcia"/>
  </r>
  <r>
    <n v="441"/>
    <s v="F2"/>
    <x v="20"/>
    <s v="L000013769"/>
    <m/>
    <s v="L000013687"/>
    <s v="Move"/>
    <x v="0"/>
    <x v="0"/>
    <s v="LS"/>
    <s v="MOVED in 1000"/>
    <m/>
    <s v="Ruby Grace Garcia"/>
  </r>
  <r>
    <n v="442"/>
    <s v="F2"/>
    <x v="21"/>
    <s v="G000001265"/>
    <s v="GMR MBS Innovation &amp; Data-Int.Automation"/>
    <m/>
    <s v="Rename"/>
    <x v="0"/>
    <x v="0"/>
    <s v="MGF"/>
    <s v="Created on both 1000; name is okay"/>
    <m/>
    <s v="Jojeff Tagnong"/>
  </r>
  <r>
    <n v="443"/>
    <s v="F2"/>
    <x v="21"/>
    <s v="G000001211"/>
    <s v="GLW MBS FS&amp;P PO-Perform.Mgmt &amp;Compl. PO"/>
    <m/>
    <s v="Rename"/>
    <x v="0"/>
    <x v="0"/>
    <s v="MGF"/>
    <s v="Created on both 1000; name is okay"/>
    <m/>
    <s v="Jojeff Tagnong"/>
  </r>
  <r>
    <n v="444"/>
    <s v="F2"/>
    <x v="21"/>
    <s v="G000001219"/>
    <s v="GMG MBS FS&amp;P Ent.S.-Communication Serv."/>
    <m/>
    <s v="Rename"/>
    <x v="0"/>
    <x v="0"/>
    <s v="MGF"/>
    <s v="Created on both 1000; name is okay"/>
    <m/>
    <s v="Jojeff Tagnong"/>
  </r>
  <r>
    <n v="445"/>
    <s v="F2"/>
    <x v="21"/>
    <s v="G000000006"/>
    <s v="F79 CO - Group Controlling"/>
    <m/>
    <s v="Rename"/>
    <x v="0"/>
    <x v="0"/>
    <s v="MGF"/>
    <s v="Created on both 1000; name is okay"/>
    <m/>
    <s v="Jojeff Tagnong"/>
  </r>
  <r>
    <n v="446"/>
    <s v="F2"/>
    <x v="21"/>
    <s v="G000000008"/>
    <s v="GK3 CO - Group Controlling (L2)"/>
    <m/>
    <s v="Rename"/>
    <x v="0"/>
    <x v="0"/>
    <s v="MGF"/>
    <s v="Created on both 1000; name is okay"/>
    <m/>
    <s v="Jojeff Tagnong"/>
  </r>
  <r>
    <n v="447"/>
    <s v="F2"/>
    <x v="21"/>
    <s v="G000001287"/>
    <s v="GYG MBS Hub Bangalore - SLS Buss Operati"/>
    <m/>
    <s v="Rename"/>
    <x v="0"/>
    <x v="0"/>
    <s v="MGF"/>
    <s v="Created on both 1000; name is okay"/>
    <m/>
    <s v="Jojeff Tagnong"/>
  </r>
  <r>
    <n v="448"/>
    <s v="F2"/>
    <x v="21"/>
    <s v="G000001288"/>
    <s v="GYG MBS Hub Bangalore - SLS Biomonitor"/>
    <m/>
    <s v="Rename"/>
    <x v="0"/>
    <x v="0"/>
    <s v="MGF"/>
    <s v="Created on both 1000; name is okay"/>
    <m/>
    <s v="Jojeff Tagnong"/>
  </r>
  <r>
    <n v="449"/>
    <s v="F2"/>
    <x v="21"/>
    <s v="G000001289"/>
    <s v="GYG MBS Hub Bangalore - SLS Diagnistics"/>
    <m/>
    <s v="Rename"/>
    <x v="0"/>
    <x v="0"/>
    <s v="MGF"/>
    <s v="Created on both 1000; name is okay"/>
    <m/>
    <s v="Jojeff Tagnong"/>
  </r>
  <r>
    <n v="450"/>
    <s v="F2"/>
    <x v="21"/>
    <s v="G000001290"/>
    <s v="GYG MBS Hub Bangalore - SLS Lab Water"/>
    <m/>
    <s v="Rename"/>
    <x v="0"/>
    <x v="0"/>
    <s v="MGF"/>
    <s v="Created on both 1000; name is okay"/>
    <m/>
    <s v="Jojeff Tagnong"/>
  </r>
  <r>
    <n v="451"/>
    <s v="F2"/>
    <x v="21"/>
    <s v="G000001291"/>
    <s v="GYG MBS Hub Bangalore - SLS eCommerce"/>
    <m/>
    <s v="Rename"/>
    <x v="0"/>
    <x v="0"/>
    <s v="MGF"/>
    <s v="Created on both 1000; name is okay"/>
    <m/>
    <s v="Jojeff Tagnong"/>
  </r>
  <r>
    <n v="452"/>
    <s v="F2"/>
    <x v="21"/>
    <s v="G000001292"/>
    <s v="GYG MBS Hub Bangalore - SLS  Chemistry"/>
    <m/>
    <s v="Rename"/>
    <x v="0"/>
    <x v="0"/>
    <s v="MGF"/>
    <s v="Created on both 1000; name is okay"/>
    <m/>
    <s v="Jojeff Tagnong"/>
  </r>
  <r>
    <n v="453"/>
    <s v="F2"/>
    <x v="21"/>
    <s v="G000001293"/>
    <s v="GYG MBS Hub Bangalore - SLS Comm America"/>
    <m/>
    <s v="Rename"/>
    <x v="0"/>
    <x v="0"/>
    <s v="MGF"/>
    <s v="Created on both 1000; name is okay"/>
    <m/>
    <s v="Jojeff Tagnong"/>
  </r>
  <r>
    <n v="454"/>
    <s v="F2"/>
    <x v="21"/>
    <s v="G000001294"/>
    <s v="GYG MBS Hub Bangalore - SLS Comm APAC"/>
    <m/>
    <s v="Rename"/>
    <x v="0"/>
    <x v="0"/>
    <s v="MGF"/>
    <s v="Created on both 1000; name is okay"/>
    <m/>
    <s v="Jojeff Tagnong"/>
  </r>
  <r>
    <n v="455"/>
    <s v="F2"/>
    <x v="21"/>
    <s v="G000001295"/>
    <s v="GYG MBS Hub Bangalore - SLS Comm EMEA"/>
    <m/>
    <s v="Rename"/>
    <x v="0"/>
    <x v="0"/>
    <s v="MGF"/>
    <s v="Created on both 1000; name is okay"/>
    <m/>
    <s v="Jojeff Tagnong"/>
  </r>
  <r>
    <n v="456"/>
    <s v="F2"/>
    <x v="21"/>
    <s v="G000001296"/>
    <s v="GYG MBS Hub Bangalore - SLS Biology"/>
    <m/>
    <s v="Rename"/>
    <x v="0"/>
    <x v="0"/>
    <s v="MGF"/>
    <s v="Created on both 1000; name is okay"/>
    <m/>
    <s v="Jojeff Tagnong"/>
  </r>
  <r>
    <n v="457"/>
    <s v="F2"/>
    <x v="21"/>
    <s v="G000001299"/>
    <s v="GYH MBS Hub Bangalore - LSS ContractTest"/>
    <m/>
    <s v="Rename"/>
    <x v="0"/>
    <x v="0"/>
    <s v="MGF"/>
    <s v="Created on both 1000; name is okay"/>
    <m/>
    <s v="Jojeff Tagnong"/>
  </r>
  <r>
    <n v="458"/>
    <s v="F2"/>
    <x v="21"/>
    <s v="G000001302"/>
    <s v="GYI MBS Hub Bangalore - PS Global Strat"/>
    <m/>
    <s v="Rename"/>
    <x v="0"/>
    <x v="0"/>
    <s v="MGF"/>
    <s v="Created on both 1000; name is okay"/>
    <m/>
    <s v="Jojeff Tagnong"/>
  </r>
  <r>
    <n v="459"/>
    <s v="F2"/>
    <x v="21"/>
    <s v="G000001303"/>
    <s v="GYI MBS Hub Bangalore - PS Buss Franch"/>
    <m/>
    <s v="Rename"/>
    <x v="0"/>
    <x v="0"/>
    <s v="MGF"/>
    <s v="Created on both 1000; name is okay"/>
    <m/>
    <s v="Jojeff Tagnong"/>
  </r>
  <r>
    <n v="460"/>
    <s v="F2"/>
    <x v="21"/>
    <s v="G000001306"/>
    <s v="GYJ MBS Hub Bangalore - ISCO Supp Chain"/>
    <m/>
    <s v="Rename"/>
    <x v="0"/>
    <x v="0"/>
    <s v="MGF"/>
    <s v="Created on both 1000; name is okay"/>
    <m/>
    <s v="Jojeff Tagnong"/>
  </r>
  <r>
    <n v="461"/>
    <s v="F2"/>
    <x v="21"/>
    <s v="G000001307"/>
    <s v="GYJ MBS Hub Bangalore - ISCO Glob Plant"/>
    <m/>
    <s v="Rename"/>
    <x v="0"/>
    <x v="0"/>
    <s v="MGF"/>
    <s v="Created on both 1000; name is okay"/>
    <m/>
    <s v="Jojeff Tagnong"/>
  </r>
  <r>
    <n v="462"/>
    <s v="F2"/>
    <x v="21"/>
    <s v="G000001308"/>
    <s v="GYJ MBS Hub Bangalore - ISCO WH &amp; Dis"/>
    <m/>
    <s v="Rename"/>
    <x v="0"/>
    <x v="0"/>
    <s v="MGF"/>
    <s v="Created on both 1000; name is okay"/>
    <m/>
    <s v="Jojeff Tagnong"/>
  </r>
  <r>
    <n v="463"/>
    <s v="F2"/>
    <x v="21"/>
    <s v="G000001309"/>
    <s v="GYJ MBS Hub Bangalore - ISCO Val Stream"/>
    <m/>
    <s v="Rename"/>
    <x v="0"/>
    <x v="0"/>
    <s v="MGF"/>
    <s v="Created on both 1000; name is okay"/>
    <m/>
    <s v="Jojeff Tagnong"/>
  </r>
  <r>
    <n v="464"/>
    <s v="F2"/>
    <x v="21"/>
    <s v="G000001310"/>
    <s v="GYJ MBS Hub Bangalore - ISCO WCOGS"/>
    <m/>
    <s v="Rename"/>
    <x v="0"/>
    <x v="0"/>
    <s v="MGF"/>
    <s v="Created on both 1000; name is okay"/>
    <m/>
    <s v="Jojeff Tagnong"/>
  </r>
  <r>
    <n v="465"/>
    <s v="F2"/>
    <x v="21"/>
    <s v="G000001311"/>
    <s v="GYJ MBS Hub Bangalore - ISCO Tech &amp; Eng."/>
    <m/>
    <s v="Rename"/>
    <x v="0"/>
    <x v="0"/>
    <s v="MGF"/>
    <s v="Created on both 1000; name is okay"/>
    <m/>
    <s v="Jojeff Tagnong"/>
  </r>
  <r>
    <n v="466"/>
    <s v="F2"/>
    <x v="21"/>
    <s v="G000001314"/>
    <s v="GYK MBS Hub Bangalore - EF GSS COE Buss"/>
    <m/>
    <s v="Rename"/>
    <x v="0"/>
    <x v="0"/>
    <s v="MGF"/>
    <s v="Created on both 1000; name is okay"/>
    <m/>
    <s v="Jojeff Tagnong"/>
  </r>
  <r>
    <n v="467"/>
    <s v="F2"/>
    <x v="21"/>
    <s v="G000001315"/>
    <s v="GYK MBS Hub Bangalore - EF GSS COE STO"/>
    <m/>
    <s v="Rename"/>
    <x v="0"/>
    <x v="0"/>
    <s v="MGF"/>
    <s v="Created on both 1000; name is okay"/>
    <m/>
    <s v="Jojeff Tagnong"/>
  </r>
  <r>
    <n v="468"/>
    <s v="F2"/>
    <x v="21"/>
    <s v="G000001316"/>
    <s v="GYK MBS Hub Bangalore - EF GSS COE Tech"/>
    <m/>
    <s v="Rename"/>
    <x v="0"/>
    <x v="0"/>
    <s v="MGF"/>
    <s v="Created on both 1000; name is okay"/>
    <m/>
    <s v="Jojeff Tagnong"/>
  </r>
  <r>
    <n v="469"/>
    <s v="F2"/>
    <x v="21"/>
    <s v="G000001317"/>
    <s v="GYK MBS Hub Bangalore - EF GSS COE QRM"/>
    <m/>
    <s v="Rename"/>
    <x v="0"/>
    <x v="0"/>
    <s v="MGF"/>
    <s v="Created on both 1000; name is okay"/>
    <m/>
    <s v="Jojeff Tagnong"/>
  </r>
  <r>
    <n v="470"/>
    <s v="F2"/>
    <x v="21"/>
    <s v="G000001318"/>
    <s v="GYK MBS Hub Bangalore - EF GSS COE Sour."/>
    <m/>
    <s v="Rename"/>
    <x v="0"/>
    <x v="0"/>
    <s v="MGF"/>
    <s v="Created on both 1000; name is okay"/>
    <m/>
    <s v="Jojeff Tagnong"/>
  </r>
  <r>
    <n v="471"/>
    <s v="F2"/>
    <x v="21"/>
    <s v="G000001319"/>
    <s v="GYK MBS Hub Bangalore - EF GSS COE Admin"/>
    <m/>
    <s v="Rename"/>
    <x v="0"/>
    <x v="0"/>
    <s v="MGF"/>
    <s v="Created on both 1000; name is okay"/>
    <m/>
    <s v="Jojeff Tagnong"/>
  </r>
  <r>
    <n v="472"/>
    <s v="F2"/>
    <x v="21"/>
    <s v="G000001322"/>
    <s v="GYL MBS I&amp;D - SLS Business Operation"/>
    <m/>
    <s v="Rename"/>
    <x v="0"/>
    <x v="0"/>
    <s v="MGF"/>
    <s v="Created on both 1000; name is okay"/>
    <m/>
    <s v="Jojeff Tagnong"/>
  </r>
  <r>
    <n v="473"/>
    <s v="F2"/>
    <x v="21"/>
    <s v="G000001323"/>
    <s v="GYL MBS I&amp;D - SLS Biomonitoring"/>
    <m/>
    <s v="Rename"/>
    <x v="0"/>
    <x v="0"/>
    <s v="MGF"/>
    <s v="Created on both 1000; name is okay"/>
    <m/>
    <s v="Jojeff Tagnong"/>
  </r>
  <r>
    <n v="474"/>
    <s v="F2"/>
    <x v="21"/>
    <s v="G000001324"/>
    <s v="GYL MBS I&amp;D - SLS Diagnistics &amp; Reg. Ma"/>
    <m/>
    <s v="Rename"/>
    <x v="0"/>
    <x v="0"/>
    <s v="MGF"/>
    <s v="Created on both 1000; name is okay"/>
    <m/>
    <s v="Jojeff Tagnong"/>
  </r>
  <r>
    <n v="475"/>
    <s v="F2"/>
    <x v="21"/>
    <s v="G000001325"/>
    <s v="GYL MBS I&amp;D - SLS Lab Water"/>
    <m/>
    <s v="Rename"/>
    <x v="0"/>
    <x v="0"/>
    <s v="MGF"/>
    <s v="Created on both 1000; name is okay"/>
    <m/>
    <s v="Jojeff Tagnong"/>
  </r>
  <r>
    <n v="476"/>
    <s v="F2"/>
    <x v="21"/>
    <s v="G000001326"/>
    <s v="GYL MBS I&amp;D - SLS eCommerce"/>
    <m/>
    <s v="Rename"/>
    <x v="0"/>
    <x v="0"/>
    <s v="MGF"/>
    <s v="Created on both 1000; name is okay"/>
    <m/>
    <s v="Jojeff Tagnong"/>
  </r>
  <r>
    <n v="477"/>
    <s v="F2"/>
    <x v="21"/>
    <s v="G000001327"/>
    <s v="GYL MBS I&amp;D - SLS  Chemistry"/>
    <m/>
    <s v="Rename"/>
    <x v="0"/>
    <x v="0"/>
    <s v="MGF"/>
    <s v="Created on both 1000; name is okay"/>
    <m/>
    <s v="Jojeff Tagnong"/>
  </r>
  <r>
    <n v="478"/>
    <s v="F2"/>
    <x v="21"/>
    <s v="G000001328"/>
    <s v="GYL MBS I&amp;D - SLS Comm Americas"/>
    <m/>
    <s v="Rename"/>
    <x v="0"/>
    <x v="0"/>
    <s v="MGF"/>
    <s v="Created on both 1000; name is okay"/>
    <m/>
    <s v="Jojeff Tagnong"/>
  </r>
  <r>
    <n v="479"/>
    <s v="F2"/>
    <x v="21"/>
    <s v="G000001329"/>
    <s v="GYL MBS I&amp;D - SLS SLS Commercial APAC"/>
    <m/>
    <s v="Rename"/>
    <x v="0"/>
    <x v="0"/>
    <s v="MGF"/>
    <s v="Created on both 1000; name is okay"/>
    <m/>
    <s v="Jojeff Tagnong"/>
  </r>
  <r>
    <n v="480"/>
    <s v="F2"/>
    <x v="21"/>
    <s v="G000001330"/>
    <s v="GYL MBS I&amp;D - SLS SLS Commercial EMEA"/>
    <m/>
    <s v="Rename"/>
    <x v="0"/>
    <x v="0"/>
    <s v="MGF"/>
    <s v="Created on both 1000; name is okay"/>
    <m/>
    <s v="Jojeff Tagnong"/>
  </r>
  <r>
    <n v="481"/>
    <s v="F2"/>
    <x v="21"/>
    <s v="G000001331"/>
    <s v="GYL MBS I&amp;D - SLS Biology"/>
    <m/>
    <s v="Rename"/>
    <x v="0"/>
    <x v="0"/>
    <s v="MGF"/>
    <s v="Created on both 1000; name is okay"/>
    <m/>
    <s v="Jojeff Tagnong"/>
  </r>
  <r>
    <n v="482"/>
    <s v="F2"/>
    <x v="21"/>
    <s v="G000001334"/>
    <s v="GYM MBS I&amp;D - LSS Contract Testing Serv"/>
    <m/>
    <s v="Rename"/>
    <x v="0"/>
    <x v="0"/>
    <s v="MGF"/>
    <s v="Created on both 1000; name is okay"/>
    <m/>
    <s v="Jojeff Tagnong"/>
  </r>
  <r>
    <n v="483"/>
    <s v="F2"/>
    <x v="21"/>
    <s v="G000001337"/>
    <s v="GYN MBS I&amp;D - PS Global Strat Accounts &amp;"/>
    <m/>
    <s v="Rename"/>
    <x v="0"/>
    <x v="0"/>
    <s v="MGF"/>
    <s v="Created on both 1000; name is okay"/>
    <m/>
    <s v="Jojeff Tagnong"/>
  </r>
  <r>
    <n v="484"/>
    <s v="F2"/>
    <x v="21"/>
    <s v="G000001338"/>
    <s v="GYN MBS I&amp;D - PS Business Franchises"/>
    <m/>
    <s v="Rename"/>
    <x v="0"/>
    <x v="0"/>
    <s v="MGF"/>
    <s v="Created on both 1000; name is okay"/>
    <m/>
    <s v="Jojeff Tagnong"/>
  </r>
  <r>
    <n v="485"/>
    <s v="F2"/>
    <x v="21"/>
    <s v="G000001341"/>
    <s v="GYO MBS I&amp;D - ISCO Supply Chain &amp; Distri"/>
    <m/>
    <s v="Rename"/>
    <x v="0"/>
    <x v="0"/>
    <s v="MGF"/>
    <s v="Created on both 1000; name is okay"/>
    <m/>
    <s v="Jojeff Tagnong"/>
  </r>
  <r>
    <n v="486"/>
    <s v="F2"/>
    <x v="21"/>
    <s v="G000001342"/>
    <s v="GYO MBS I&amp;D - ISCO Global Plant Op"/>
    <m/>
    <s v="Rename"/>
    <x v="0"/>
    <x v="0"/>
    <s v="MGF"/>
    <s v="Created on both 1000; name is okay"/>
    <m/>
    <s v="Jojeff Tagnong"/>
  </r>
  <r>
    <n v="487"/>
    <s v="F2"/>
    <x v="21"/>
    <s v="G000001343"/>
    <s v="GYO MBS I&amp;D - ISCO Warehouse &amp; Distri"/>
    <m/>
    <s v="Rename"/>
    <x v="0"/>
    <x v="0"/>
    <s v="MGF"/>
    <s v="Created on both 1000; name is okay"/>
    <m/>
    <s v="Jojeff Tagnong"/>
  </r>
  <r>
    <n v="488"/>
    <s v="F2"/>
    <x v="21"/>
    <s v="G000001344"/>
    <s v="GYO MBS I&amp;D - ISCO PS Value Stream"/>
    <m/>
    <s v="Rename"/>
    <x v="0"/>
    <x v="0"/>
    <s v="MGF"/>
    <s v="Created on both 1000; name is okay"/>
    <m/>
    <s v="Jojeff Tagnong"/>
  </r>
  <r>
    <n v="489"/>
    <s v="F2"/>
    <x v="21"/>
    <s v="G000001345"/>
    <s v="GYO MBS I&amp;D - ISCO WCOGS"/>
    <m/>
    <s v="Rename"/>
    <x v="0"/>
    <x v="0"/>
    <s v="MGF"/>
    <s v="Created on both 1000; name is okay"/>
    <m/>
    <s v="Jojeff Tagnong"/>
  </r>
  <r>
    <n v="490"/>
    <s v="F2"/>
    <x v="21"/>
    <s v="G000001346"/>
    <s v="GYO MBS I&amp;D - ISCO Tech &amp; Eng."/>
    <m/>
    <s v="Rename"/>
    <x v="0"/>
    <x v="0"/>
    <s v="MGF"/>
    <s v="Created on both 1000; name is okay"/>
    <m/>
    <s v="Jojeff Tagnong"/>
  </r>
  <r>
    <n v="491"/>
    <s v="F2"/>
    <x v="21"/>
    <s v="G000001349"/>
    <s v="GYP MBS I&amp;D - EF GSS COE Buss &amp; Market S"/>
    <m/>
    <s v="Rename"/>
    <x v="0"/>
    <x v="0"/>
    <s v="MGF"/>
    <s v="Created on both 1000; name is okay"/>
    <m/>
    <s v="Jojeff Tagnong"/>
  </r>
  <r>
    <n v="492"/>
    <s v="F2"/>
    <x v="21"/>
    <s v="G000001350"/>
    <s v="GYP MBS I&amp;D - EF GSS COE STO"/>
    <m/>
    <s v="Rename"/>
    <x v="0"/>
    <x v="0"/>
    <s v="MGF"/>
    <s v="Created on both 1000; name is okay"/>
    <m/>
    <s v="Jojeff Tagnong"/>
  </r>
  <r>
    <n v="493"/>
    <s v="F2"/>
    <x v="21"/>
    <s v="G000001351"/>
    <s v="GYP MBS I&amp;D - EF GSS COE Tech Office"/>
    <m/>
    <s v="Rename"/>
    <x v="0"/>
    <x v="0"/>
    <s v="MGF"/>
    <s v="Created on both 1000; name is okay"/>
    <m/>
    <s v="Jojeff Tagnong"/>
  </r>
  <r>
    <n v="494"/>
    <s v="F2"/>
    <x v="21"/>
    <s v="G000001352"/>
    <s v="GYP MBS I&amp;D - EF GSS COE LS QRM"/>
    <m/>
    <s v="Rename"/>
    <x v="0"/>
    <x v="0"/>
    <s v="MGF"/>
    <s v="Created on both 1000; name is okay"/>
    <m/>
    <s v="Jojeff Tagnong"/>
  </r>
  <r>
    <n v="495"/>
    <s v="F2"/>
    <x v="21"/>
    <s v="G000001353"/>
    <s v="GYP MBS I&amp;D - EF GSS COE EF Sourcing"/>
    <m/>
    <s v="Rename"/>
    <x v="0"/>
    <x v="0"/>
    <s v="MGF"/>
    <s v="Created on both 1000; name is okay"/>
    <m/>
    <s v="Jojeff Tagnong"/>
  </r>
  <r>
    <n v="496"/>
    <s v="F2"/>
    <x v="21"/>
    <s v="G000001354"/>
    <s v="GYP MBS I&amp;D - EF GSS COE Administration"/>
    <m/>
    <s v="Rename"/>
    <x v="0"/>
    <x v="0"/>
    <s v="MGF"/>
    <s v="Created on both 1000; name is okay"/>
    <m/>
    <s v="Jojeff Tagnong"/>
  </r>
  <r>
    <n v="497"/>
    <s v="F2"/>
    <x v="21"/>
    <s v="G000001359"/>
    <s v="FK6 BX-P - Re-Allocatable External Costs"/>
    <s v="G000000613"/>
    <s v="New"/>
    <x v="0"/>
    <x v="0"/>
    <s v="MGF"/>
    <s v="Created on both 1000; name is okay"/>
    <m/>
    <s v="Jojeff Tagnong"/>
  </r>
  <r>
    <n v="498"/>
    <s v="F2"/>
    <x v="21"/>
    <s v="G000001360"/>
    <s v="G7J Lumina FTO &amp; FTOM"/>
    <s v="G000000622"/>
    <s v="New"/>
    <x v="0"/>
    <x v="0"/>
    <s v="MGF"/>
    <s v="Created on both 1000; name is okay"/>
    <m/>
    <s v="Jojeff Tagnong"/>
  </r>
  <r>
    <n v="499"/>
    <s v="F2"/>
    <x v="21"/>
    <s v="G000001361"/>
    <s v="G7K Lumina Planning &amp; Reporting"/>
    <s v="G000000622"/>
    <s v="New"/>
    <x v="0"/>
    <x v="0"/>
    <s v="MGF"/>
    <s v="Created on both 1000; name is okay"/>
    <m/>
    <s v="Jojeff Tagnong"/>
  </r>
  <r>
    <n v="500"/>
    <s v="F2"/>
    <x v="21"/>
    <s v="G000001362"/>
    <s v="G7L Lumina Reporting &amp; GP Processes"/>
    <s v="G000000622"/>
    <s v="New"/>
    <x v="0"/>
    <x v="0"/>
    <s v="MGF"/>
    <s v="Created on both 1000; name is okay"/>
    <m/>
    <s v="Jojeff Tagnong"/>
  </r>
  <r>
    <n v="501"/>
    <s v="F2"/>
    <x v="21"/>
    <s v="G000001363"/>
    <s v="G7M Lumina Rep Del Fact &amp; Tech&amp;Data"/>
    <s v="G000000622"/>
    <s v="New"/>
    <x v="0"/>
    <x v="0"/>
    <s v="MGF"/>
    <s v="Created on both 1000; name is okay"/>
    <m/>
    <s v="Jojeff Tagnong"/>
  </r>
  <r>
    <n v="502"/>
    <s v="F2"/>
    <x v="21"/>
    <s v="G000001364"/>
    <s v="G7N Lumina Regulatory Requirements"/>
    <s v="G000000622"/>
    <s v="New"/>
    <x v="0"/>
    <x v="0"/>
    <s v="MGF"/>
    <s v="Created on both 1000; name is okay"/>
    <m/>
    <s v="Jojeff Tagnong"/>
  </r>
  <r>
    <n v="503"/>
    <s v="F2"/>
    <x v="21"/>
    <s v="G000001365"/>
    <s v="G7O Process Excellence"/>
    <s v="G000000622"/>
    <s v="New"/>
    <x v="0"/>
    <x v="0"/>
    <s v="MGF"/>
    <s v="Created on both 1000; name is okay"/>
    <m/>
    <s v="Jojeff Tagnong"/>
  </r>
  <r>
    <n v="504"/>
    <s v="F2"/>
    <x v="21"/>
    <s v="G000001366"/>
    <s v="G7P LEAP"/>
    <s v="G000000622"/>
    <s v="New"/>
    <x v="0"/>
    <x v="0"/>
    <s v="MGF"/>
    <s v="Created on both 1000; name is okay"/>
    <m/>
    <s v="Jojeff Tagnong"/>
  </r>
  <r>
    <n v="505"/>
    <s v="F2"/>
    <x v="21"/>
    <s v="G000001367"/>
    <s v="FAX MBS Invoice to Cash"/>
    <s v="G000000184"/>
    <s v="New"/>
    <x v="0"/>
    <x v="0"/>
    <s v="MGF"/>
    <s v="Created on both 1000; name is okay"/>
    <m/>
    <s v="Jojeff Tagnong"/>
  </r>
  <r>
    <n v="506"/>
    <s v="F2"/>
    <x v="21"/>
    <s v="G000001368"/>
    <s v="FAX - MGF Reporting"/>
    <s v="G000001367"/>
    <s v="New"/>
    <x v="0"/>
    <x v="0"/>
    <s v="MGF"/>
    <s v="Created on both 1000; name is okay"/>
    <m/>
    <s v="Jojeff Tagnong"/>
  </r>
  <r>
    <n v="507"/>
    <s v="F2"/>
    <x v="21"/>
    <s v="G000001369"/>
    <s v="FAX - non-MGF Reporting"/>
    <s v="G000001367"/>
    <s v="New"/>
    <x v="0"/>
    <x v="0"/>
    <s v="MGF"/>
    <s v="Created on both 1000; name is okay"/>
    <m/>
    <s v="Jojeff Tagnong"/>
  </r>
  <r>
    <n v="508"/>
    <s v="F2"/>
    <x v="21"/>
    <s v="G000001370"/>
    <s v="GMW MBS Invoice to Cash"/>
    <s v="G000001368"/>
    <s v="New"/>
    <x v="0"/>
    <x v="0"/>
    <s v="MGF"/>
    <s v="Created on both 1000; name is okay"/>
    <m/>
    <s v="Jojeff Tagnong"/>
  </r>
  <r>
    <n v="509"/>
    <s v="F2"/>
    <x v="21"/>
    <s v="G000001371"/>
    <s v="FAX MBS - Intercompany Charges"/>
    <s v="G000001369"/>
    <s v="New"/>
    <x v="0"/>
    <x v="0"/>
    <s v="MGF"/>
    <s v="Created on both 1000; name is okay"/>
    <m/>
    <s v="Jojeff Tagnong"/>
  </r>
  <r>
    <n v="510"/>
    <s v="F2"/>
    <x v="21"/>
    <s v="G000001372"/>
    <s v="FAX MBS - Exceptionals"/>
    <s v="G000001369"/>
    <s v="New"/>
    <x v="0"/>
    <x v="0"/>
    <s v="MGF"/>
    <s v="Created on both 1000; name is okay"/>
    <m/>
    <s v="Jojeff Tagnong"/>
  </r>
  <r>
    <n v="511"/>
    <s v="F2"/>
    <x v="21"/>
    <s v="G000001373"/>
    <s v="GMX MBS Hub Manila - ABP"/>
    <s v="G000001142"/>
    <s v="New"/>
    <x v="0"/>
    <x v="0"/>
    <s v="MGF"/>
    <s v="Created on both 1000; name is okay"/>
    <m/>
    <s v="Jojeff Tagnong"/>
  </r>
  <r>
    <n v="512"/>
    <s v="F2"/>
    <x v="21"/>
    <s v="G000001374"/>
    <s v="GMY MBS Hub Bangalore - ABP"/>
    <s v="G000001144"/>
    <s v="New"/>
    <x v="0"/>
    <x v="0"/>
    <s v="MGF"/>
    <s v="Created on both 1000; name is okay"/>
    <m/>
    <s v="Jojeff Tagnong"/>
  </r>
  <r>
    <n v="513"/>
    <s v="F2"/>
    <x v="21"/>
    <s v="G000000563"/>
    <m/>
    <s v="O000000009"/>
    <s v="Delete"/>
    <x v="0"/>
    <x v="0"/>
    <s v="MGF"/>
    <s v="Created on both 1000; name is okay"/>
    <m/>
    <s v="Jojeff Tagnong"/>
  </r>
  <r>
    <n v="514"/>
    <s v="F2"/>
    <x v="22"/>
    <s v="P000001268"/>
    <s v="Brand Development"/>
    <s v="P000001200"/>
    <s v="New"/>
    <x v="0"/>
    <x v="0"/>
    <s v="EL"/>
    <s v="Created on both 1000; name is okay"/>
    <m/>
    <s v="Eivy Denine Cruz"/>
  </r>
  <r>
    <n v="515"/>
    <s v="F2"/>
    <x v="22"/>
    <s v="P000001269"/>
    <s v="Books &amp; Records"/>
    <s v="P000001200"/>
    <s v="New"/>
    <x v="0"/>
    <x v="0"/>
    <s v="EL"/>
    <s v="Created on both 1000; name is okay"/>
    <m/>
    <s v="Eivy Denine Cruz"/>
  </r>
  <r>
    <n v="516"/>
    <s v="F2"/>
    <x v="22"/>
    <s v="P000001270"/>
    <s v="Functional built-ups"/>
    <s v="P000001200"/>
    <s v="New"/>
    <x v="0"/>
    <x v="0"/>
    <s v="EL"/>
    <s v="Created on both 1000; name is okay"/>
    <m/>
    <s v="Eivy Denine Cruz"/>
  </r>
  <r>
    <n v="517"/>
    <s v="F2"/>
    <x v="22"/>
    <s v="P000001271"/>
    <s v="SPICE HR"/>
    <s v="P000001208"/>
    <s v="New"/>
    <x v="0"/>
    <x v="0"/>
    <s v="EL"/>
    <s v="Created on both 1000; name is okay"/>
    <m/>
    <s v="Eivy Denine Cruz"/>
  </r>
  <r>
    <n v="518"/>
    <s v="F2"/>
    <x v="22"/>
    <s v="P000001272"/>
    <s v="EL-SC-ED ELDP"/>
    <s v="P000000635"/>
    <s v="New"/>
    <x v="0"/>
    <x v="0"/>
    <s v="EL"/>
    <s v="Created on both 1000; name is okay"/>
    <m/>
    <s v="Eivy Denine Cruz"/>
  </r>
  <r>
    <n v="519"/>
    <s v="F2"/>
    <x v="22"/>
    <s v="P000001273"/>
    <s v="Non-transferring assets"/>
    <s v="P000001208"/>
    <s v="New"/>
    <x v="0"/>
    <x v="0"/>
    <s v="EL"/>
    <s v="Created on both 1000; name is okay"/>
    <m/>
    <s v="Eivy Denine Cruz"/>
  </r>
  <r>
    <n v="520"/>
    <s v="F2"/>
    <x v="22"/>
    <s v="P000001274"/>
    <s v="EL-ND BU Head &amp; Other"/>
    <s v="P000000554"/>
    <s v="New"/>
    <x v="0"/>
    <x v="0"/>
    <s v="EL"/>
    <s v="Created on both 1000; name is okay"/>
    <m/>
    <s v="Eivy Denine Cruz"/>
  </r>
  <r>
    <n v="521"/>
    <s v="F2"/>
    <x v="22"/>
    <s v="P000001275"/>
    <s v="EL-ND DSS Global ISC"/>
    <s v="P000000554"/>
    <s v="New"/>
    <x v="0"/>
    <x v="0"/>
    <s v="EL"/>
    <s v="Created on both 1000; name is okay"/>
    <m/>
    <s v="Eivy Denine Cruz"/>
  </r>
  <r>
    <n v="522"/>
    <s v="F2"/>
    <x v="22"/>
    <s v="P000001276"/>
    <s v="EL-ND DSS Global Head"/>
    <s v="P000000554"/>
    <s v="New"/>
    <x v="0"/>
    <x v="0"/>
    <s v="EL"/>
    <s v="Created on both 1000; name is okay"/>
    <m/>
    <s v="Eivy Denine Cruz"/>
  </r>
  <r>
    <n v="523"/>
    <s v="F2"/>
    <x v="22"/>
    <s v="P000001277"/>
    <s v="EL-ND DSS Global - IO/Rev Projects/Other"/>
    <s v="P000000554"/>
    <s v="New"/>
    <x v="0"/>
    <x v="0"/>
    <s v="EL"/>
    <s v="Created on both 1000; name is okay"/>
    <m/>
    <s v="Eivy Denine Cruz"/>
  </r>
  <r>
    <n v="524"/>
    <s v="F2"/>
    <x v="22"/>
    <s v="P000001278"/>
    <s v="DSS Global Production"/>
    <s v="P000001275"/>
    <s v="New"/>
    <x v="0"/>
    <x v="0"/>
    <s v="EL"/>
    <s v="Created on both 1000; name is okay"/>
    <m/>
    <s v="Eivy Denine Cruz"/>
  </r>
  <r>
    <n v="525"/>
    <s v="F2"/>
    <x v="22"/>
    <s v="P000001279"/>
    <s v="DSS Global Services"/>
    <s v="P000001275"/>
    <s v="New"/>
    <x v="0"/>
    <x v="0"/>
    <s v="EL"/>
    <s v="Created on both 1000; name is okay"/>
    <m/>
    <s v="Eivy Denine Cruz"/>
  </r>
  <r>
    <n v="526"/>
    <s v="F2"/>
    <x v="22"/>
    <s v="P000001280"/>
    <s v="DSS Global S&amp;OP / Fulfill"/>
    <s v="P000001275"/>
    <s v="New"/>
    <x v="0"/>
    <x v="0"/>
    <s v="EL"/>
    <s v="Created on both 1000; name is okay"/>
    <m/>
    <s v="Eivy Denine Cruz"/>
  </r>
  <r>
    <n v="527"/>
    <s v="F2"/>
    <x v="22"/>
    <s v="P000001281"/>
    <s v="DSS Global Mfg. &amp; Sus. Eng."/>
    <s v="P000001275"/>
    <s v="New"/>
    <x v="0"/>
    <x v="0"/>
    <s v="EL"/>
    <s v="Created on both 1000; name is okay"/>
    <m/>
    <s v="Eivy Denine Cruz"/>
  </r>
  <r>
    <n v="528"/>
    <s v="F2"/>
    <x v="22"/>
    <s v="P000001282"/>
    <s v="DSS Data &amp; Digital"/>
    <s v="P000001275"/>
    <s v="New"/>
    <x v="0"/>
    <x v="0"/>
    <s v="EL"/>
    <s v="Created on both 1000; name is okay"/>
    <m/>
    <s v="Eivy Denine Cruz"/>
  </r>
  <r>
    <n v="529"/>
    <s v="F2"/>
    <x v="22"/>
    <s v="P000001283"/>
    <s v="DSS Global Quality"/>
    <s v="P000001276"/>
    <s v="New"/>
    <x v="0"/>
    <x v="0"/>
    <s v="EL"/>
    <s v="Created on both 1000; name is okay"/>
    <m/>
    <s v="Eivy Denine Cruz"/>
  </r>
  <r>
    <n v="530"/>
    <s v="F2"/>
    <x v="22"/>
    <s v="P000001284"/>
    <s v="DSS Global Product Mgmt"/>
    <s v="P000001276"/>
    <s v="New"/>
    <x v="0"/>
    <x v="0"/>
    <s v="EL"/>
    <s v="Created on both 1000; name is okay"/>
    <m/>
    <s v="Eivy Denine Cruz"/>
  </r>
  <r>
    <n v="531"/>
    <s v="F2"/>
    <x v="22"/>
    <s v="P000001285"/>
    <s v="DSS Global Prj Ex. &amp; Port. Mgmt"/>
    <s v="P000001276"/>
    <s v="New"/>
    <x v="0"/>
    <x v="0"/>
    <s v="EL"/>
    <s v="Created on both 1000; name is okay"/>
    <m/>
    <s v="Eivy Denine Cruz"/>
  </r>
  <r>
    <n v="532"/>
    <s v="F2"/>
    <x v="22"/>
    <s v="P000001286"/>
    <s v="DSS Global Commercial"/>
    <s v="P000001276"/>
    <s v="New"/>
    <x v="0"/>
    <x v="0"/>
    <s v="EL"/>
    <s v="Created on both 1000; name is okay"/>
    <m/>
    <s v="Eivy Denine Cruz"/>
  </r>
  <r>
    <n v="533"/>
    <s v="F2"/>
    <x v="22"/>
    <s v="P000001287"/>
    <s v="DSS Global Business Excellence"/>
    <s v="P000001276"/>
    <s v="New"/>
    <x v="0"/>
    <x v="0"/>
    <s v="EL"/>
    <s v="Created on both 1000; name is okay"/>
    <m/>
    <s v="Eivy Denine Cruz"/>
  </r>
  <r>
    <n v="534"/>
    <s v="F2"/>
    <x v="22"/>
    <s v="P000001288"/>
    <s v="Sales Projects"/>
    <s v="P000001277"/>
    <s v="New"/>
    <x v="0"/>
    <x v="0"/>
    <s v="EL"/>
    <s v="Created on both 1000; name is okay"/>
    <m/>
    <s v="Eivy Denine Cruz"/>
  </r>
  <r>
    <n v="535"/>
    <s v="F2"/>
    <x v="22"/>
    <s v="P000001289"/>
    <s v="Production - Vultee"/>
    <s v="P000001278"/>
    <s v="New"/>
    <x v="0"/>
    <x v="0"/>
    <s v="EL"/>
    <s v="Created on both 1000; name is okay"/>
    <m/>
    <s v="Eivy Denine Cruz"/>
  </r>
  <r>
    <n v="536"/>
    <s v="F2"/>
    <x v="22"/>
    <s v="P000001290"/>
    <s v="Production - Chandler"/>
    <s v="P000001278"/>
    <s v="New"/>
    <x v="0"/>
    <x v="0"/>
    <s v="EL"/>
    <s v="Created on both 1000; name is okay"/>
    <m/>
    <s v="Eivy Denine Cruz"/>
  </r>
  <r>
    <n v="537"/>
    <s v="F2"/>
    <x v="22"/>
    <s v="P000001291"/>
    <s v="Production - Ansan"/>
    <s v="P000001278"/>
    <s v="New"/>
    <x v="0"/>
    <x v="0"/>
    <s v="EL"/>
    <s v="Created on both 1000; name is okay"/>
    <m/>
    <s v="Eivy Denine Cruz"/>
  </r>
  <r>
    <n v="538"/>
    <s v="F2"/>
    <x v="22"/>
    <s v="P000001292"/>
    <s v="Production - Kaoshiung"/>
    <s v="P000001278"/>
    <s v="New"/>
    <x v="0"/>
    <x v="0"/>
    <s v="EL"/>
    <s v="Created on both 1000; name is okay"/>
    <m/>
    <s v="Eivy Denine Cruz"/>
  </r>
  <r>
    <n v="539"/>
    <s v="F2"/>
    <x v="22"/>
    <s v="P000001293"/>
    <s v="Production - Waigaoqiao"/>
    <s v="P000001278"/>
    <s v="New"/>
    <x v="0"/>
    <x v="0"/>
    <s v="EL"/>
    <s v="Created on both 1000; name is okay"/>
    <m/>
    <s v="Eivy Denine Cruz"/>
  </r>
  <r>
    <n v="540"/>
    <s v="F2"/>
    <x v="22"/>
    <s v="P000001294"/>
    <s v="Services - NA/EUR"/>
    <s v="P000001279"/>
    <s v="New"/>
    <x v="0"/>
    <x v="0"/>
    <s v="EL"/>
    <s v="Created on both 1000; name is okay"/>
    <m/>
    <s v="Eivy Denine Cruz"/>
  </r>
  <r>
    <n v="541"/>
    <s v="F2"/>
    <x v="22"/>
    <s v="P000001295"/>
    <s v="Services - Asia exKR"/>
    <s v="P000001279"/>
    <s v="New"/>
    <x v="0"/>
    <x v="0"/>
    <s v="EL"/>
    <s v="Created on both 1000; name is okay"/>
    <m/>
    <s v="Eivy Denine Cruz"/>
  </r>
  <r>
    <n v="542"/>
    <s v="F2"/>
    <x v="22"/>
    <s v="P000001296"/>
    <s v="Services - KR"/>
    <s v="P000001279"/>
    <s v="New"/>
    <x v="0"/>
    <x v="0"/>
    <s v="EL"/>
    <s v="Created on both 1000; name is okay"/>
    <m/>
    <s v="Eivy Denine Cruz"/>
  </r>
  <r>
    <n v="543"/>
    <s v="F2"/>
    <x v="22"/>
    <s v="P000001297"/>
    <s v="S&amp;OP - NA/EUR"/>
    <s v="P000001280"/>
    <s v="New"/>
    <x v="0"/>
    <x v="0"/>
    <s v="EL"/>
    <s v="Created on both 1000; name is okay"/>
    <m/>
    <s v="Eivy Denine Cruz"/>
  </r>
  <r>
    <n v="544"/>
    <s v="F2"/>
    <x v="22"/>
    <s v="P000001298"/>
    <s v="S&amp;OP - Asia exKR"/>
    <s v="P000001280"/>
    <s v="New"/>
    <x v="0"/>
    <x v="0"/>
    <s v="EL"/>
    <s v="Created on both 1000; name is okay"/>
    <m/>
    <s v="Eivy Denine Cruz"/>
  </r>
  <r>
    <n v="545"/>
    <s v="F2"/>
    <x v="22"/>
    <s v="P000001299"/>
    <s v="S&amp;OP - KR"/>
    <s v="P000001280"/>
    <s v="New"/>
    <x v="0"/>
    <x v="0"/>
    <s v="EL"/>
    <s v="Created on both 1000; name is okay"/>
    <m/>
    <s v="Eivy Denine Cruz"/>
  </r>
  <r>
    <n v="546"/>
    <s v="F2"/>
    <x v="22"/>
    <s v="P000001300"/>
    <s v="Mfg. &amp; Sus. Eng. -  NA/EUR"/>
    <s v="P000001281"/>
    <s v="New"/>
    <x v="0"/>
    <x v="0"/>
    <s v="EL"/>
    <s v="Created on both 1000; name is okay"/>
    <m/>
    <s v="Eivy Denine Cruz"/>
  </r>
  <r>
    <n v="547"/>
    <s v="F2"/>
    <x v="22"/>
    <s v="P000001301"/>
    <s v="Mfg. &amp; Sus. Eng. -  Asia exKR"/>
    <s v="P000001281"/>
    <s v="New"/>
    <x v="0"/>
    <x v="0"/>
    <s v="EL"/>
    <s v="Created on both 1000; name is okay"/>
    <m/>
    <s v="Eivy Denine Cruz"/>
  </r>
  <r>
    <n v="548"/>
    <s v="F2"/>
    <x v="22"/>
    <s v="P000001302"/>
    <s v="Mfg. &amp; Sus. Eng. -  KR"/>
    <s v="P000001281"/>
    <s v="New"/>
    <x v="0"/>
    <x v="0"/>
    <s v="EL"/>
    <s v="Created on both 1000; name is okay"/>
    <m/>
    <s v="Eivy Denine Cruz"/>
  </r>
  <r>
    <n v="549"/>
    <s v="F2"/>
    <x v="22"/>
    <s v="P000001303"/>
    <s v="Quality - NA/EUR"/>
    <s v="P000001283"/>
    <s v="New"/>
    <x v="0"/>
    <x v="0"/>
    <s v="EL"/>
    <s v="Created on both 1000; name is okay"/>
    <m/>
    <s v="Eivy Denine Cruz"/>
  </r>
  <r>
    <n v="550"/>
    <s v="F2"/>
    <x v="22"/>
    <s v="P000001304"/>
    <s v="Quality - Asia exKR"/>
    <s v="P000001283"/>
    <s v="New"/>
    <x v="0"/>
    <x v="0"/>
    <s v="EL"/>
    <s v="Created on both 1000; name is okay"/>
    <m/>
    <s v="Eivy Denine Cruz"/>
  </r>
  <r>
    <n v="551"/>
    <s v="F2"/>
    <x v="22"/>
    <s v="P000001305"/>
    <s v="Quality - KR"/>
    <s v="P000001283"/>
    <s v="New"/>
    <x v="0"/>
    <x v="0"/>
    <s v="EL"/>
    <s v="Created on both 1000; name is okay"/>
    <m/>
    <s v="Eivy Denine Cruz"/>
  </r>
  <r>
    <n v="552"/>
    <s v="F2"/>
    <x v="22"/>
    <s v="P000001306"/>
    <s v="Product Mgmt - NA/EUR"/>
    <s v="P000001284"/>
    <s v="New"/>
    <x v="0"/>
    <x v="0"/>
    <s v="EL"/>
    <s v="Created on both 1000; name is okay"/>
    <m/>
    <s v="Eivy Denine Cruz"/>
  </r>
  <r>
    <n v="553"/>
    <s v="F2"/>
    <x v="22"/>
    <s v="P000001307"/>
    <s v="Product Mgmt - Asia exKR"/>
    <s v="P000001284"/>
    <s v="New"/>
    <x v="0"/>
    <x v="0"/>
    <s v="EL"/>
    <s v="Created on both 1000; name is okay"/>
    <m/>
    <s v="Eivy Denine Cruz"/>
  </r>
  <r>
    <n v="554"/>
    <s v="F2"/>
    <x v="22"/>
    <s v="P000001308"/>
    <s v="Product Mgmt - KR"/>
    <s v="P000001284"/>
    <s v="New"/>
    <x v="0"/>
    <x v="0"/>
    <s v="EL"/>
    <s v="Created on both 1000; name is okay"/>
    <m/>
    <s v="Eivy Denine Cruz"/>
  </r>
  <r>
    <n v="555"/>
    <s v="F2"/>
    <x v="22"/>
    <s v="P000001309"/>
    <s v="Prj. Ex. &amp; Port. Mgmt – NA/EUR"/>
    <s v="P000001285"/>
    <s v="New"/>
    <x v="0"/>
    <x v="0"/>
    <s v="EL"/>
    <s v="Created on both 1000; name is okay"/>
    <m/>
    <s v="Eivy Denine Cruz"/>
  </r>
  <r>
    <n v="556"/>
    <s v="F2"/>
    <x v="22"/>
    <s v="P000001310"/>
    <s v="Prj. Ex. &amp; Port. Mgmt – Asia exKR"/>
    <s v="P000001285"/>
    <s v="New"/>
    <x v="0"/>
    <x v="0"/>
    <s v="EL"/>
    <s v="Created on both 1000; name is okay"/>
    <m/>
    <s v="Eivy Denine Cruz"/>
  </r>
  <r>
    <n v="557"/>
    <s v="F2"/>
    <x v="22"/>
    <s v="P000001311"/>
    <s v="Project Execution &amp; Portfolio Mgmt - KR"/>
    <s v="P000001285"/>
    <s v="New"/>
    <x v="0"/>
    <x v="0"/>
    <s v="EL"/>
    <s v="Created on both 1000; name is okay"/>
    <m/>
    <s v="Eivy Denine Cruz"/>
  </r>
  <r>
    <n v="558"/>
    <s v="F2"/>
    <x v="22"/>
    <s v="P000001312"/>
    <s v="Commercial - NA/EUR"/>
    <s v="P000001286"/>
    <s v="New"/>
    <x v="0"/>
    <x v="0"/>
    <s v="EL"/>
    <s v="Created on both 1000; name is okay"/>
    <m/>
    <s v="Eivy Denine Cruz"/>
  </r>
  <r>
    <n v="559"/>
    <s v="F2"/>
    <x v="22"/>
    <s v="P000001313"/>
    <s v="Commercial - Asia ex KR"/>
    <s v="P000001286"/>
    <s v="New"/>
    <x v="0"/>
    <x v="0"/>
    <s v="EL"/>
    <s v="Created on both 1000; name is okay"/>
    <m/>
    <s v="Eivy Denine Cruz"/>
  </r>
  <r>
    <n v="560"/>
    <s v="F2"/>
    <x v="22"/>
    <s v="P000001314"/>
    <s v="Commercial - Korea"/>
    <s v="P000001286"/>
    <s v="New"/>
    <x v="0"/>
    <x v="0"/>
    <s v="EL"/>
    <s v="Created on both 1000; name is okay"/>
    <m/>
    <s v="Eivy Denine Cruz"/>
  </r>
  <r>
    <n v="561"/>
    <s v="F2"/>
    <x v="22"/>
    <s v="P000001315"/>
    <s v="Business Excellence - NA/EUR"/>
    <s v="P000001287"/>
    <s v="New"/>
    <x v="0"/>
    <x v="0"/>
    <s v="EL"/>
    <s v="Created on both 1000; name is okay"/>
    <m/>
    <s v="Eivy Denine Cruz"/>
  </r>
  <r>
    <n v="562"/>
    <s v="F2"/>
    <x v="22"/>
    <s v="P000001316"/>
    <s v="Business Excellence - Asia ex KR"/>
    <s v="P000001287"/>
    <s v="New"/>
    <x v="0"/>
    <x v="0"/>
    <s v="EL"/>
    <s v="Created on both 1000; name is okay"/>
    <m/>
    <s v="Eivy Denine Cruz"/>
  </r>
  <r>
    <n v="563"/>
    <s v="F2"/>
    <x v="22"/>
    <s v="P000001317"/>
    <s v="Business Excellence - Korea"/>
    <s v="P000001287"/>
    <s v="New"/>
    <x v="0"/>
    <x v="0"/>
    <s v="EL"/>
    <s v="Created on both 1000; name is okay"/>
    <m/>
    <s v="Eivy Denine Cruz"/>
  </r>
  <r>
    <n v="564"/>
    <s v="F2"/>
    <x v="22"/>
    <s v="P000001318"/>
    <s v="EL-BP-Q Sourcing Surface Solutions"/>
    <s v="P000000748"/>
    <s v="New"/>
    <x v="0"/>
    <x v="0"/>
    <s v="EL"/>
    <s v="Created on both 1000; name is okay"/>
    <m/>
    <s v="Eivy Denine Cruz"/>
  </r>
  <r>
    <n v="565"/>
    <s v="F2"/>
    <x v="22"/>
    <s v="P000001319"/>
    <s v="Classic IT"/>
    <s v="P000000758"/>
    <s v="New"/>
    <x v="0"/>
    <x v="0"/>
    <s v="EL"/>
    <s v="Created on both 1000; name is okay"/>
    <m/>
    <s v="Eivy Denine Cruz"/>
  </r>
  <r>
    <n v="566"/>
    <s v="F2"/>
    <x v="22"/>
    <s v="P000001320"/>
    <s v="IT Projects"/>
    <s v="P000000758"/>
    <s v="New"/>
    <x v="0"/>
    <x v="0"/>
    <s v="EL"/>
    <s v="Created on both 1000; name is okay"/>
    <m/>
    <s v="Eivy Denine Cruz"/>
  </r>
  <r>
    <n v="567"/>
    <s v="F2"/>
    <x v="22"/>
    <s v="P000001321"/>
    <s v="Cyber Security"/>
    <s v="P000000758"/>
    <s v="New"/>
    <x v="0"/>
    <x v="0"/>
    <s v="EL"/>
    <s v="Created on both 1000; name is okay"/>
    <m/>
    <s v="Eivy Denine Cruz"/>
  </r>
  <r>
    <n v="568"/>
    <s v="F2"/>
    <x v="22"/>
    <s v="P000001322"/>
    <s v="Information &amp; Operational Tech (IT/OT)"/>
    <s v="P000000758"/>
    <s v="New"/>
    <x v="0"/>
    <x v="0"/>
    <s v="EL"/>
    <s v="Created on both 1000; name is okay"/>
    <m/>
    <s v="Eivy Denine Cruz"/>
  </r>
  <r>
    <n v="569"/>
    <s v="F2"/>
    <x v="22"/>
    <s v="P000001323"/>
    <s v="BP Digital &amp; Data"/>
    <s v="P000000758"/>
    <s v="New"/>
    <x v="0"/>
    <x v="0"/>
    <s v="EL"/>
    <s v="Created on both 1000; name is okay"/>
    <m/>
    <s v="Eivy Denine Cruz"/>
  </r>
  <r>
    <n v="570"/>
    <s v="F2"/>
    <x v="22"/>
    <s v="P000001324"/>
    <s v="EL-BP Go Globals"/>
    <s v="P000000748"/>
    <s v="New"/>
    <x v="0"/>
    <x v="0"/>
    <s v="EL"/>
    <s v="Created on both 1000; name is okay"/>
    <m/>
    <s v="Eivy Denine Cruz"/>
  </r>
  <r>
    <n v="571"/>
    <s v="F2"/>
    <x v="22"/>
    <s v="P000000594"/>
    <s v="EL-OP Patents"/>
    <m/>
    <s v="Rename"/>
    <x v="0"/>
    <x v="0"/>
    <s v="EL"/>
    <s v="Created on both 1000; name is okay"/>
    <m/>
    <s v="Eivy Denine Cruz"/>
  </r>
  <r>
    <n v="572"/>
    <s v="F2"/>
    <x v="22"/>
    <s v="P000001199"/>
    <s v="EL-OP Historical cost objects"/>
    <m/>
    <s v="Rename"/>
    <x v="0"/>
    <x v="0"/>
    <s v="EL"/>
    <s v="Created on both 1000; name is okay"/>
    <m/>
    <s v="Eivy Denine Cruz"/>
  </r>
  <r>
    <n v="573"/>
    <s v="F2"/>
    <x v="22"/>
    <s v="P000000417"/>
    <s v="EL Local Functions"/>
    <m/>
    <s v="Rename"/>
    <x v="0"/>
    <x v="0"/>
    <s v="EL"/>
    <s v="Created on both 1000; name is okay"/>
    <m/>
    <s v="Eivy Denine Cruz"/>
  </r>
  <r>
    <n v="574"/>
    <s v="F2"/>
    <x v="22"/>
    <s v="P000000425"/>
    <s v="EL Other DivCO"/>
    <m/>
    <s v="Rename"/>
    <x v="0"/>
    <x v="0"/>
    <s v="EL"/>
    <s v="Created on both 1000; name is okay"/>
    <m/>
    <s v="Eivy Denine Cruz"/>
  </r>
  <r>
    <n v="575"/>
    <s v="F2"/>
    <x v="22"/>
    <s v="P000000965"/>
    <s v="EL Overarching"/>
    <m/>
    <s v="Rename"/>
    <x v="0"/>
    <x v="0"/>
    <s v="EL"/>
    <s v="Created on both 1000; name is okay"/>
    <m/>
    <s v="Eivy Denine Cruz"/>
  </r>
  <r>
    <n v="576"/>
    <s v="F2"/>
    <x v="22"/>
    <s v="P000000426"/>
    <s v="EL Exceptionals"/>
    <m/>
    <s v="Rename"/>
    <x v="0"/>
    <x v="0"/>
    <s v="EL"/>
    <s v="Created on both 1000; name is okay"/>
    <m/>
    <s v="Eivy Denine Cruz"/>
  </r>
  <r>
    <n v="577"/>
    <s v="F2"/>
    <x v="22"/>
    <s v="P000001204"/>
    <s v="Legal C/O of POG-8 &amp; POG-3"/>
    <m/>
    <s v="Rename"/>
    <x v="0"/>
    <x v="0"/>
    <s v="EL"/>
    <s v="Created on both 1000; name is okay"/>
    <m/>
    <s v="Eivy Denine Cruz"/>
  </r>
  <r>
    <n v="578"/>
    <s v="F2"/>
    <x v="22"/>
    <s v="P000001207"/>
    <s v="GES Backfills &amp; support"/>
    <m/>
    <s v="Rename"/>
    <x v="0"/>
    <x v="0"/>
    <s v="EL"/>
    <s v="Created on both 1000; name is okay"/>
    <m/>
    <s v="Eivy Denine Cruz"/>
  </r>
  <r>
    <n v="579"/>
    <s v="F2"/>
    <x v="22"/>
    <s v="P000000428"/>
    <s v="EL Technical Cost Center"/>
    <m/>
    <s v="Rename"/>
    <x v="0"/>
    <x v="0"/>
    <s v="EL"/>
    <s v="Created on both 1000; name is okay"/>
    <m/>
    <s v="Eivy Denine Cruz"/>
  </r>
  <r>
    <n v="580"/>
    <s v="F2"/>
    <x v="22"/>
    <s v="P000000575"/>
    <s v="EL Non-Active Cost Objects"/>
    <m/>
    <s v="Rename"/>
    <x v="0"/>
    <x v="0"/>
    <s v="EL"/>
    <s v="Created on both 1000; name is okay"/>
    <m/>
    <s v="Eivy Denine Cruz"/>
  </r>
  <r>
    <n v="581"/>
    <s v="F2"/>
    <x v="22"/>
    <s v="P000000577"/>
    <s v="EL Other Overarching"/>
    <m/>
    <s v="Rename"/>
    <x v="0"/>
    <x v="0"/>
    <s v="EL"/>
    <s v="Created on both 1000; name is okay"/>
    <m/>
    <s v="Eivy Denine Cruz"/>
  </r>
  <r>
    <n v="582"/>
    <s v="F2"/>
    <x v="22"/>
    <s v="P000000520"/>
    <s v="EL-FO-P Patterning ISC &amp; Quality"/>
    <m/>
    <s v="Rename"/>
    <x v="0"/>
    <x v="0"/>
    <s v="EL"/>
    <s v="Created on both 1000; name is okay"/>
    <m/>
    <s v="Eivy Denine Cruz"/>
  </r>
  <r>
    <n v="583"/>
    <s v="F2"/>
    <x v="22"/>
    <s v="P000000534"/>
    <s v="EL-FO-P Patterning Commercial"/>
    <m/>
    <s v="Rename"/>
    <x v="0"/>
    <x v="0"/>
    <s v="EL"/>
    <s v="Created on both 1000; name is okay"/>
    <m/>
    <s v="Eivy Denine Cruz"/>
  </r>
  <r>
    <n v="584"/>
    <s v="F2"/>
    <x v="22"/>
    <s v="P000000545"/>
    <s v="EL-FO-PR Patterning R&amp;D"/>
    <m/>
    <s v="Rename"/>
    <x v="0"/>
    <x v="0"/>
    <s v="EL"/>
    <s v="Created on both 1000; name is okay"/>
    <m/>
    <s v="Eivy Denine Cruz"/>
  </r>
  <r>
    <n v="585"/>
    <s v="F2"/>
    <x v="22"/>
    <s v="P000001165"/>
    <s v="EL-FO-P Patterning Silica"/>
    <m/>
    <s v="Rename"/>
    <x v="0"/>
    <x v="0"/>
    <s v="EL"/>
    <s v="Created on both 1000; name is okay"/>
    <m/>
    <s v="Eivy Denine Cruz"/>
  </r>
  <r>
    <n v="586"/>
    <s v="F2"/>
    <x v="22"/>
    <s v="P000000526"/>
    <s v="EL-TF-D  ISC &amp; Quality"/>
    <m/>
    <s v="Rename"/>
    <x v="0"/>
    <x v="0"/>
    <s v="EL"/>
    <s v="Created on both 1000; name is okay"/>
    <m/>
    <s v="Eivy Denine Cruz"/>
  </r>
  <r>
    <n v="587"/>
    <s v="F2"/>
    <x v="22"/>
    <s v="P000000533"/>
    <s v="EL-TF Thin Film Commercial"/>
    <m/>
    <s v="Rename"/>
    <x v="0"/>
    <x v="0"/>
    <s v="EL"/>
    <s v="Created on both 1000; name is okay"/>
    <m/>
    <s v="Eivy Denine Cruz"/>
  </r>
  <r>
    <n v="588"/>
    <s v="F2"/>
    <x v="23"/>
    <s v="H000004394"/>
    <s v="Global Health"/>
    <s v="H000000172"/>
    <s v="New"/>
    <x v="0"/>
    <x v="0"/>
    <s v="HC"/>
    <s v="Created on both 1000; name is okay"/>
    <m/>
    <s v="Henry Ifurung Jr."/>
  </r>
  <r>
    <n v="589"/>
    <s v="F2"/>
    <x v="23"/>
    <s v="H000004395"/>
    <s v="IF-China &amp; International exc GH"/>
    <s v="H000000172"/>
    <s v="New"/>
    <x v="0"/>
    <x v="0"/>
    <s v="HC"/>
    <s v="Created on both 1000; name is okay"/>
    <m/>
    <s v="Henry Ifurung Jr."/>
  </r>
  <r>
    <n v="590"/>
    <s v="F2"/>
    <x v="23"/>
    <s v="H000000173"/>
    <m/>
    <s v="H000004395"/>
    <s v="Move"/>
    <x v="0"/>
    <x v="0"/>
    <s v="HC"/>
    <s v="MOVED in 1000"/>
    <m/>
    <s v="Henry Ifurung Jr."/>
  </r>
  <r>
    <n v="591"/>
    <s v="F2"/>
    <x v="23"/>
    <s v="H000000175"/>
    <m/>
    <s v="H000004395"/>
    <s v="Move"/>
    <x v="0"/>
    <x v="0"/>
    <s v="HC"/>
    <s v="MOVED in 1000"/>
    <m/>
    <s v="Henry Ifurung Jr."/>
  </r>
  <r>
    <n v="592"/>
    <s v="F2"/>
    <x v="23"/>
    <s v="H000000177"/>
    <m/>
    <s v="H000004395"/>
    <s v="Move"/>
    <x v="0"/>
    <x v="0"/>
    <s v="HC"/>
    <s v="MOVED in 1000"/>
    <m/>
    <s v="Henry Ifurung Jr."/>
  </r>
  <r>
    <n v="593"/>
    <s v="F2"/>
    <x v="23"/>
    <s v="H000000387"/>
    <m/>
    <s v="H000004395"/>
    <s v="Move"/>
    <x v="0"/>
    <x v="0"/>
    <s v="HC"/>
    <s v="MOVED in 1000"/>
    <m/>
    <s v="Henry Ifurung Jr."/>
  </r>
  <r>
    <n v="594"/>
    <s v="F2"/>
    <x v="23"/>
    <s v="H000000448"/>
    <m/>
    <s v="H000004395"/>
    <s v="Move"/>
    <x v="0"/>
    <x v="0"/>
    <s v="HC"/>
    <s v="MOVED in 1000"/>
    <m/>
    <s v="Henry Ifurung Jr."/>
  </r>
  <r>
    <n v="595"/>
    <s v="F2"/>
    <x v="24"/>
    <s v="G000000400"/>
    <s v="SM-G MRE Total"/>
    <s v="G000000846"/>
    <s v="Rename/Move"/>
    <x v="0"/>
    <x v="0"/>
    <s v="MGF"/>
    <m/>
    <m/>
    <s v="Francesco Ricioppo"/>
  </r>
  <r>
    <n v="596"/>
    <s v="F2"/>
    <x v="24"/>
    <s v="G000000404"/>
    <s v="MRE GHM"/>
    <s v="G000000400"/>
    <s v="Rename/Move"/>
    <x v="0"/>
    <x v="0"/>
    <s v="MGF"/>
    <m/>
    <m/>
    <s v="Francesco Ricioppo"/>
  </r>
  <r>
    <n v="597"/>
    <s v="F2"/>
    <x v="24"/>
    <s v="G000000414"/>
    <s v="MRE all Buildings GHM"/>
    <s v="G000000404"/>
    <s v="Rename/Move"/>
    <x v="0"/>
    <x v="0"/>
    <s v="MGF"/>
    <m/>
    <m/>
    <s v="Francesco Ricioppo"/>
  </r>
  <r>
    <n v="598"/>
    <s v="F2"/>
    <x v="24"/>
    <s v="G000000415"/>
    <s v="MSM Buildings GHM"/>
    <s v="G000000414"/>
    <s v="Rename/Move"/>
    <x v="0"/>
    <x v="0"/>
    <s v="MGF"/>
    <m/>
    <m/>
    <s v="Francesco Ricioppo"/>
  </r>
  <r>
    <n v="599"/>
    <s v="F2"/>
    <x v="24"/>
    <s v="G000000417"/>
    <s v="Full Service"/>
    <s v="G000000415"/>
    <s v="Rename/Move"/>
    <x v="0"/>
    <x v="0"/>
    <s v="MGF"/>
    <m/>
    <m/>
    <s v="Francesco Ricioppo"/>
  </r>
  <r>
    <n v="600"/>
    <s v="F2"/>
    <x v="24"/>
    <s v="G000000443"/>
    <s v="Shell &amp; Core"/>
    <s v="G000000415"/>
    <s v="Rename/Move"/>
    <x v="0"/>
    <x v="0"/>
    <s v="MGF"/>
    <m/>
    <m/>
    <s v="Francesco Ricioppo"/>
  </r>
  <r>
    <n v="601"/>
    <s v="F2"/>
    <x v="24"/>
    <s v="G000000446"/>
    <s v="Lease &amp; Hold"/>
    <s v="G000000415"/>
    <s v="Rename/Move"/>
    <x v="0"/>
    <x v="0"/>
    <s v="MGF"/>
    <m/>
    <m/>
    <s v="Francesco Ricioppo"/>
  </r>
  <r>
    <n v="602"/>
    <s v="F2"/>
    <x v="24"/>
    <s v="G000000463"/>
    <s v="LS Buildings GHM"/>
    <s v="G000000414"/>
    <s v="Rename/Move"/>
    <x v="0"/>
    <x v="0"/>
    <s v="MGF"/>
    <m/>
    <m/>
    <s v="Francesco Ricioppo"/>
  </r>
  <r>
    <n v="603"/>
    <s v="F2"/>
    <x v="24"/>
    <s v="G000000464"/>
    <s v="Full Service"/>
    <s v="G000000463"/>
    <s v="Rename/Move"/>
    <x v="0"/>
    <x v="0"/>
    <s v="MGF"/>
    <m/>
    <m/>
    <s v="Francesco Ricioppo"/>
  </r>
  <r>
    <n v="604"/>
    <s v="F2"/>
    <x v="24"/>
    <s v="G000000467"/>
    <s v="Shell &amp; Core"/>
    <s v="G000000463"/>
    <s v="Rename/Move"/>
    <x v="0"/>
    <x v="0"/>
    <s v="MGF"/>
    <m/>
    <m/>
    <s v="Francesco Ricioppo"/>
  </r>
  <r>
    <n v="605"/>
    <s v="F2"/>
    <x v="24"/>
    <s v="G000000468"/>
    <s v="Lease &amp; Hold"/>
    <s v="G000000463"/>
    <s v="Rename/Move"/>
    <x v="0"/>
    <x v="0"/>
    <s v="MGF"/>
    <m/>
    <m/>
    <s v="Francesco Ricioppo"/>
  </r>
  <r>
    <n v="606"/>
    <s v="F2"/>
    <x v="24"/>
    <s v="G000000471"/>
    <s v="Susonity Buildings GHM"/>
    <s v="G000000414"/>
    <s v="Rename/Move"/>
    <x v="0"/>
    <x v="0"/>
    <s v="MGF"/>
    <m/>
    <m/>
    <s v="Francesco Ricioppo"/>
  </r>
  <r>
    <n v="607"/>
    <s v="F2"/>
    <x v="24"/>
    <s v="G000000511"/>
    <s v="Full Service"/>
    <s v="G000000471"/>
    <s v="Rename/Move"/>
    <x v="0"/>
    <x v="0"/>
    <s v="MGF"/>
    <m/>
    <m/>
    <s v="Francesco Ricioppo"/>
  </r>
  <r>
    <n v="608"/>
    <s v="F2"/>
    <x v="24"/>
    <s v="G000000512"/>
    <s v="Shell &amp; Core"/>
    <s v="G000000471"/>
    <s v="Rename/Move"/>
    <x v="0"/>
    <x v="0"/>
    <s v="MGF"/>
    <m/>
    <m/>
    <s v="Francesco Ricioppo"/>
  </r>
  <r>
    <n v="609"/>
    <s v="F2"/>
    <x v="24"/>
    <s v="G000000513"/>
    <s v="Lease &amp; Hold"/>
    <s v="G000000471"/>
    <s v="Rename/Move"/>
    <x v="0"/>
    <x v="0"/>
    <s v="MGF"/>
    <m/>
    <m/>
    <s v="Francesco Ricioppo"/>
  </r>
  <r>
    <n v="610"/>
    <s v="F2"/>
    <x v="24"/>
    <s v="G000000514"/>
    <s v="Open Areas GHM"/>
    <s v="G000000404"/>
    <s v="Rename/Move"/>
    <x v="0"/>
    <x v="0"/>
    <s v="MGF"/>
    <m/>
    <m/>
    <s v="Francesco Ricioppo"/>
  </r>
  <r>
    <n v="611"/>
    <s v="F2"/>
    <x v="24"/>
    <s v="G000000537"/>
    <s v="Allocation Cost Centers GHM"/>
    <s v="G000000404"/>
    <s v="Rename/Move"/>
    <x v="0"/>
    <x v="0"/>
    <s v="MGF"/>
    <m/>
    <m/>
    <s v="Francesco Ricioppo"/>
  </r>
  <r>
    <n v="612"/>
    <s v="F2"/>
    <x v="24"/>
    <s v="G000000869"/>
    <s v="KGaA GHM"/>
    <s v="G000000400"/>
    <s v="Rename/Move"/>
    <x v="0"/>
    <x v="0"/>
    <s v="MGF"/>
    <m/>
    <m/>
    <s v="Francesco Ricioppo"/>
  </r>
  <r>
    <n v="613"/>
    <s v="F2"/>
    <x v="24"/>
    <s v="G000000870"/>
    <s v="KGaA all Buildings GHM"/>
    <s v="G000000869"/>
    <s v="Rename/Move"/>
    <x v="0"/>
    <x v="0"/>
    <s v="MGF"/>
    <m/>
    <m/>
    <s v="Francesco Ricioppo"/>
  </r>
  <r>
    <n v="614"/>
    <s v="F2"/>
    <x v="24"/>
    <s v="G000000871"/>
    <s v="MSM Buildings GHM"/>
    <s v="G000000870"/>
    <s v="Rename/Move"/>
    <x v="0"/>
    <x v="0"/>
    <s v="MGF"/>
    <m/>
    <m/>
    <s v="Francesco Ricioppo"/>
  </r>
  <r>
    <n v="615"/>
    <s v="F2"/>
    <x v="24"/>
    <s v="G000000872"/>
    <s v="Full Service"/>
    <s v="G000000871"/>
    <s v="Rename/Move"/>
    <x v="0"/>
    <x v="0"/>
    <s v="MGF"/>
    <m/>
    <m/>
    <s v="Francesco Ricioppo"/>
  </r>
  <r>
    <n v="616"/>
    <s v="F2"/>
    <x v="24"/>
    <s v="G000000879"/>
    <s v="Shell &amp; Core"/>
    <s v="G000000871"/>
    <s v="Rename/Move"/>
    <x v="0"/>
    <x v="0"/>
    <s v="MGF"/>
    <m/>
    <m/>
    <s v="Francesco Ricioppo"/>
  </r>
  <r>
    <n v="617"/>
    <s v="F2"/>
    <x v="24"/>
    <s v="G000000880"/>
    <s v="Lease &amp; Hold"/>
    <s v="G000000871"/>
    <s v="Rename/Move"/>
    <x v="0"/>
    <x v="0"/>
    <s v="MGF"/>
    <m/>
    <m/>
    <s v="Francesco Ricioppo"/>
  </r>
  <r>
    <n v="618"/>
    <s v="F2"/>
    <x v="24"/>
    <s v="G000000881"/>
    <s v="LS Buildings GHM"/>
    <s v="G000000870"/>
    <s v="Rename/Move"/>
    <x v="0"/>
    <x v="0"/>
    <s v="MGF"/>
    <m/>
    <m/>
    <s v="Francesco Ricioppo"/>
  </r>
  <r>
    <n v="619"/>
    <s v="F2"/>
    <x v="24"/>
    <s v="G000000887"/>
    <s v="Full Service"/>
    <s v="G000000881"/>
    <s v="Rename/Move"/>
    <x v="0"/>
    <x v="0"/>
    <s v="MGF"/>
    <m/>
    <m/>
    <s v="Francesco Ricioppo"/>
  </r>
  <r>
    <n v="620"/>
    <s v="F2"/>
    <x v="24"/>
    <s v="G000000888"/>
    <s v="Shell &amp; Core"/>
    <s v="G000000881"/>
    <s v="Rename/Move"/>
    <x v="0"/>
    <x v="0"/>
    <s v="MGF"/>
    <m/>
    <m/>
    <s v="Francesco Ricioppo"/>
  </r>
  <r>
    <n v="621"/>
    <s v="F2"/>
    <x v="24"/>
    <s v="G000000915"/>
    <s v="Lease &amp; Hold"/>
    <s v="G000000881"/>
    <s v="Rename/Move"/>
    <x v="0"/>
    <x v="0"/>
    <s v="MGF"/>
    <m/>
    <m/>
    <s v="Francesco Ricioppo"/>
  </r>
  <r>
    <n v="622"/>
    <s v="F2"/>
    <x v="24"/>
    <s v="G000000949"/>
    <s v="Susonity Buildings GHM"/>
    <s v="G000000870"/>
    <s v="Rename/Move"/>
    <x v="0"/>
    <x v="0"/>
    <s v="MGF"/>
    <m/>
    <m/>
    <s v="Francesco Ricioppo"/>
  </r>
  <r>
    <n v="623"/>
    <s v="F2"/>
    <x v="24"/>
    <s v="G000000950"/>
    <s v="Full Service"/>
    <s v="G000000949"/>
    <s v="Rename/Move"/>
    <x v="0"/>
    <x v="0"/>
    <s v="MGF"/>
    <m/>
    <m/>
    <s v="Francesco Ricioppo"/>
  </r>
  <r>
    <n v="624"/>
    <s v="F2"/>
    <x v="24"/>
    <s v="G000000993"/>
    <s v="Shell &amp; Core"/>
    <s v="G000000949"/>
    <s v="Rename/Move"/>
    <x v="0"/>
    <x v="0"/>
    <s v="MGF"/>
    <m/>
    <m/>
    <s v="Francesco Ricioppo"/>
  </r>
  <r>
    <n v="625"/>
    <s v="F2"/>
    <x v="24"/>
    <s v="G000000996"/>
    <s v="Lease &amp; Hold"/>
    <s v="G000000949"/>
    <s v="Rename/Move"/>
    <x v="0"/>
    <x v="0"/>
    <s v="MGF"/>
    <m/>
    <m/>
    <s v="Francesco Ricioppo"/>
  </r>
  <r>
    <n v="626"/>
    <s v="F2"/>
    <x v="24"/>
    <s v="G000000997"/>
    <s v="Open Areas GHM"/>
    <s v="G000000869"/>
    <s v="Rename/Move"/>
    <x v="0"/>
    <x v="0"/>
    <s v="MGF"/>
    <m/>
    <m/>
    <s v="Francesco Ricioppo"/>
  </r>
  <r>
    <n v="627"/>
    <s v="F2"/>
    <x v="24"/>
    <s v="G000000998"/>
    <s v="KGaA Deconstruction"/>
    <s v="G000000869"/>
    <s v="Rename/Move"/>
    <x v="0"/>
    <x v="0"/>
    <s v="MGF"/>
    <m/>
    <m/>
    <s v="Francesco Ricioppo"/>
  </r>
  <r>
    <n v="628"/>
    <s v="F2"/>
    <x v="25"/>
    <s v="RDC0000138"/>
    <s v="NBE DMPK"/>
    <s v="RDC0000130"/>
    <s v="New"/>
    <x v="0"/>
    <x v="0"/>
    <s v="MGF"/>
    <m/>
    <m/>
    <s v="Erjo Miguel Tagle"/>
  </r>
  <r>
    <n v="629"/>
    <s v="F2"/>
    <x v="25"/>
    <s v="RDC0000139"/>
    <s v="NCE DMPK "/>
    <s v="RDC0000130"/>
    <s v="New"/>
    <x v="0"/>
    <x v="0"/>
    <s v="MGF"/>
    <m/>
    <m/>
    <s v="Erjo Miguel Tagle"/>
  </r>
  <r>
    <n v="630"/>
    <s v="F2"/>
    <x v="25"/>
    <s v="RDC0000141"/>
    <s v="ADC Technologies"/>
    <s v="RDC0000130"/>
    <s v="New"/>
    <x v="0"/>
    <x v="0"/>
    <s v="MGF"/>
    <m/>
    <m/>
    <s v="Erjo Miguel Tagle"/>
  </r>
  <r>
    <n v="631"/>
    <s v="F2"/>
    <x v="26"/>
    <s v="G000001375"/>
    <s v="FIT DS - DES DDIT"/>
    <s v="G000000001"/>
    <s v="New"/>
    <x v="0"/>
    <x v="0"/>
    <s v="MGF"/>
    <m/>
    <m/>
    <s v="Jojeff Tagnong"/>
  </r>
  <r>
    <n v="632"/>
    <s v="F2"/>
    <x v="26"/>
    <s v="G000001376"/>
    <s v="DS - MGF Reporting"/>
    <s v="G000001375"/>
    <s v="New"/>
    <x v="0"/>
    <x v="0"/>
    <s v="MGF"/>
    <m/>
    <m/>
    <s v="Jojeff Tagnong"/>
  </r>
  <r>
    <n v="633"/>
    <s v="F2"/>
    <x v="26"/>
    <s v="G000001377"/>
    <s v="DS - non-MGF Reporting"/>
    <s v="G000001375"/>
    <s v="New"/>
    <x v="0"/>
    <x v="0"/>
    <s v="MGF"/>
    <m/>
    <m/>
    <s v="Jojeff Tagnong"/>
  </r>
  <r>
    <n v="634"/>
    <s v="F2"/>
    <x v="26"/>
    <s v="G000001378"/>
    <s v="GWD DS - DES DDIT (L2)"/>
    <s v="G000001376"/>
    <s v="New"/>
    <x v="0"/>
    <x v="0"/>
    <s v="MGF"/>
    <m/>
    <m/>
    <s v="Jojeff Tagnong"/>
  </r>
  <r>
    <n v="635"/>
    <s v="F2"/>
    <x v="26"/>
    <s v="G000001379"/>
    <s v="FIT DS - Intercompany Charges"/>
    <s v="G000001377"/>
    <s v="New"/>
    <x v="0"/>
    <x v="0"/>
    <s v="MGF"/>
    <m/>
    <m/>
    <s v="Jojeff Tagnong"/>
  </r>
  <r>
    <n v="636"/>
    <s v="F2"/>
    <x v="26"/>
    <s v="G000001380"/>
    <s v="FIT DS - Exceptionals"/>
    <s v="G000001377"/>
    <s v="New"/>
    <x v="0"/>
    <x v="0"/>
    <s v="MGF"/>
    <m/>
    <m/>
    <s v="Jojeff Tagnong"/>
  </r>
  <r>
    <n v="637"/>
    <s v="F2"/>
    <x v="26"/>
    <s v="G000001381"/>
    <s v="GWE DS - DES Gov. and Transf. Office"/>
    <s v="G000001376"/>
    <s v="New"/>
    <x v="0"/>
    <x v="0"/>
    <s v="MGF"/>
    <m/>
    <m/>
    <s v="Jojeff Tagnong"/>
  </r>
  <r>
    <n v="638"/>
    <s v="F2"/>
    <x v="27"/>
    <s v="H000004364_x000a_"/>
    <m/>
    <s v="H000000562_x000a_"/>
    <s v="Move"/>
    <x v="0"/>
    <x v="0"/>
    <s v="HC"/>
    <m/>
    <m/>
    <s v="Julia Reifschneider"/>
  </r>
  <r>
    <n v="639"/>
    <s v="F3"/>
    <x v="28"/>
    <s v="H000004396"/>
    <s v="Rare Tumors"/>
    <s v="H000000000"/>
    <s v="New"/>
    <x v="0"/>
    <x v="0"/>
    <s v="HC"/>
    <m/>
    <m/>
    <s v="Henry Ifurung Jr."/>
  </r>
  <r>
    <n v="640"/>
    <s v="F3"/>
    <x v="29"/>
    <s v="P000000188"/>
    <m/>
    <s v="L000013447"/>
    <s v="Move"/>
    <x v="0"/>
    <x v="0"/>
    <s v="LS"/>
    <s v="renamed/moved"/>
    <m/>
    <s v="Roselle Delos Angeles"/>
  </r>
  <r>
    <n v="641"/>
    <s v="F3"/>
    <x v="29"/>
    <s v="P000000333"/>
    <m/>
    <s v="L000013447"/>
    <s v="Move"/>
    <x v="0"/>
    <x v="0"/>
    <s v="LS"/>
    <s v="renamed/moved"/>
    <m/>
    <s v="Roselle Delos Angeles"/>
  </r>
  <r>
    <n v="642"/>
    <s v="F3"/>
    <x v="30"/>
    <s v="H000004397"/>
    <s v="1954 AU Start-up Helvetia"/>
    <s v="H000000488"/>
    <s v="New"/>
    <x v="0"/>
    <x v="0"/>
    <s v="HC"/>
    <m/>
    <m/>
    <s v="Maria Victoria Reynoso Rodriguez"/>
  </r>
  <r>
    <n v="643"/>
    <s v="F3"/>
    <x v="31"/>
    <s v="G000000944"/>
    <m/>
    <s v="G000000873"/>
    <s v="Move"/>
    <x v="0"/>
    <x v="0"/>
    <s v="MGF"/>
    <s v="renamed/moved"/>
    <m/>
    <s v="John Mark Sandoy"/>
  </r>
  <r>
    <n v="644"/>
    <s v="F3"/>
    <x v="32"/>
    <s v="H000000729"/>
    <s v="Regulatory Affairs EU&amp;SIC"/>
    <m/>
    <s v="Rename"/>
    <x v="0"/>
    <x v="0"/>
    <s v="HC"/>
    <s v="renamed"/>
    <m/>
    <s v="Gay Geanuza del Mundo"/>
  </r>
  <r>
    <n v="645"/>
    <s v="F3"/>
    <x v="33"/>
    <s v="H000004398"/>
    <s v="SCALA_1022 RDO"/>
    <s v="H000000772"/>
    <s v="New"/>
    <x v="0"/>
    <x v="0"/>
    <s v="MGF"/>
    <s v="named and assigned"/>
    <m/>
    <s v="Erjo Miguel Tagle"/>
  </r>
  <r>
    <n v="646"/>
    <s v="F3"/>
    <x v="33"/>
    <s v="H000004399"/>
    <s v="SCALA_1820 Q319"/>
    <s v="H000000772"/>
    <s v="New"/>
    <x v="0"/>
    <x v="0"/>
    <s v="MGF"/>
    <s v="named and assigned"/>
    <m/>
    <s v="Erjo Miguel Tagle"/>
  </r>
  <r>
    <n v="647"/>
    <s v="F3"/>
    <x v="33"/>
    <s v="H000004400"/>
    <s v="SCALA_1820 Q326"/>
    <s v="H000000773"/>
    <s v="New"/>
    <x v="0"/>
    <x v="0"/>
    <s v="MGF"/>
    <s v="named and assigned"/>
    <m/>
    <s v="Erjo Miguel Tagle"/>
  </r>
  <r>
    <n v="648"/>
    <s v="F3"/>
    <x v="33"/>
    <s v="H000004401"/>
    <s v="SCALA_1248 VR00"/>
    <s v="H000000773"/>
    <s v="New"/>
    <x v="0"/>
    <x v="0"/>
    <s v="MGF"/>
    <s v="named and assigned"/>
    <m/>
    <s v="Erjo Miguel Tagle"/>
  </r>
  <r>
    <n v="649"/>
    <s v="F3"/>
    <x v="33"/>
    <s v="H000004402"/>
    <s v="SCALA_1826 450"/>
    <s v="H000004379"/>
    <s v="New"/>
    <x v="0"/>
    <x v="0"/>
    <s v="MGF"/>
    <s v="named and assigned"/>
    <m/>
    <s v="Erjo Miguel Tagle"/>
  </r>
  <r>
    <n v="650"/>
    <s v="F3"/>
    <x v="34"/>
    <s v="G000001387"/>
    <s v="EF-DS-TAI Intelligent Automation"/>
    <s v="G000000246"/>
    <s v="New"/>
    <x v="0"/>
    <x v="0"/>
    <s v="MGF"/>
    <s v="named and assigned"/>
    <m/>
    <s v="Jojeff Tagnong"/>
  </r>
  <r>
    <n v="651"/>
    <s v="F3"/>
    <x v="34"/>
    <s v="G000001388"/>
    <s v="EF-DS-TPR Global ERP GES BP"/>
    <s v="G000000340"/>
    <s v="New"/>
    <x v="0"/>
    <x v="0"/>
    <s v="MGF"/>
    <s v="named and assigned"/>
    <m/>
    <s v="Jojeff Tagnong"/>
  </r>
  <r>
    <n v="652"/>
    <s v="F3"/>
    <x v="34"/>
    <s v="G000001389"/>
    <s v="EF-DS-DD Data Science &amp; AI"/>
    <s v="G000001118"/>
    <s v="New"/>
    <x v="0"/>
    <x v="0"/>
    <s v="MGF"/>
    <s v="named and assigned"/>
    <m/>
    <s v="Jojeff Tagnong"/>
  </r>
  <r>
    <n v="653"/>
    <s v="F3"/>
    <x v="34"/>
    <s v="G000001390"/>
    <s v="EF-DS-DDC SBS-SLS CPI"/>
    <s v="G000001389"/>
    <s v="New"/>
    <x v="0"/>
    <x v="0"/>
    <s v="MGF"/>
    <s v="named and assigned"/>
    <m/>
    <s v="Jojeff Tagnong"/>
  </r>
  <r>
    <n v="654"/>
    <s v="F3"/>
    <x v="34"/>
    <s v="G000001391"/>
    <s v="EF-DS-DDD SBS-SLS Pricing Ops"/>
    <s v="G000001389"/>
    <s v="New"/>
    <x v="0"/>
    <x v="0"/>
    <s v="MGF"/>
    <s v="named and assigned"/>
    <m/>
    <s v="Jojeff Tagnong"/>
  </r>
  <r>
    <n v="655"/>
    <s v="F3"/>
    <x v="34"/>
    <s v="G000001392"/>
    <s v="EF-DS-DM Master Data Management"/>
    <s v="G000001118"/>
    <s v="New"/>
    <x v="0"/>
    <x v="0"/>
    <s v="MGF"/>
    <s v="named and assigned"/>
    <m/>
    <s v="Jojeff Tagnong"/>
  </r>
  <r>
    <n v="656"/>
    <s v="F3"/>
    <x v="34"/>
    <s v="G000001393"/>
    <s v="EF-DS-DME Master Data Excellence"/>
    <s v="G000001392"/>
    <s v="New"/>
    <x v="0"/>
    <x v="0"/>
    <s v="MGF"/>
    <s v="named and assigned"/>
    <m/>
    <s v="Jojeff Tagnong"/>
  </r>
  <r>
    <n v="657"/>
    <s v="F3"/>
    <x v="34"/>
    <s v="G000001394"/>
    <s v="EF-DS-DMF Finance Master Data &amp; Ref Data"/>
    <s v="G000001392"/>
    <s v="New"/>
    <x v="0"/>
    <x v="0"/>
    <s v="MGF"/>
    <s v="named and assigned"/>
    <m/>
    <s v="Jojeff Tagnong"/>
  </r>
  <r>
    <n v="658"/>
    <s v="F3"/>
    <x v="34"/>
    <s v="G000001395"/>
    <s v="EF-DS-DMG Global Material Master Data"/>
    <s v="G000001392"/>
    <s v="New"/>
    <x v="0"/>
    <x v="0"/>
    <s v="MGF"/>
    <s v="named and assigned"/>
    <m/>
    <s v="Jojeff Tagnong"/>
  </r>
  <r>
    <n v="659"/>
    <s v="F3"/>
    <x v="34"/>
    <s v="G000001396"/>
    <s v="EF-DS-DC Data &amp; AI Practices"/>
    <s v="G000001118"/>
    <s v="New"/>
    <x v="0"/>
    <x v="0"/>
    <s v="MGF"/>
    <s v="named and assigned"/>
    <m/>
    <s v="Jojeff Tagnong"/>
  </r>
  <r>
    <n v="660"/>
    <s v="F3"/>
    <x v="34"/>
    <s v="G000001397"/>
    <s v="EF-DS-DCA Agile Practice"/>
    <s v="G000001396"/>
    <s v="New"/>
    <x v="0"/>
    <x v="0"/>
    <s v="MGF"/>
    <s v="named and assigned"/>
    <m/>
    <s v="Jojeff Tagnong"/>
  </r>
  <r>
    <n v="661"/>
    <s v="F3"/>
    <x v="34"/>
    <s v="G000001398"/>
    <s v="EF-DS-DCD Data Warehouse Engr Practice"/>
    <s v="G000001396"/>
    <s v="New"/>
    <x v="0"/>
    <x v="0"/>
    <s v="MGF"/>
    <s v="named and assigned"/>
    <m/>
    <s v="Jojeff Tagnong"/>
  </r>
  <r>
    <n v="662"/>
    <s v="F3"/>
    <x v="34"/>
    <s v="G000001399"/>
    <s v="EF-DS-DCE Data Engineering Practice"/>
    <s v="G000001396"/>
    <s v="New"/>
    <x v="0"/>
    <x v="0"/>
    <s v="MGF"/>
    <s v="named and assigned"/>
    <m/>
    <s v="Jojeff Tagnong"/>
  </r>
  <r>
    <n v="663"/>
    <s v="F3"/>
    <x v="34"/>
    <s v="G000001400"/>
    <s v="EF-DS-DCI Insights Engineering Practice"/>
    <s v="G000001396"/>
    <s v="New"/>
    <x v="0"/>
    <x v="0"/>
    <s v="MGF"/>
    <s v="named and assigned"/>
    <m/>
    <s v="Jojeff Tagnong"/>
  </r>
  <r>
    <n v="664"/>
    <s v="F3"/>
    <x v="34"/>
    <s v="G000001401"/>
    <s v="EF-DS-DCM AI &amp; Machine Learning Practice"/>
    <s v="G000001396"/>
    <s v="New"/>
    <x v="0"/>
    <x v="0"/>
    <s v="MGF"/>
    <s v="named and assigned"/>
    <m/>
    <s v="Jojeff Tagnong"/>
  </r>
  <r>
    <n v="665"/>
    <s v="F3"/>
    <x v="34"/>
    <s v="G000001402"/>
    <s v="EF-DS-DCP Process Intelligence Practice"/>
    <s v="G000001396"/>
    <s v="New"/>
    <x v="0"/>
    <x v="0"/>
    <s v="MGF"/>
    <s v="named and assigned"/>
    <m/>
    <s v="Jojeff Tagnong"/>
  </r>
  <r>
    <n v="666"/>
    <s v="F3"/>
    <x v="34"/>
    <s v="G000001403"/>
    <s v="EF-DS-DCU UPTIMIZE Platf. Engr Practice"/>
    <s v="G000001396"/>
    <s v="New"/>
    <x v="0"/>
    <x v="0"/>
    <s v="MGF"/>
    <s v="named and assigned"/>
    <m/>
    <s v="Jojeff Tagnong"/>
  </r>
  <r>
    <n v="667"/>
    <s v="F3"/>
    <x v="34"/>
    <s v="G000001404"/>
    <s v="EF-DS-DG Data &amp; AI Governance"/>
    <s v="G000001118"/>
    <s v="New"/>
    <x v="0"/>
    <x v="0"/>
    <s v="MGF"/>
    <s v="named and assigned"/>
    <m/>
    <s v="Jojeff Tagnong"/>
  </r>
  <r>
    <n v="668"/>
    <s v="F3"/>
    <x v="34"/>
    <s v="G000001405"/>
    <s v="EF-DS-DI Data Culture"/>
    <s v="G000001118"/>
    <s v="New"/>
    <x v="0"/>
    <x v="0"/>
    <s v="MGF"/>
    <s v="named and assigned"/>
    <m/>
    <s v="Jojeff Tagnong"/>
  </r>
  <r>
    <n v="669"/>
    <s v="F3"/>
    <x v="34"/>
    <s v="G000001406"/>
    <s v="EF-DS-DIT"/>
    <s v="G000001405"/>
    <s v="New"/>
    <x v="0"/>
    <x v="0"/>
    <s v="MGF"/>
    <s v="named and assigned"/>
    <m/>
    <s v="Jojeff Tagnong"/>
  </r>
  <r>
    <n v="670"/>
    <s v="F3"/>
    <x v="34"/>
    <s v="G000001407"/>
    <s v="EF-DS-DP Data &amp; AI Products"/>
    <s v="G000001118"/>
    <s v="New"/>
    <x v="0"/>
    <x v="0"/>
    <s v="MGF"/>
    <s v="named and assigned"/>
    <m/>
    <s v="Jojeff Tagnong"/>
  </r>
  <r>
    <n v="671"/>
    <s v="F3"/>
    <x v="34"/>
    <s v="G000001408"/>
    <s v="EF-DS-DPA Data Analytics &amp; AI Portfolio"/>
    <s v="G000001407"/>
    <s v="New"/>
    <x v="0"/>
    <x v="0"/>
    <s v="MGF"/>
    <s v="named and assigned"/>
    <m/>
    <s v="Jojeff Tagnong"/>
  </r>
  <r>
    <n v="672"/>
    <s v="F3"/>
    <x v="34"/>
    <s v="G000001409"/>
    <s v="EF-DS-DPD Data Products Portfolio"/>
    <s v="G000001407"/>
    <s v="New"/>
    <x v="0"/>
    <x v="0"/>
    <s v="MGF"/>
    <s v="named and assigned"/>
    <m/>
    <s v="Jojeff Tagnong"/>
  </r>
  <r>
    <n v="673"/>
    <s v="F3"/>
    <x v="34"/>
    <s v="G000001410"/>
    <s v="EF-DS-DPE Data &amp; AI Archi. &amp; Excellence?"/>
    <s v="G000001407"/>
    <s v="New"/>
    <x v="0"/>
    <x v="0"/>
    <s v="MGF"/>
    <s v="named and assigned"/>
    <m/>
    <s v="Jojeff Tagnong"/>
  </r>
  <r>
    <n v="674"/>
    <s v="F3"/>
    <x v="34"/>
    <s v="G000001411"/>
    <s v="EF-DS-DPF Data &amp; AI Financial Management"/>
    <s v="G000001407"/>
    <s v="New"/>
    <x v="0"/>
    <x v="0"/>
    <s v="MGF"/>
    <s v="named and assigned"/>
    <m/>
    <s v="Jojeff Tagnong"/>
  </r>
  <r>
    <n v="675"/>
    <s v="F3"/>
    <x v="34"/>
    <s v="G000001412"/>
    <s v="EF-DS-DPL Data Platform Portfolio"/>
    <s v="G000001407"/>
    <s v="New"/>
    <x v="0"/>
    <x v="0"/>
    <s v="MGF"/>
    <s v="named and assigned"/>
    <m/>
    <s v="Jojeff Tagnong"/>
  </r>
  <r>
    <n v="676"/>
    <s v="F3"/>
    <x v="34"/>
    <s v="G000001413"/>
    <s v="EF-DS-DS Data &amp; AI Strategy"/>
    <s v="G000001118"/>
    <s v="New"/>
    <x v="0"/>
    <x v="0"/>
    <s v="MGF"/>
    <s v="named and assigned"/>
    <m/>
    <s v="Jojeff Tagnong"/>
  </r>
  <r>
    <n v="677"/>
    <s v="F3"/>
    <x v="34"/>
    <s v="G000001414"/>
    <s v="EF-DS-DT Data &amp; AI Tech Innovation"/>
    <s v="G000001118"/>
    <s v="New"/>
    <x v="0"/>
    <x v="0"/>
    <s v="MGF"/>
    <s v="named and assigned"/>
    <m/>
    <s v="Jojeff Tagnong"/>
  </r>
  <r>
    <n v="678"/>
    <s v="F3"/>
    <x v="34"/>
    <s v="G000001415"/>
    <s v="EF-DS-DTA Data &amp; AI Tech Innovation A"/>
    <s v="G000001414"/>
    <s v="New"/>
    <x v="0"/>
    <x v="0"/>
    <s v="MGF"/>
    <s v="named and assigned"/>
    <m/>
    <s v="Jojeff Tagnong"/>
  </r>
  <r>
    <n v="679"/>
    <s v="F3"/>
    <x v="34"/>
    <s v="G000001416"/>
    <s v="EF-DS-SE Integrated Process Excellence"/>
    <s v="G000001381"/>
    <s v="New"/>
    <x v="0"/>
    <x v="0"/>
    <s v="MGF"/>
    <s v="named and assigned"/>
    <m/>
    <s v="Jojeff Tagnong"/>
  </r>
  <r>
    <n v="680"/>
    <s v="F3"/>
    <x v="34"/>
    <s v="G000001417"/>
    <s v="EF-DS-SGB DDIT Sustainability Management"/>
    <s v="G000000726"/>
    <s v="New"/>
    <x v="0"/>
    <x v="0"/>
    <s v="MGF"/>
    <s v="named and assigned"/>
    <m/>
    <s v="Jojeff Tagnong"/>
  </r>
  <r>
    <n v="681"/>
    <s v="F3"/>
    <x v="34"/>
    <s v="G000001418"/>
    <s v="EF-DS-SGM IT Mergers &amp; Acquisition"/>
    <s v="G000000726"/>
    <s v="New"/>
    <x v="0"/>
    <x v="0"/>
    <s v="MGF"/>
    <s v="named and assigned"/>
    <m/>
    <s v="Jojeff Tagnong"/>
  </r>
  <r>
    <n v="682"/>
    <s v="F3"/>
    <x v="34"/>
    <s v="G000001419"/>
    <s v="EF-DS-SI Integr &amp; Transformation Project"/>
    <s v="G000001381"/>
    <s v="New"/>
    <x v="0"/>
    <x v="0"/>
    <s v="MGF"/>
    <s v="named and assigned"/>
    <m/>
    <s v="Jojeff Tagnong"/>
  </r>
  <r>
    <n v="683"/>
    <s v="F3"/>
    <x v="34"/>
    <s v="G000001420"/>
    <s v="EF-DS-SIY Program &amp; Proj Portfolio Mgmt."/>
    <s v="G000001419"/>
    <s v="New"/>
    <x v="0"/>
    <x v="0"/>
    <s v="MGF"/>
    <s v="named and assigned"/>
    <m/>
    <s v="Jojeff Tagnong"/>
  </r>
  <r>
    <n v="684"/>
    <s v="F3"/>
    <x v="34"/>
    <s v="G000001421"/>
    <s v="EF-DS-SOY Strategy Activation"/>
    <s v="G000000789"/>
    <s v="New"/>
    <x v="0"/>
    <x v="0"/>
    <s v="MGF"/>
    <s v="named and assigned"/>
    <m/>
    <s v="Jojeff Tagnong"/>
  </r>
  <r>
    <n v="685"/>
    <s v="F3"/>
    <x v="34"/>
    <s v="G000001422"/>
    <s v="EF-DS-SV Strategic Intel &amp; ValueCreation"/>
    <s v="G000001381"/>
    <s v="New"/>
    <x v="0"/>
    <x v="0"/>
    <s v="MGF"/>
    <s v="named and assigned"/>
    <m/>
    <s v="Jojeff Tagnong"/>
  </r>
  <r>
    <n v="686"/>
    <s v="F3"/>
    <x v="34"/>
    <s v="IT06021800"/>
    <s v="EF-DS-TAI Intelligent Automation"/>
    <s v="G000001387"/>
    <s v="New"/>
    <x v="0"/>
    <x v="0"/>
    <s v="MGF"/>
    <s v="named and assigned"/>
    <m/>
    <s v="Jojeff Tagnong"/>
  </r>
  <r>
    <n v="687"/>
    <s v="F3"/>
    <x v="34"/>
    <s v="IT06101000"/>
    <s v="EF-DS-TPR Global ERP GES BP"/>
    <s v="G000001388"/>
    <s v="New"/>
    <x v="0"/>
    <x v="0"/>
    <s v="MGF"/>
    <s v="named and assigned"/>
    <m/>
    <s v="Jojeff Tagnong"/>
  </r>
  <r>
    <n v="688"/>
    <s v="F3"/>
    <x v="34"/>
    <s v="IT07020000"/>
    <s v="EF-DS-DD Data Science &amp; AI"/>
    <s v="G000001389"/>
    <s v="New"/>
    <x v="0"/>
    <x v="0"/>
    <s v="MGF"/>
    <s v="named and assigned"/>
    <m/>
    <s v="Jojeff Tagnong"/>
  </r>
  <r>
    <n v="689"/>
    <s v="F3"/>
    <x v="34"/>
    <s v="IT07020100"/>
    <s v="EF-DS-DDC SBS-SLS CPI"/>
    <s v="G000001390"/>
    <s v="New"/>
    <x v="0"/>
    <x v="0"/>
    <s v="MGF"/>
    <s v="named and assigned"/>
    <m/>
    <s v="Jojeff Tagnong"/>
  </r>
  <r>
    <n v="690"/>
    <s v="F3"/>
    <x v="34"/>
    <s v="IT07020200"/>
    <s v="EF-DS-DDD SBS-SLS Pricing Ops"/>
    <s v="G000001391"/>
    <s v="New"/>
    <x v="0"/>
    <x v="0"/>
    <s v="MGF"/>
    <s v="named and assigned"/>
    <m/>
    <s v="Jojeff Tagnong"/>
  </r>
  <r>
    <n v="691"/>
    <s v="F3"/>
    <x v="34"/>
    <s v="IT07030000"/>
    <s v="EF-DS-DM Master Data Management"/>
    <s v="G000001392"/>
    <s v="New"/>
    <x v="0"/>
    <x v="0"/>
    <s v="MGF"/>
    <s v="named and assigned"/>
    <m/>
    <s v="Jojeff Tagnong"/>
  </r>
  <r>
    <n v="692"/>
    <s v="F3"/>
    <x v="34"/>
    <s v="IT07030100"/>
    <s v="EF-DS-DME Master Data Excellence"/>
    <s v="G000001393"/>
    <s v="New"/>
    <x v="0"/>
    <x v="0"/>
    <s v="MGF"/>
    <s v="named and assigned"/>
    <m/>
    <s v="Jojeff Tagnong"/>
  </r>
  <r>
    <n v="693"/>
    <s v="F3"/>
    <x v="34"/>
    <s v="IT07030200"/>
    <s v="EF-DS-DMF Finance Master Data &amp; Ref Data"/>
    <s v="G000001394"/>
    <s v="New"/>
    <x v="0"/>
    <x v="0"/>
    <s v="MGF"/>
    <s v="named and assigned"/>
    <m/>
    <s v="Jojeff Tagnong"/>
  </r>
  <r>
    <n v="694"/>
    <s v="F3"/>
    <x v="34"/>
    <s v="IT07030300"/>
    <s v="EF-DS-DMG Global Material Master Data"/>
    <s v="G000001395"/>
    <s v="New"/>
    <x v="0"/>
    <x v="0"/>
    <s v="MGF"/>
    <s v="named and assigned"/>
    <m/>
    <s v="Jojeff Tagnong"/>
  </r>
  <r>
    <n v="695"/>
    <s v="F3"/>
    <x v="34"/>
    <s v="IT07040000"/>
    <s v="EF-DS-DC Data &amp; AI Practices"/>
    <s v="G000001396"/>
    <s v="New"/>
    <x v="0"/>
    <x v="0"/>
    <s v="MGF"/>
    <s v="named and assigned"/>
    <m/>
    <s v="Jojeff Tagnong"/>
  </r>
  <r>
    <n v="696"/>
    <s v="F3"/>
    <x v="34"/>
    <s v="IT07040100"/>
    <s v="EF-DS-DCA Agile Practice"/>
    <s v="G000001397"/>
    <s v="New"/>
    <x v="0"/>
    <x v="0"/>
    <s v="MGF"/>
    <s v="named and assigned"/>
    <m/>
    <s v="Jojeff Tagnong"/>
  </r>
  <r>
    <n v="697"/>
    <s v="F3"/>
    <x v="34"/>
    <s v="IT07040200"/>
    <s v="EF-DS-DCD Data Warehouse Engr Practice"/>
    <s v="G000001398"/>
    <s v="New"/>
    <x v="0"/>
    <x v="0"/>
    <s v="MGF"/>
    <s v="named and assigned"/>
    <m/>
    <s v="Jojeff Tagnong"/>
  </r>
  <r>
    <n v="698"/>
    <s v="F3"/>
    <x v="34"/>
    <s v="IT07040300"/>
    <s v="EF-DS-DCE Data Engineering Practice"/>
    <s v="G000001399"/>
    <s v="New"/>
    <x v="0"/>
    <x v="0"/>
    <s v="MGF"/>
    <s v="named and assigned"/>
    <m/>
    <s v="Jojeff Tagnong"/>
  </r>
  <r>
    <n v="699"/>
    <s v="F3"/>
    <x v="34"/>
    <s v="IT07040400"/>
    <s v="EF-DS-DCI Insights Engineering Practice"/>
    <s v="G000001400"/>
    <s v="New"/>
    <x v="0"/>
    <x v="0"/>
    <s v="MGF"/>
    <s v="named and assigned"/>
    <m/>
    <s v="Jojeff Tagnong"/>
  </r>
  <r>
    <n v="700"/>
    <s v="F3"/>
    <x v="34"/>
    <s v="IT07040500"/>
    <s v="EF-DS-DCM AI &amp; Machine Learning Practice"/>
    <s v="G000001401"/>
    <s v="New"/>
    <x v="0"/>
    <x v="0"/>
    <s v="MGF"/>
    <s v="named and assigned"/>
    <m/>
    <s v="Jojeff Tagnong"/>
  </r>
  <r>
    <n v="701"/>
    <s v="F3"/>
    <x v="34"/>
    <s v="IT07040600"/>
    <s v="EF-DS-DCP Process Intelligence Practice"/>
    <s v="G000001402"/>
    <s v="New"/>
    <x v="0"/>
    <x v="0"/>
    <s v="MGF"/>
    <s v="named and assigned"/>
    <m/>
    <s v="Jojeff Tagnong"/>
  </r>
  <r>
    <n v="702"/>
    <s v="F3"/>
    <x v="34"/>
    <s v="IT07040700"/>
    <s v="EF-DS-DCU UPTIMIZE Platf. Engr Practice"/>
    <s v="G000001403"/>
    <s v="New"/>
    <x v="0"/>
    <x v="0"/>
    <s v="MGF"/>
    <s v="named and assigned"/>
    <m/>
    <s v="Jojeff Tagnong"/>
  </r>
  <r>
    <n v="703"/>
    <s v="F3"/>
    <x v="34"/>
    <s v="IT07050000"/>
    <s v="EF-DS-DG Data &amp; AI Governance"/>
    <s v="G000001404"/>
    <s v="New"/>
    <x v="0"/>
    <x v="0"/>
    <s v="MGF"/>
    <s v="named and assigned"/>
    <m/>
    <s v="Jojeff Tagnong"/>
  </r>
  <r>
    <n v="704"/>
    <s v="F3"/>
    <x v="34"/>
    <s v="IT07060000"/>
    <s v="EF-DS-DI Data Culture"/>
    <s v="G000001405"/>
    <s v="New"/>
    <x v="0"/>
    <x v="0"/>
    <s v="MGF"/>
    <s v="named and assigned"/>
    <m/>
    <s v="Jojeff Tagnong"/>
  </r>
  <r>
    <n v="705"/>
    <s v="F3"/>
    <x v="34"/>
    <s v="IT07060100"/>
    <s v="EF-DS-DIT"/>
    <s v="G000001406"/>
    <s v="New"/>
    <x v="0"/>
    <x v="0"/>
    <s v="MGF"/>
    <s v="named and assigned"/>
    <m/>
    <s v="Jojeff Tagnong"/>
  </r>
  <r>
    <n v="706"/>
    <s v="F3"/>
    <x v="34"/>
    <s v="IT07070000"/>
    <s v="EF-DS-DP Data &amp; AI Products"/>
    <s v="G000001407"/>
    <s v="New"/>
    <x v="0"/>
    <x v="0"/>
    <s v="MGF"/>
    <s v="named and assigned"/>
    <m/>
    <s v="Jojeff Tagnong"/>
  </r>
  <r>
    <n v="707"/>
    <s v="F3"/>
    <x v="34"/>
    <s v="IT07070100"/>
    <s v="EF-DS-DPA Data Analytics &amp; AI Portfolio"/>
    <s v="G000001408"/>
    <s v="New"/>
    <x v="0"/>
    <x v="0"/>
    <s v="MGF"/>
    <s v="named and assigned"/>
    <m/>
    <s v="Jojeff Tagnong"/>
  </r>
  <r>
    <n v="708"/>
    <s v="F3"/>
    <x v="34"/>
    <s v="IT07070200"/>
    <s v="EF-DS-DPD Data Products Portfolio"/>
    <s v="G000001409"/>
    <s v="New"/>
    <x v="0"/>
    <x v="0"/>
    <s v="MGF"/>
    <s v="named and assigned"/>
    <m/>
    <s v="Jojeff Tagnong"/>
  </r>
  <r>
    <n v="709"/>
    <s v="F3"/>
    <x v="34"/>
    <s v="IT07070300"/>
    <s v="EF-DS-DPE Data &amp; AI Archi. &amp; Excellence?"/>
    <s v="G000001410"/>
    <s v="New"/>
    <x v="0"/>
    <x v="0"/>
    <s v="MGF"/>
    <s v="named and assigned"/>
    <m/>
    <s v="Jojeff Tagnong"/>
  </r>
  <r>
    <n v="710"/>
    <s v="F3"/>
    <x v="34"/>
    <s v="IT07070400"/>
    <s v="EF-DS-DPF Data &amp; AI Financial Management"/>
    <s v="G000001411"/>
    <s v="New"/>
    <x v="0"/>
    <x v="0"/>
    <s v="MGF"/>
    <s v="named and assigned"/>
    <m/>
    <s v="Jojeff Tagnong"/>
  </r>
  <r>
    <n v="711"/>
    <s v="F3"/>
    <x v="34"/>
    <s v="IT07070500"/>
    <s v="EF-DS-DPL Data Platform Portfolio"/>
    <s v="G000001412"/>
    <s v="New"/>
    <x v="0"/>
    <x v="0"/>
    <s v="MGF"/>
    <s v="named and assigned"/>
    <m/>
    <s v="Jojeff Tagnong"/>
  </r>
  <r>
    <n v="712"/>
    <s v="F3"/>
    <x v="34"/>
    <s v="IT07080000"/>
    <s v="EF-DS-DS Data &amp; AI Strategy"/>
    <s v="G000001413"/>
    <s v="New"/>
    <x v="0"/>
    <x v="0"/>
    <s v="MGF"/>
    <s v="named and assigned"/>
    <m/>
    <s v="Jojeff Tagnong"/>
  </r>
  <r>
    <n v="713"/>
    <s v="F3"/>
    <x v="34"/>
    <s v="IT07090000"/>
    <s v="EF-DS-DT Data &amp; AI Tech Innovation"/>
    <s v="G000001414"/>
    <s v="New"/>
    <x v="0"/>
    <x v="0"/>
    <s v="MGF"/>
    <s v="named and assigned"/>
    <m/>
    <s v="Jojeff Tagnong"/>
  </r>
  <r>
    <n v="714"/>
    <s v="F3"/>
    <x v="34"/>
    <s v="IT07090100"/>
    <s v="EF-DS-DTA Data &amp; AI Tech Innovation A"/>
    <s v="G000001415"/>
    <s v="New"/>
    <x v="0"/>
    <x v="0"/>
    <s v="MGF"/>
    <s v="named and assigned"/>
    <m/>
    <s v="Jojeff Tagnong"/>
  </r>
  <r>
    <n v="715"/>
    <s v="F3"/>
    <x v="34"/>
    <s v="IT09000000"/>
    <s v="EF-DS-S DES Strategy, Gover. &amp; Transf"/>
    <s v="G000001381"/>
    <s v="New"/>
    <x v="0"/>
    <x v="0"/>
    <s v="MGF"/>
    <s v="done"/>
    <m/>
    <s v="Jojeff Tagnong"/>
  </r>
  <r>
    <n v="716"/>
    <s v="F3"/>
    <x v="34"/>
    <s v="IT09010000"/>
    <s v="EF-DS-SE Integrated Process Excellence"/>
    <s v="G000001416"/>
    <s v="New"/>
    <x v="0"/>
    <x v="0"/>
    <s v="MGF"/>
    <s v="named and assigned"/>
    <m/>
    <s v="Jojeff Tagnong"/>
  </r>
  <r>
    <n v="717"/>
    <s v="F3"/>
    <x v="34"/>
    <s v="IT09020200"/>
    <s v="EF-DS-SGB DDIT Sustainability Management"/>
    <s v="G000001417"/>
    <s v="New"/>
    <x v="0"/>
    <x v="0"/>
    <s v="MGF"/>
    <s v="named and assigned"/>
    <m/>
    <s v="Jojeff Tagnong"/>
  </r>
  <r>
    <n v="718"/>
    <s v="F3"/>
    <x v="34"/>
    <s v="IT09020300"/>
    <s v="EF-DS-SGM IT Mergers &amp; Acquisition"/>
    <s v="G000001418"/>
    <s v="New"/>
    <x v="0"/>
    <x v="0"/>
    <s v="MGF"/>
    <s v="named and assigned"/>
    <m/>
    <s v="Jojeff Tagnong"/>
  </r>
  <r>
    <n v="719"/>
    <s v="F3"/>
    <x v="34"/>
    <s v="IT09030000"/>
    <s v="EF-DS-SI Integr &amp; Transformation Project"/>
    <s v="G000001419"/>
    <s v="New"/>
    <x v="0"/>
    <x v="0"/>
    <s v="MGF"/>
    <s v="named and assigned"/>
    <m/>
    <s v="Jojeff Tagnong"/>
  </r>
  <r>
    <n v="720"/>
    <s v="F3"/>
    <x v="34"/>
    <s v="IT09030100"/>
    <s v="EF-DS-SIY Program &amp; Proj Portfolio Mgmt."/>
    <s v="G000001420"/>
    <s v="New"/>
    <x v="0"/>
    <x v="0"/>
    <s v="MGF"/>
    <s v="named and assigned"/>
    <m/>
    <s v="Jojeff Tagnong"/>
  </r>
  <r>
    <n v="721"/>
    <s v="F3"/>
    <x v="34"/>
    <s v="IT09040000"/>
    <s v="EF-DS-SO SGT Office, Comm &amp; Portf Mgmt"/>
    <s v="G000000789"/>
    <s v="New"/>
    <x v="0"/>
    <x v="0"/>
    <s v="MGF"/>
    <s v="named and assigned"/>
    <m/>
    <s v="Jojeff Tagnong"/>
  </r>
  <r>
    <n v="722"/>
    <s v="F3"/>
    <x v="34"/>
    <s v="IT09040100"/>
    <s v="EF-DS-SOD DDIT Portfolio Mgmt &amp; Projects"/>
    <s v="G000000838"/>
    <s v="New"/>
    <x v="0"/>
    <x v="0"/>
    <s v="MGF"/>
    <s v="named and assigned"/>
    <m/>
    <s v="Jojeff Tagnong"/>
  </r>
  <r>
    <n v="723"/>
    <s v="F3"/>
    <x v="34"/>
    <s v="IT09040200"/>
    <s v="EF-DS-SOS Change Management"/>
    <s v="G000000839"/>
    <s v="New"/>
    <x v="0"/>
    <x v="0"/>
    <s v="MGF"/>
    <s v="named and assigned"/>
    <m/>
    <s v="Jojeff Tagnong"/>
  </r>
  <r>
    <n v="724"/>
    <s v="F3"/>
    <x v="34"/>
    <s v="IT09040300"/>
    <s v="EF-DS-SOY Strategy Activation"/>
    <s v="G000001421"/>
    <s v="New"/>
    <x v="0"/>
    <x v="0"/>
    <s v="MGF"/>
    <s v="named and assigned"/>
    <m/>
    <s v="Jojeff Tagnong"/>
  </r>
  <r>
    <n v="725"/>
    <s v="F3"/>
    <x v="34"/>
    <s v="IT09050000"/>
    <s v="EF-DS-SV Strategic Intel &amp; ValueCreation"/>
    <s v="G000001422"/>
    <s v="New"/>
    <x v="0"/>
    <x v="0"/>
    <s v="MGF"/>
    <s v="named and assigned"/>
    <m/>
    <s v="Jojeff Tagnong"/>
  </r>
  <r>
    <n v="726"/>
    <s v="F3"/>
    <x v="34"/>
    <s v="G000000244"/>
    <s v="EF-DS-T Group IT_I"/>
    <m/>
    <s v="Rename"/>
    <x v="0"/>
    <x v="0"/>
    <s v="MGF"/>
    <s v="renamed"/>
    <m/>
    <s v="Jojeff Tagnong"/>
  </r>
  <r>
    <n v="727"/>
    <s v="F3"/>
    <x v="34"/>
    <s v="IT06000000"/>
    <s v="EF-DS-T Group IT"/>
    <m/>
    <s v="Rename"/>
    <x v="0"/>
    <x v="0"/>
    <s v="MGF"/>
    <s v="renamed"/>
    <m/>
    <s v="Jojeff Tagnong"/>
  </r>
  <r>
    <n v="728"/>
    <s v="F3"/>
    <x v="34"/>
    <s v="G000000245"/>
    <s v="EF-DS-TC Head Office &amp; CISO"/>
    <m/>
    <s v="Rename"/>
    <x v="0"/>
    <x v="0"/>
    <s v="MGF"/>
    <s v="renamed"/>
    <m/>
    <s v="Jojeff Tagnong"/>
  </r>
  <r>
    <n v="729"/>
    <s v="F3"/>
    <x v="34"/>
    <s v="G000000627"/>
    <s v="EF-DS-TC Head Office &amp; CISO_I"/>
    <m/>
    <s v="Rename"/>
    <x v="0"/>
    <x v="0"/>
    <s v="MGF"/>
    <s v="renamed"/>
    <m/>
    <s v="Jojeff Tagnong"/>
  </r>
  <r>
    <n v="730"/>
    <s v="F3"/>
    <x v="34"/>
    <s v="IT06010000"/>
    <s v="EF-DS-TC Head Office &amp; CISO"/>
    <m/>
    <s v="Rename"/>
    <x v="0"/>
    <x v="0"/>
    <s v="MGF"/>
    <s v="renamed"/>
    <m/>
    <s v="Jojeff Tagnong"/>
  </r>
  <r>
    <n v="731"/>
    <s v="F3"/>
    <x v="34"/>
    <s v="G000000246"/>
    <s v="EF-DS-TA Application Technology"/>
    <m/>
    <s v="Rename"/>
    <x v="0"/>
    <x v="0"/>
    <s v="MGF"/>
    <s v="renamed"/>
    <m/>
    <s v="Jojeff Tagnong"/>
  </r>
  <r>
    <n v="732"/>
    <s v="F3"/>
    <x v="34"/>
    <s v="G000000247"/>
    <s v="EF-DS-TA Application Technology_I"/>
    <m/>
    <s v="Rename"/>
    <x v="0"/>
    <x v="0"/>
    <s v="MGF"/>
    <s v="renamed"/>
    <m/>
    <s v="Jojeff Tagnong"/>
  </r>
  <r>
    <n v="733"/>
    <s v="F3"/>
    <x v="34"/>
    <s v="IT06020000"/>
    <s v="EF-DS-TA Application Technology"/>
    <m/>
    <s v="Rename"/>
    <x v="0"/>
    <x v="0"/>
    <s v="MGF"/>
    <s v="renamed"/>
    <m/>
    <s v="Jojeff Tagnong"/>
  </r>
  <r>
    <n v="734"/>
    <s v="F3"/>
    <x v="34"/>
    <s v="G000000253"/>
    <s v="EF-DS-TAM Manufacturing, SCM &amp; Quality"/>
    <m/>
    <s v="Rename"/>
    <x v="0"/>
    <x v="0"/>
    <s v="MGF"/>
    <s v="renamed"/>
    <m/>
    <s v="Jojeff Tagnong"/>
  </r>
  <r>
    <n v="735"/>
    <s v="F3"/>
    <x v="34"/>
    <s v="IT06020600"/>
    <s v="EF-DS-TAM Manufacturing, SCM &amp; Quality"/>
    <m/>
    <s v="Rename"/>
    <x v="0"/>
    <x v="0"/>
    <s v="MGF"/>
    <s v="renamed"/>
    <m/>
    <s v="Jojeff Tagnong"/>
  </r>
  <r>
    <n v="736"/>
    <s v="F3"/>
    <x v="34"/>
    <s v="G000000255"/>
    <s v="EF-DS-TAR R&amp;D"/>
    <m/>
    <s v="Rename"/>
    <x v="0"/>
    <x v="0"/>
    <s v="MGF"/>
    <s v="renamed"/>
    <m/>
    <s v="Jojeff Tagnong"/>
  </r>
  <r>
    <n v="737"/>
    <s v="F3"/>
    <x v="34"/>
    <s v="IT06020800"/>
    <s v="EF-DS-TAR R&amp;D"/>
    <m/>
    <s v="Rename"/>
    <x v="0"/>
    <x v="0"/>
    <s v="MGF"/>
    <s v="renamed"/>
    <m/>
    <s v="Jojeff Tagnong"/>
  </r>
  <r>
    <n v="738"/>
    <s v="F3"/>
    <x v="34"/>
    <s v="G000000256"/>
    <s v="EF-DS-TAS Marketing &amp; Sales"/>
    <m/>
    <s v="Rename"/>
    <x v="0"/>
    <x v="0"/>
    <s v="MGF"/>
    <s v="renamed"/>
    <m/>
    <s v="Jojeff Tagnong"/>
  </r>
  <r>
    <n v="739"/>
    <s v="F3"/>
    <x v="34"/>
    <s v="IT06020900"/>
    <s v="EF-DS-TAS Marketing &amp; Sales"/>
    <m/>
    <s v="Rename"/>
    <x v="0"/>
    <x v="0"/>
    <s v="MGF"/>
    <s v="renamed"/>
    <m/>
    <s v="Jojeff Tagnong"/>
  </r>
  <r>
    <n v="740"/>
    <s v="F3"/>
    <x v="34"/>
    <s v="G000000736"/>
    <s v="EF-DS-TAC Custom Apps &amp; New Technology"/>
    <m/>
    <s v="Rename"/>
    <x v="0"/>
    <x v="0"/>
    <s v="MGF"/>
    <s v="renamed"/>
    <m/>
    <s v="Jojeff Tagnong"/>
  </r>
  <r>
    <n v="741"/>
    <s v="F3"/>
    <x v="34"/>
    <s v="IT06021200"/>
    <s v="EF-DS-TAC Custom Apps &amp; New Technology"/>
    <m/>
    <s v="Rename"/>
    <x v="0"/>
    <x v="0"/>
    <s v="MGF"/>
    <s v="renamed"/>
    <m/>
    <s v="Jojeff Tagnong"/>
  </r>
  <r>
    <n v="742"/>
    <s v="F3"/>
    <x v="34"/>
    <s v="G000000893"/>
    <s v="EF-DS-TAT Automation Strategy"/>
    <m/>
    <s v="Rename"/>
    <x v="0"/>
    <x v="0"/>
    <s v="MGF"/>
    <s v="renamed"/>
    <m/>
    <s v="Jojeff Tagnong"/>
  </r>
  <r>
    <n v="743"/>
    <s v="F3"/>
    <x v="34"/>
    <s v="IT06021400"/>
    <s v="EF-DS-TAT Automation Strategy"/>
    <m/>
    <s v="Rename"/>
    <x v="0"/>
    <x v="0"/>
    <s v="MGF"/>
    <s v="renamed"/>
    <m/>
    <s v="Jojeff Tagnong"/>
  </r>
  <r>
    <n v="744"/>
    <s v="F3"/>
    <x v="34"/>
    <s v="G000001099"/>
    <s v="EF-DS-TAZ IT-App Tech CoE"/>
    <m/>
    <s v="Rename"/>
    <x v="0"/>
    <x v="0"/>
    <s v="MGF"/>
    <s v="renamed"/>
    <m/>
    <s v="Jojeff Tagnong"/>
  </r>
  <r>
    <n v="745"/>
    <s v="F3"/>
    <x v="34"/>
    <s v="IT06021500"/>
    <s v="EF-DS-TAZ IT-App Tech CoE"/>
    <m/>
    <s v="Rename"/>
    <x v="0"/>
    <x v="0"/>
    <s v="MGF"/>
    <s v="renamed"/>
    <m/>
    <s v="Jojeff Tagnong"/>
  </r>
  <r>
    <n v="746"/>
    <s v="F3"/>
    <x v="34"/>
    <s v="G000000272"/>
    <s v="EF-DS-TI Infrastructure Technology"/>
    <m/>
    <s v="Rename"/>
    <x v="0"/>
    <x v="0"/>
    <s v="MGF"/>
    <s v="renamed"/>
    <m/>
    <s v="Jojeff Tagnong"/>
  </r>
  <r>
    <n v="747"/>
    <s v="F3"/>
    <x v="34"/>
    <s v="G000000273"/>
    <s v="EF-DS-TI Infrastructure Technology_I"/>
    <m/>
    <s v="Rename"/>
    <x v="0"/>
    <x v="0"/>
    <s v="MGF"/>
    <s v="renamed"/>
    <m/>
    <s v="Jojeff Tagnong"/>
  </r>
  <r>
    <n v="748"/>
    <s v="F3"/>
    <x v="34"/>
    <s v="IT06040000"/>
    <s v="EF-DS-TI Infrastructure Technology"/>
    <m/>
    <s v="Rename"/>
    <x v="0"/>
    <x v="0"/>
    <s v="MGF"/>
    <s v="renamed"/>
    <m/>
    <s v="Jojeff Tagnong"/>
  </r>
  <r>
    <n v="749"/>
    <s v="F3"/>
    <x v="34"/>
    <s v="G000000275"/>
    <s v="EF-DS-TIP Portfolio &amp; Performance Mgmt"/>
    <m/>
    <s v="Rename"/>
    <x v="0"/>
    <x v="0"/>
    <s v="MGF"/>
    <s v="renamed"/>
    <m/>
    <s v="Jojeff Tagnong"/>
  </r>
  <r>
    <n v="750"/>
    <s v="F3"/>
    <x v="34"/>
    <s v="IT06040200"/>
    <s v="EF-DS-TIP Portfolio &amp; Performance Mgmt"/>
    <m/>
    <s v="Rename"/>
    <x v="0"/>
    <x v="0"/>
    <s v="MGF"/>
    <s v="renamed"/>
    <m/>
    <s v="Jojeff Tagnong"/>
  </r>
  <r>
    <n v="751"/>
    <s v="F3"/>
    <x v="34"/>
    <s v="G000000276"/>
    <s v="EF-DS-TIK Data Center &amp; Cloud Strategy"/>
    <m/>
    <s v="Rename"/>
    <x v="0"/>
    <x v="0"/>
    <s v="MGF"/>
    <s v="renamed"/>
    <m/>
    <s v="Jojeff Tagnong"/>
  </r>
  <r>
    <n v="752"/>
    <s v="F3"/>
    <x v="34"/>
    <s v="IT06040300"/>
    <s v="EF-DS-TIK Data Center &amp; Cloud Strategy"/>
    <m/>
    <s v="Rename"/>
    <x v="0"/>
    <x v="0"/>
    <s v="MGF"/>
    <s v="renamed"/>
    <m/>
    <s v="Jojeff Tagnong"/>
  </r>
  <r>
    <n v="753"/>
    <s v="F3"/>
    <x v="34"/>
    <s v="G000000277"/>
    <s v="EF-DS-TID Network Management"/>
    <m/>
    <s v="Rename"/>
    <x v="0"/>
    <x v="0"/>
    <s v="MGF"/>
    <s v="renamed"/>
    <m/>
    <s v="Jojeff Tagnong"/>
  </r>
  <r>
    <n v="754"/>
    <s v="F3"/>
    <x v="34"/>
    <s v="IT06040500"/>
    <s v="EF-DS-TID Network Management"/>
    <m/>
    <s v="Rename"/>
    <x v="0"/>
    <x v="0"/>
    <s v="MGF"/>
    <s v="renamed"/>
    <m/>
    <s v="Jojeff Tagnong"/>
  </r>
  <r>
    <n v="755"/>
    <s v="F3"/>
    <x v="34"/>
    <s v="G000000279"/>
    <s v="EF-DS-TIF Digital Plant Infrastructure"/>
    <m/>
    <s v="Rename"/>
    <x v="0"/>
    <x v="0"/>
    <s v="MGF"/>
    <s v="renamed"/>
    <m/>
    <s v="Jojeff Tagnong"/>
  </r>
  <r>
    <n v="756"/>
    <s v="F3"/>
    <x v="34"/>
    <s v="IT06041000"/>
    <s v="EF-DS-TIF Digital Plant Infrastructure"/>
    <m/>
    <s v="Rename"/>
    <x v="0"/>
    <x v="0"/>
    <s v="MGF"/>
    <s v="renamed"/>
    <m/>
    <s v="Jojeff Tagnong"/>
  </r>
  <r>
    <n v="757"/>
    <s v="F3"/>
    <x v="34"/>
    <s v="G000000282"/>
    <s v="EF-DS-TIW Digital Workplace"/>
    <m/>
    <s v="Rename"/>
    <x v="0"/>
    <x v="0"/>
    <s v="MGF"/>
    <s v="renamed"/>
    <m/>
    <s v="Jojeff Tagnong"/>
  </r>
  <r>
    <n v="758"/>
    <s v="F3"/>
    <x v="34"/>
    <s v="IT06042100"/>
    <s v="EF-DS-TIW Digital Workplace"/>
    <m/>
    <s v="Rename"/>
    <x v="0"/>
    <x v="0"/>
    <s v="MGF"/>
    <s v="renamed"/>
    <m/>
    <s v="Jojeff Tagnong"/>
  </r>
  <r>
    <n v="759"/>
    <s v="F3"/>
    <x v="34"/>
    <s v="G000000895"/>
    <s v="EF-DS-TIT Technology Office"/>
    <m/>
    <s v="Rename"/>
    <x v="0"/>
    <x v="0"/>
    <s v="MGF"/>
    <s v="renamed"/>
    <m/>
    <s v="Jojeff Tagnong"/>
  </r>
  <r>
    <n v="760"/>
    <s v="F3"/>
    <x v="34"/>
    <s v="IT06042400"/>
    <s v="EF-DS-TIT Technology Office"/>
    <m/>
    <s v="Rename"/>
    <x v="0"/>
    <x v="0"/>
    <s v="MGF"/>
    <s v="renamed"/>
    <m/>
    <s v="Jojeff Tagnong"/>
  </r>
  <r>
    <n v="761"/>
    <s v="F3"/>
    <x v="34"/>
    <s v="G000001240"/>
    <s v="EF-DS-TIO Technology Platform Operations"/>
    <m/>
    <s v="Rename"/>
    <x v="0"/>
    <x v="0"/>
    <s v="MGF"/>
    <s v="renamed"/>
    <m/>
    <s v="Jojeff Tagnong"/>
  </r>
  <r>
    <n v="762"/>
    <s v="F3"/>
    <x v="34"/>
    <s v="IT06042500"/>
    <s v="EF-DS-TIO Technology Platform Operations"/>
    <m/>
    <s v="Rename"/>
    <x v="0"/>
    <x v="0"/>
    <s v="MGF"/>
    <s v="renamed"/>
    <m/>
    <s v="Jojeff Tagnong"/>
  </r>
  <r>
    <n v="763"/>
    <s v="F3"/>
    <x v="34"/>
    <s v="G000000317"/>
    <s v="EF-DS-TE DDIT - EF"/>
    <m/>
    <s v="Rename"/>
    <x v="0"/>
    <x v="0"/>
    <s v="MGF"/>
    <s v="renamed"/>
    <m/>
    <s v="Jojeff Tagnong"/>
  </r>
  <r>
    <n v="764"/>
    <s v="F3"/>
    <x v="34"/>
    <s v="G000000318"/>
    <s v="EF-DS-TE DDIT - EF"/>
    <m/>
    <s v="Rename"/>
    <x v="0"/>
    <x v="0"/>
    <s v="MGF"/>
    <s v="renamed"/>
    <m/>
    <s v="Jojeff Tagnong"/>
  </r>
  <r>
    <n v="765"/>
    <s v="F3"/>
    <x v="34"/>
    <s v="IT06070000"/>
    <s v="EF-DS-TE DDIT - EF"/>
    <m/>
    <s v="Rename"/>
    <x v="0"/>
    <x v="0"/>
    <s v="MGF"/>
    <s v="renamed"/>
    <m/>
    <s v="Jojeff Tagnong"/>
  </r>
  <r>
    <n v="766"/>
    <s v="F3"/>
    <x v="34"/>
    <s v="G000000324"/>
    <s v="EF-DS-TET Portfolio, Tranf. &amp; Performanc"/>
    <m/>
    <s v="Rename"/>
    <x v="0"/>
    <x v="0"/>
    <s v="MGF"/>
    <s v="renamed"/>
    <m/>
    <s v="Jojeff Tagnong"/>
  </r>
  <r>
    <n v="767"/>
    <s v="F3"/>
    <x v="34"/>
    <s v="IT06070600"/>
    <s v="EF-DS-TET Portfolio, Tranf. &amp; Performanc"/>
    <m/>
    <s v="Rename"/>
    <x v="0"/>
    <x v="0"/>
    <s v="MGF"/>
    <s v="renamed"/>
    <m/>
    <s v="Jojeff Tagnong"/>
  </r>
  <r>
    <n v="768"/>
    <s v="F3"/>
    <x v="34"/>
    <s v="G000000325"/>
    <s v="EF-DS-TEH DDIT - HR &amp; Other EF"/>
    <m/>
    <s v="Rename"/>
    <x v="0"/>
    <x v="0"/>
    <s v="MGF"/>
    <s v="renamed"/>
    <m/>
    <s v="Jojeff Tagnong"/>
  </r>
  <r>
    <n v="769"/>
    <s v="F3"/>
    <x v="34"/>
    <s v="IT06070700"/>
    <s v="EF-DS-TEH DDIT - HR &amp; Other EF"/>
    <m/>
    <s v="Rename"/>
    <x v="0"/>
    <x v="0"/>
    <s v="MGF"/>
    <s v="renamed"/>
    <m/>
    <s v="Jojeff Tagnong"/>
  </r>
  <r>
    <n v="770"/>
    <s v="F3"/>
    <x v="34"/>
    <s v="G000000786"/>
    <s v="EF-DS-TEF DDIT - Finance"/>
    <m/>
    <s v="Rename"/>
    <x v="0"/>
    <x v="0"/>
    <s v="MGF"/>
    <s v="renamed"/>
    <m/>
    <s v="Jojeff Tagnong"/>
  </r>
  <r>
    <n v="771"/>
    <s v="F3"/>
    <x v="34"/>
    <s v="IT06071100"/>
    <s v="EF-DS-TEF DDIT - Finance"/>
    <m/>
    <s v="Rename"/>
    <x v="0"/>
    <x v="0"/>
    <s v="MGF"/>
    <s v="renamed"/>
    <m/>
    <s v="Jojeff Tagnong"/>
  </r>
  <r>
    <n v="772"/>
    <s v="F3"/>
    <x v="34"/>
    <s v="G000001123"/>
    <s v="EF-DS-TED Data Office Enabling Functions"/>
    <m/>
    <s v="Rename"/>
    <x v="0"/>
    <x v="0"/>
    <s v="MGF"/>
    <s v="renamed"/>
    <m/>
    <s v="Jojeff Tagnong"/>
  </r>
  <r>
    <n v="773"/>
    <s v="F3"/>
    <x v="34"/>
    <s v="IT06071400"/>
    <s v="EF-DS-TED Data Office Enabling Functions"/>
    <m/>
    <s v="Rename"/>
    <x v="0"/>
    <x v="0"/>
    <s v="MGF"/>
    <s v="renamed"/>
    <m/>
    <s v="Jojeff Tagnong"/>
  </r>
  <r>
    <n v="774"/>
    <s v="F3"/>
    <x v="34"/>
    <s v="G000001233"/>
    <s v="EF-DS-TEA EF Group Applications"/>
    <m/>
    <s v="Rename"/>
    <x v="0"/>
    <x v="0"/>
    <s v="MGF"/>
    <s v="renamed"/>
    <m/>
    <s v="Jojeff Tagnong"/>
  </r>
  <r>
    <n v="775"/>
    <s v="F3"/>
    <x v="34"/>
    <s v="IT06071800"/>
    <s v="EF-DS-TEA EF Group Applications"/>
    <m/>
    <s v="Rename"/>
    <x v="0"/>
    <x v="0"/>
    <s v="MGF"/>
    <s v="renamed"/>
    <m/>
    <s v="Jojeff Tagnong"/>
  </r>
  <r>
    <n v="776"/>
    <s v="F3"/>
    <x v="34"/>
    <s v="G000001234"/>
    <s v="EF-DS-TEI MITC Management"/>
    <m/>
    <s v="Rename"/>
    <x v="0"/>
    <x v="0"/>
    <s v="MGF"/>
    <s v="renamed"/>
    <m/>
    <s v="Jojeff Tagnong"/>
  </r>
  <r>
    <n v="777"/>
    <s v="F3"/>
    <x v="34"/>
    <s v="IT06071900"/>
    <s v="EF-DS-TEI MITC Management"/>
    <m/>
    <s v="Rename"/>
    <x v="0"/>
    <x v="0"/>
    <s v="MGF"/>
    <s v="renamed"/>
    <m/>
    <s v="Jojeff Tagnong"/>
  </r>
  <r>
    <n v="778"/>
    <s v="F3"/>
    <x v="34"/>
    <s v="G000001276"/>
    <s v="EF-DS-TEG MBS &amp; Procurement"/>
    <m/>
    <s v="Rename"/>
    <x v="0"/>
    <x v="0"/>
    <s v="MGF"/>
    <s v="renamed"/>
    <m/>
    <s v="Jojeff Tagnong"/>
  </r>
  <r>
    <n v="779"/>
    <s v="F3"/>
    <x v="34"/>
    <s v="IT06072000"/>
    <s v="EF-DS-TEG MBS &amp; Procurement"/>
    <m/>
    <s v="Rename"/>
    <x v="0"/>
    <x v="0"/>
    <s v="MGF"/>
    <s v="renamed"/>
    <m/>
    <s v="Jojeff Tagnong"/>
  </r>
  <r>
    <n v="780"/>
    <s v="F3"/>
    <x v="34"/>
    <s v="G000001277"/>
    <s v="EF-DS-TEO Strategy &amp; Transformation"/>
    <m/>
    <s v="Rename"/>
    <x v="0"/>
    <x v="0"/>
    <s v="MGF"/>
    <s v="renamed"/>
    <m/>
    <s v="Jojeff Tagnong"/>
  </r>
  <r>
    <n v="781"/>
    <s v="F3"/>
    <x v="34"/>
    <s v="IT06072100"/>
    <s v="EF-DS-TEO Strategy &amp; Transformation"/>
    <m/>
    <s v="Rename"/>
    <x v="0"/>
    <x v="0"/>
    <s v="MGF"/>
    <s v="renamed"/>
    <m/>
    <s v="Jojeff Tagnong"/>
  </r>
  <r>
    <n v="782"/>
    <s v="F3"/>
    <x v="34"/>
    <s v="G000001278"/>
    <s v="EF-DS-TEX Architechture &amp; Security"/>
    <m/>
    <s v="Rename"/>
    <x v="0"/>
    <x v="0"/>
    <s v="MGF"/>
    <s v="renamed"/>
    <m/>
    <s v="Jojeff Tagnong"/>
  </r>
  <r>
    <n v="783"/>
    <s v="F3"/>
    <x v="34"/>
    <s v="IT06072200"/>
    <s v="EF-DS-TEX Architechture &amp; Security"/>
    <m/>
    <s v="Rename"/>
    <x v="0"/>
    <x v="0"/>
    <s v="MGF"/>
    <s v="renamed"/>
    <m/>
    <s v="Jojeff Tagnong"/>
  </r>
  <r>
    <n v="784"/>
    <s v="F3"/>
    <x v="34"/>
    <s v="G000000336"/>
    <s v="EF-DS-TX IT Special Topics"/>
    <m/>
    <s v="Rename"/>
    <x v="0"/>
    <x v="0"/>
    <s v="MGF"/>
    <s v="renamed"/>
    <m/>
    <s v="Jojeff Tagnong"/>
  </r>
  <r>
    <n v="785"/>
    <s v="F3"/>
    <x v="34"/>
    <s v="G000000337"/>
    <s v="EF-DS-TXE Elevate IT"/>
    <m/>
    <s v="Rename"/>
    <x v="0"/>
    <x v="0"/>
    <s v="MGF"/>
    <s v="renamed"/>
    <m/>
    <s v="Jojeff Tagnong"/>
  </r>
  <r>
    <n v="786"/>
    <s v="F3"/>
    <x v="34"/>
    <s v="IT06090100"/>
    <s v="EF-DS-TXE Elevate IT"/>
    <m/>
    <s v="Rename"/>
    <x v="0"/>
    <x v="0"/>
    <s v="MGF"/>
    <s v="renamed"/>
    <m/>
    <s v="Jojeff Tagnong"/>
  </r>
  <r>
    <n v="787"/>
    <s v="F3"/>
    <x v="34"/>
    <s v="G000000338"/>
    <s v="EF-DS-TXS Integration"/>
    <m/>
    <s v="Rename"/>
    <x v="0"/>
    <x v="0"/>
    <s v="MGF"/>
    <s v="renamed"/>
    <m/>
    <s v="Jojeff Tagnong"/>
  </r>
  <r>
    <n v="788"/>
    <s v="F3"/>
    <x v="34"/>
    <s v="IT06090200"/>
    <s v="EF-DS-TXS Integration"/>
    <m/>
    <s v="Rename"/>
    <x v="0"/>
    <x v="0"/>
    <s v="MGF"/>
    <s v="renamed"/>
    <m/>
    <s v="Jojeff Tagnong"/>
  </r>
  <r>
    <n v="789"/>
    <s v="F3"/>
    <x v="34"/>
    <s v="G000000339"/>
    <s v="EF-DS-TXV Various"/>
    <m/>
    <s v="Rename"/>
    <x v="0"/>
    <x v="0"/>
    <s v="MGF"/>
    <s v="renamed"/>
    <m/>
    <s v="Jojeff Tagnong"/>
  </r>
  <r>
    <n v="790"/>
    <s v="F3"/>
    <x v="34"/>
    <s v="IT06090300"/>
    <s v="EF-DS-TXV Various"/>
    <m/>
    <s v="Rename"/>
    <x v="0"/>
    <x v="0"/>
    <s v="MGF"/>
    <s v="renamed"/>
    <m/>
    <s v="Jojeff Tagnong"/>
  </r>
  <r>
    <n v="791"/>
    <s v="F3"/>
    <x v="34"/>
    <s v="G000000744"/>
    <s v="EF-DS-TX IT Special Topics_I"/>
    <m/>
    <s v="Rename"/>
    <x v="0"/>
    <x v="0"/>
    <s v="MGF"/>
    <s v="renamed"/>
    <m/>
    <s v="Jojeff Tagnong"/>
  </r>
  <r>
    <n v="792"/>
    <s v="F3"/>
    <x v="34"/>
    <s v="IT06090000"/>
    <s v="EF-DS-TX IT Special Topics"/>
    <m/>
    <s v="Rename"/>
    <x v="0"/>
    <x v="0"/>
    <s v="MGF"/>
    <s v="renamed"/>
    <m/>
    <s v="Jojeff Tagnong"/>
  </r>
  <r>
    <n v="793"/>
    <s v="F3"/>
    <x v="34"/>
    <s v="G000000340"/>
    <s v="EF-DS-TP Global ERP"/>
    <m/>
    <s v="Rename"/>
    <x v="0"/>
    <x v="0"/>
    <s v="MGF"/>
    <s v="renamed"/>
    <m/>
    <s v="Jojeff Tagnong"/>
  </r>
  <r>
    <n v="794"/>
    <s v="F3"/>
    <x v="34"/>
    <s v="G000000341"/>
    <s v="EF-DS-TP Global ERP_I"/>
    <m/>
    <s v="Rename"/>
    <x v="0"/>
    <x v="0"/>
    <s v="MGF"/>
    <s v="renamed"/>
    <m/>
    <s v="Jojeff Tagnong"/>
  </r>
  <r>
    <n v="795"/>
    <s v="F3"/>
    <x v="34"/>
    <s v="IT06100000"/>
    <s v="EF-DS-TP Global ERP"/>
    <m/>
    <s v="Rename"/>
    <x v="0"/>
    <x v="0"/>
    <s v="MGF"/>
    <s v="renamed"/>
    <m/>
    <s v="Jojeff Tagnong"/>
  </r>
  <r>
    <n v="796"/>
    <s v="F3"/>
    <x v="34"/>
    <s v="G000000342"/>
    <s v="EF-DS-TPC SAP Center of Competence"/>
    <m/>
    <s v="Rename"/>
    <x v="0"/>
    <x v="0"/>
    <s v="MGF"/>
    <s v="renamed"/>
    <m/>
    <s v="Jojeff Tagnong"/>
  </r>
  <r>
    <n v="797"/>
    <s v="F3"/>
    <x v="34"/>
    <s v="IT06100100"/>
    <s v="EF-DS-TPC SAP Center of Competence"/>
    <m/>
    <s v="Rename"/>
    <x v="0"/>
    <x v="0"/>
    <s v="MGF"/>
    <s v="renamed"/>
    <m/>
    <s v="Jojeff Tagnong"/>
  </r>
  <r>
    <n v="798"/>
    <s v="F3"/>
    <x v="34"/>
    <s v="G000001235"/>
    <s v="EF-DS-TPA Corporate ERP Apps"/>
    <m/>
    <s v="Rename"/>
    <x v="0"/>
    <x v="0"/>
    <s v="MGF"/>
    <s v="renamed"/>
    <m/>
    <s v="Jojeff Tagnong"/>
  </r>
  <r>
    <n v="799"/>
    <s v="F3"/>
    <x v="34"/>
    <s v="IT06100600"/>
    <s v="EF-DS-TPA Corporate ERP Apps"/>
    <m/>
    <s v="Rename"/>
    <x v="0"/>
    <x v="0"/>
    <s v="MGF"/>
    <s v="renamed"/>
    <m/>
    <s v="Jojeff Tagnong"/>
  </r>
  <r>
    <n v="800"/>
    <s v="F3"/>
    <x v="34"/>
    <s v="G000001238"/>
    <s v="EF-DS-TPB Strategy Realisation &amp; BTP"/>
    <m/>
    <s v="Rename"/>
    <x v="0"/>
    <x v="0"/>
    <s v="MGF"/>
    <s v="renamed"/>
    <m/>
    <s v="Jojeff Tagnong"/>
  </r>
  <r>
    <n v="801"/>
    <s v="F3"/>
    <x v="34"/>
    <s v="IT06100700"/>
    <s v="EF-DS-TPB Strategy Realisation &amp; BTP"/>
    <m/>
    <s v="Rename"/>
    <x v="0"/>
    <x v="0"/>
    <s v="MGF"/>
    <s v="renamed"/>
    <m/>
    <s v="Jojeff Tagnong"/>
  </r>
  <r>
    <n v="802"/>
    <s v="F3"/>
    <x v="34"/>
    <s v="G000001239"/>
    <s v="EF-DS-TPD Data Migration &amp; Integration"/>
    <m/>
    <s v="Rename"/>
    <x v="0"/>
    <x v="0"/>
    <s v="MGF"/>
    <s v="renamed"/>
    <m/>
    <s v="Jojeff Tagnong"/>
  </r>
  <r>
    <n v="803"/>
    <s v="F3"/>
    <x v="34"/>
    <s v="IT06100800"/>
    <s v="EF-DS-TPD Data Migration &amp; Integration"/>
    <m/>
    <s v="Rename"/>
    <x v="0"/>
    <x v="0"/>
    <s v="MGF"/>
    <s v="renamed"/>
    <m/>
    <s v="Jojeff Tagnong"/>
  </r>
  <r>
    <n v="804"/>
    <s v="F3"/>
    <x v="34"/>
    <s v="G000001356"/>
    <s v="EF-DS-TPX ERP Architecture &amp; X-Services"/>
    <m/>
    <s v="Rename"/>
    <x v="0"/>
    <x v="0"/>
    <s v="MGF"/>
    <s v="renamed"/>
    <m/>
    <s v="Jojeff Tagnong"/>
  </r>
  <r>
    <n v="805"/>
    <s v="F3"/>
    <x v="34"/>
    <s v="IT06100900"/>
    <s v="EF-DS-TPX ERP Architecture &amp; X-Services"/>
    <m/>
    <s v="Rename"/>
    <x v="0"/>
    <x v="0"/>
    <s v="MGF"/>
    <s v="renamed"/>
    <m/>
    <s v="Jojeff Tagnong"/>
  </r>
  <r>
    <n v="806"/>
    <s v="F3"/>
    <x v="34"/>
    <s v="G000000346"/>
    <s v="EF-DS-TY IT-Decentral"/>
    <m/>
    <s v="Rename"/>
    <x v="0"/>
    <x v="0"/>
    <s v="MGF"/>
    <s v="renamed"/>
    <m/>
    <s v="Jojeff Tagnong"/>
  </r>
  <r>
    <n v="807"/>
    <s v="F3"/>
    <x v="34"/>
    <s v="G000000347"/>
    <s v="EF-DS-TYL Decentral LS"/>
    <m/>
    <s v="Rename"/>
    <x v="0"/>
    <x v="0"/>
    <s v="MGF"/>
    <s v="renamed"/>
    <m/>
    <s v="Jojeff Tagnong"/>
  </r>
  <r>
    <n v="808"/>
    <s v="F3"/>
    <x v="34"/>
    <s v="G000000751"/>
    <s v="EF-DS-TYL Decentral LS_I"/>
    <m/>
    <s v="Rename"/>
    <x v="0"/>
    <x v="0"/>
    <s v="MGF"/>
    <s v="renamed"/>
    <m/>
    <s v="Jojeff Tagnong"/>
  </r>
  <r>
    <n v="809"/>
    <s v="F3"/>
    <x v="34"/>
    <s v="IT06900100"/>
    <s v="EF-DS-TYL Decentral LS"/>
    <m/>
    <s v="Rename"/>
    <x v="0"/>
    <x v="0"/>
    <s v="MGF"/>
    <s v="renamed"/>
    <m/>
    <s v="Jojeff Tagnong"/>
  </r>
  <r>
    <n v="810"/>
    <s v="F3"/>
    <x v="34"/>
    <s v="G000000750"/>
    <s v="EF-DS-TY IT-Decentral_I"/>
    <m/>
    <s v="Rename"/>
    <x v="0"/>
    <x v="0"/>
    <s v="MGF"/>
    <s v="renamed"/>
    <m/>
    <s v="Jojeff Tagnong"/>
  </r>
  <r>
    <n v="811"/>
    <s v="F3"/>
    <x v="34"/>
    <s v="IT06900000"/>
    <s v="EF-DS-TY IT-Decentral"/>
    <m/>
    <s v="Rename"/>
    <x v="0"/>
    <x v="0"/>
    <s v="MGF"/>
    <s v="renamed"/>
    <m/>
    <s v="Jojeff Tagnong"/>
  </r>
  <r>
    <n v="812"/>
    <s v="F3"/>
    <x v="34"/>
    <s v="IT07000000"/>
    <s v="EF-DS-D Merck Data &amp; AI Organization"/>
    <m/>
    <s v="Rename"/>
    <x v="0"/>
    <x v="0"/>
    <s v="MGF"/>
    <s v="renamed"/>
    <m/>
    <s v="Jojeff Tagnong"/>
  </r>
  <r>
    <n v="813"/>
    <s v="F3"/>
    <x v="34"/>
    <s v="L000013388"/>
    <s v="LS-DI Life Science Data, Digital &amp; IT"/>
    <m/>
    <s v="Rename"/>
    <x v="0"/>
    <x v="0"/>
    <s v="MGF"/>
    <s v="renamed"/>
    <m/>
    <s v="Jojeff Tagnong"/>
  </r>
  <r>
    <n v="814"/>
    <s v="F3"/>
    <x v="34"/>
    <s v="L000013775"/>
    <s v="LS-DI Life Science Data, Digital &amp; IT"/>
    <m/>
    <s v="Rename"/>
    <x v="0"/>
    <x v="0"/>
    <s v="MGF"/>
    <s v="renamed"/>
    <m/>
    <s v="Jojeff Tagnong"/>
  </r>
  <r>
    <n v="815"/>
    <s v="F3"/>
    <x v="34"/>
    <s v="L000013389"/>
    <s v="LS-DI Life Science Data, Digital &amp; IT_I"/>
    <m/>
    <s v="Rename"/>
    <x v="0"/>
    <x v="0"/>
    <s v="MGF"/>
    <s v="renamed"/>
    <m/>
    <s v="Jojeff Tagnong"/>
  </r>
  <r>
    <n v="816"/>
    <s v="F3"/>
    <x v="34"/>
    <s v="IT06050000"/>
    <s v="LS-DI Life Science Data, Digital &amp; IT"/>
    <m/>
    <s v="Rename"/>
    <x v="0"/>
    <x v="0"/>
    <s v="MGF"/>
    <s v="renamed"/>
    <m/>
    <s v="Jojeff Tagnong"/>
  </r>
  <r>
    <n v="817"/>
    <s v="F3"/>
    <x v="34"/>
    <s v="L000013390"/>
    <s v="LS-DI-I Manufacturing &amp; QC Lab Operation"/>
    <m/>
    <s v="Rename"/>
    <x v="0"/>
    <x v="0"/>
    <s v="MGF"/>
    <s v="renamed"/>
    <m/>
    <s v="Jojeff Tagnong"/>
  </r>
  <r>
    <n v="818"/>
    <s v="F3"/>
    <x v="34"/>
    <s v="IT06050300"/>
    <s v="LS-DI-I Manufacturing &amp; QC Lab Operation"/>
    <m/>
    <s v="Rename"/>
    <x v="0"/>
    <x v="0"/>
    <s v="MGF"/>
    <s v="renamed"/>
    <m/>
    <s v="Jojeff Tagnong"/>
  </r>
  <r>
    <n v="819"/>
    <s v="F3"/>
    <x v="34"/>
    <s v="L000013391"/>
    <s v="LS-DI-N Life Science ERP"/>
    <m/>
    <s v="Rename"/>
    <x v="0"/>
    <x v="0"/>
    <s v="MGF"/>
    <s v="renamed"/>
    <m/>
    <s v="Jojeff Tagnong"/>
  </r>
  <r>
    <n v="820"/>
    <s v="F3"/>
    <x v="34"/>
    <s v="IT06050400"/>
    <s v="LS-DI-N Life Science ERP"/>
    <m/>
    <s v="Rename"/>
    <x v="0"/>
    <x v="0"/>
    <s v="MGF"/>
    <s v="renamed"/>
    <m/>
    <s v="Jojeff Tagnong"/>
  </r>
  <r>
    <n v="821"/>
    <s v="F3"/>
    <x v="34"/>
    <s v="L000013392"/>
    <s v="LS-DI-S S&amp;T, Performance &amp; Porfolio Mgmt"/>
    <m/>
    <s v="Rename"/>
    <x v="0"/>
    <x v="0"/>
    <s v="MGF"/>
    <s v="renamed"/>
    <m/>
    <s v="Jojeff Tagnong"/>
  </r>
  <r>
    <n v="822"/>
    <s v="F3"/>
    <x v="34"/>
    <s v="IT06050500"/>
    <s v="LS-DI-S S&amp;T, Performance &amp; Porfolio Mgmt"/>
    <m/>
    <s v="Rename"/>
    <x v="0"/>
    <x v="0"/>
    <s v="MGF"/>
    <s v="renamed"/>
    <m/>
    <s v="Jojeff Tagnong"/>
  </r>
  <r>
    <n v="823"/>
    <s v="F3"/>
    <x v="34"/>
    <s v="L000013393"/>
    <s v="LS-DI-T Marketing &amp; Commercial"/>
    <m/>
    <s v="Rename"/>
    <x v="0"/>
    <x v="0"/>
    <s v="MGF"/>
    <s v="renamed"/>
    <m/>
    <s v="Jojeff Tagnong"/>
  </r>
  <r>
    <n v="824"/>
    <s v="F3"/>
    <x v="34"/>
    <s v="IT06050700"/>
    <s v="LS-DI-T Marketing &amp; Commercial"/>
    <m/>
    <s v="Rename"/>
    <x v="0"/>
    <x v="0"/>
    <s v="MGF"/>
    <s v="renamed"/>
    <m/>
    <s v="Jojeff Tagnong"/>
  </r>
  <r>
    <n v="825"/>
    <s v="F3"/>
    <x v="34"/>
    <s v="L000013395"/>
    <s v="LS-DI-C LS Arch, CyberSec, BMA, IT Compl"/>
    <m/>
    <s v="Rename"/>
    <x v="0"/>
    <x v="0"/>
    <s v="MGF"/>
    <s v="renamed"/>
    <m/>
    <s v="Jojeff Tagnong"/>
  </r>
  <r>
    <n v="826"/>
    <s v="F3"/>
    <x v="34"/>
    <s v="IT06050200"/>
    <s v="LS-DI-C LS Arch, CyberSec, BMA, IT Compl"/>
    <m/>
    <s v="Rename"/>
    <x v="0"/>
    <x v="0"/>
    <s v="MGF"/>
    <s v="renamed"/>
    <m/>
    <s v="Jojeff Tagnong"/>
  </r>
  <r>
    <n v="827"/>
    <s v="F3"/>
    <x v="34"/>
    <s v="L000013397"/>
    <s v="LS-DI-M Supply Chain Planning Reg &amp; Dist"/>
    <m/>
    <s v="Rename"/>
    <x v="0"/>
    <x v="0"/>
    <s v="MGF"/>
    <s v="renamed"/>
    <m/>
    <s v="Jojeff Tagnong"/>
  </r>
  <r>
    <n v="828"/>
    <s v="F3"/>
    <x v="34"/>
    <s v="IT06050600"/>
    <s v="LS-DI-M Supply Chain Planning Reg &amp; Dist"/>
    <m/>
    <s v="Rename"/>
    <x v="0"/>
    <x v="0"/>
    <s v="MGF"/>
    <s v="renamed"/>
    <m/>
    <s v="Jojeff Tagnong"/>
  </r>
  <r>
    <n v="829"/>
    <s v="F3"/>
    <x v="34"/>
    <s v="L000013599"/>
    <s v="LS-DI-B Business IT"/>
    <m/>
    <s v="Rename"/>
    <x v="0"/>
    <x v="0"/>
    <s v="MGF"/>
    <s v="renamed"/>
    <m/>
    <s v="Jojeff Tagnong"/>
  </r>
  <r>
    <n v="830"/>
    <s v="F3"/>
    <x v="34"/>
    <s v="IT06051000"/>
    <s v="LS-DI-B Business IT"/>
    <m/>
    <s v="Rename"/>
    <x v="0"/>
    <x v="0"/>
    <s v="MGF"/>
    <s v="renamed"/>
    <m/>
    <s v="Jojeff Tagnong"/>
  </r>
  <r>
    <n v="831"/>
    <s v="F3"/>
    <x v="34"/>
    <s v="L000013808"/>
    <s v="LS-DI-O ONE ERP"/>
    <m/>
    <s v="Rename"/>
    <x v="0"/>
    <x v="0"/>
    <s v="MGF"/>
    <s v="renamed"/>
    <m/>
    <s v="Jojeff Tagnong"/>
  </r>
  <r>
    <n v="832"/>
    <s v="F3"/>
    <x v="34"/>
    <s v="G000000727"/>
    <s v="EF-DS-SG Govern., Compliance &amp; Quality_I"/>
    <m/>
    <s v="Rename"/>
    <x v="0"/>
    <x v="0"/>
    <s v="MGF"/>
    <s v="renamed"/>
    <m/>
    <s v="Jojeff Tagnong"/>
  </r>
  <r>
    <n v="833"/>
    <s v="F3"/>
    <x v="34"/>
    <s v="G000000730"/>
    <s v="EF-DS-SGT IT Service Cont &amp; IT Risk Mmgt"/>
    <m/>
    <s v="Rename"/>
    <x v="0"/>
    <x v="0"/>
    <s v="MGF"/>
    <s v="renamed"/>
    <m/>
    <s v="Jojeff Tagnong"/>
  </r>
  <r>
    <n v="834"/>
    <s v="F3"/>
    <x v="34"/>
    <s v="G000000785"/>
    <s v="EF-DS-SGA IT Audit &amp; Compliance"/>
    <m/>
    <s v="Rename"/>
    <x v="0"/>
    <x v="0"/>
    <s v="MGF"/>
    <s v="renamed"/>
    <m/>
    <s v="Jojeff Tagnong"/>
  </r>
  <r>
    <n v="835"/>
    <s v="F3"/>
    <x v="34"/>
    <s v="G000000894"/>
    <s v="EF-DS-SGS IT Service Management"/>
    <m/>
    <s v="Rename"/>
    <x v="0"/>
    <x v="0"/>
    <s v="MGF"/>
    <s v="renamed"/>
    <m/>
    <s v="Jojeff Tagnong"/>
  </r>
  <r>
    <n v="836"/>
    <s v="F3"/>
    <x v="34"/>
    <s v="G000000838"/>
    <s v="EF-DS-SOD DDIT Portfolio Mgmt &amp; Projects"/>
    <m/>
    <s v="Rename"/>
    <x v="0"/>
    <x v="0"/>
    <s v="MGF"/>
    <s v="renamed"/>
    <m/>
    <s v="Jojeff Tagnong"/>
  </r>
  <r>
    <n v="837"/>
    <s v="F3"/>
    <x v="34"/>
    <s v="G000000839"/>
    <s v="EF-DS-SOS Change Management"/>
    <m/>
    <s v="Rename"/>
    <x v="0"/>
    <x v="0"/>
    <s v="MGF"/>
    <s v="renamed"/>
    <m/>
    <s v="Jojeff Tagnong"/>
  </r>
  <r>
    <n v="838"/>
    <s v="F3"/>
    <x v="34"/>
    <s v="G000001375"/>
    <s v="FIT DS - Digital Enterprise Solutions"/>
    <m/>
    <s v="Rename"/>
    <x v="0"/>
    <x v="0"/>
    <s v="MGF"/>
    <s v="renamed"/>
    <m/>
    <s v="Jojeff Tagnong"/>
  </r>
  <r>
    <n v="839"/>
    <s v="F3"/>
    <x v="34"/>
    <s v="G000000789"/>
    <s v="EF-DS-SO SGT Office, Comm &amp; Portf Mgmt"/>
    <s v="G000001381"/>
    <s v="Rename/Move"/>
    <x v="0"/>
    <x v="0"/>
    <s v="MGF"/>
    <s v="renamed/moved"/>
    <m/>
    <s v="Jojeff Tagnong"/>
  </r>
  <r>
    <n v="840"/>
    <s v="F3"/>
    <x v="34"/>
    <s v="G000000726"/>
    <s v="EF-DS-SG Govern., Compliance &amp; Quality"/>
    <s v="G000001381"/>
    <s v="Rename/Move"/>
    <x v="0"/>
    <x v="0"/>
    <s v="MGF"/>
    <s v="renamed/moved"/>
    <m/>
    <s v="Jojeff Tagnong"/>
  </r>
  <r>
    <n v="841"/>
    <s v="F3"/>
    <x v="34"/>
    <s v="G000001118"/>
    <s v="EF-DS-D Merck Data &amp; AI Organization"/>
    <s v="G000001375"/>
    <s v="Rename/Move"/>
    <x v="0"/>
    <x v="0"/>
    <s v="MGF"/>
    <s v="renamed/moved"/>
    <m/>
    <s v="Jojeff Tagnong"/>
  </r>
  <r>
    <n v="842"/>
    <s v="F3"/>
    <x v="34"/>
    <s v="G000000243"/>
    <s v="EF-DS-T Group IT"/>
    <s v="G000001375"/>
    <s v="Rename/Move"/>
    <x v="0"/>
    <x v="0"/>
    <s v="MGF"/>
    <s v="renamed/moved"/>
    <m/>
    <s v="Jojeff Tagnong"/>
  </r>
  <r>
    <n v="843"/>
    <s v="F3"/>
    <x v="34"/>
    <s v="G000001381"/>
    <s v="EF-DS-S DES Strategy, Govern. &amp; Transf."/>
    <s v="G000001375"/>
    <s v="Rename/Move"/>
    <x v="0"/>
    <x v="0"/>
    <s v="MGF"/>
    <s v="renamed/moved"/>
    <m/>
    <s v="Jojeff Tagnong"/>
  </r>
  <r>
    <n v="844"/>
    <s v="F3"/>
    <x v="34"/>
    <s v="G000001378"/>
    <s v="EF-DS- DES E2E Automation"/>
    <s v="G000001375"/>
    <s v="Rename/Move"/>
    <x v="0"/>
    <x v="0"/>
    <s v="MGF"/>
    <s v="renamed/moved"/>
    <m/>
    <s v="Jojeff Tagnong"/>
  </r>
  <r>
    <n v="845"/>
    <s v="F3"/>
    <x v="34"/>
    <s v="G000000184"/>
    <m/>
    <s v="G000001375"/>
    <s v="Move"/>
    <x v="0"/>
    <x v="0"/>
    <s v="MGF"/>
    <s v="renamed/moved"/>
    <m/>
    <s v="Jojeff Tagnong"/>
  </r>
  <r>
    <n v="846"/>
    <s v="F3"/>
    <x v="34"/>
    <s v="G000001376"/>
    <m/>
    <s v="O000000009"/>
    <s v="Delete"/>
    <x v="0"/>
    <x v="0"/>
    <s v="MGF"/>
    <s v="renamed/moved"/>
    <m/>
    <s v="Jojeff Tagnong"/>
  </r>
  <r>
    <n v="847"/>
    <s v="F3"/>
    <x v="34"/>
    <s v="G000001377"/>
    <m/>
    <s v="O000000009"/>
    <s v="Delete"/>
    <x v="0"/>
    <x v="0"/>
    <s v="MGF"/>
    <s v="renamed/moved"/>
    <m/>
    <s v="Jojeff Tagnong"/>
  </r>
  <r>
    <n v="848"/>
    <s v="F3"/>
    <x v="35"/>
    <s v="IT06051100"/>
    <s v="LS-DI-O ONE ERP"/>
    <s v="L000013808"/>
    <s v="New"/>
    <x v="0"/>
    <x v="0"/>
    <s v="LS"/>
    <s v="named and assigned"/>
    <m/>
    <s v="Jay-R Lizardo"/>
  </r>
  <r>
    <n v="849"/>
    <s v="F3"/>
    <x v="36"/>
    <s v="G000001423"/>
    <s v="EF-DS-TXT FIC ERP Compliance"/>
    <s v="G000000336"/>
    <s v="New"/>
    <x v="0"/>
    <x v="0"/>
    <s v="MGF"/>
    <s v="named and assigned"/>
    <m/>
    <s v="Jojeff Tagnong"/>
  </r>
  <r>
    <n v="850"/>
    <s v="F3"/>
    <x v="36"/>
    <s v="IT06090400"/>
    <s v="EF-DS-TXT FIC ERP Compliance"/>
    <s v="G000001423"/>
    <s v="New"/>
    <x v="0"/>
    <x v="0"/>
    <s v="MGF"/>
    <s v="named and assigned"/>
    <m/>
    <s v="Jojeff Tagnong"/>
  </r>
  <r>
    <n v="851"/>
    <s v="F3"/>
    <x v="36"/>
    <s v="G000001424"/>
    <s v="GO2 HR - HR MZS"/>
    <s v="G000000588"/>
    <s v="New"/>
    <x v="0"/>
    <x v="0"/>
    <s v="MGF"/>
    <s v="named and assigned"/>
    <m/>
    <s v="Jojeff Tagnong"/>
  </r>
  <r>
    <n v="852"/>
    <s v="F3"/>
    <x v="36"/>
    <s v="G000001425"/>
    <s v="FAY IX - Individual Tax Office"/>
    <s v="G000000001"/>
    <s v="New"/>
    <x v="0"/>
    <x v="0"/>
    <s v="MGF"/>
    <s v="named and assigned"/>
    <m/>
    <s v="Jojeff Tagnong"/>
  </r>
  <r>
    <n v="853"/>
    <s v="F3"/>
    <x v="36"/>
    <s v="G000001426"/>
    <s v="IX - MGF Reporting"/>
    <s v="G000001425"/>
    <s v="New"/>
    <x v="0"/>
    <x v="0"/>
    <s v="MGF"/>
    <s v="named and assigned"/>
    <m/>
    <s v="Jojeff Tagnong"/>
  </r>
  <r>
    <n v="854"/>
    <s v="F3"/>
    <x v="36"/>
    <s v="G000001427"/>
    <s v="IX - non-MGF Reporting"/>
    <s v="G000001425"/>
    <s v="New"/>
    <x v="0"/>
    <x v="0"/>
    <s v="MGF"/>
    <s v="named and assigned"/>
    <m/>
    <s v="Jojeff Tagnong"/>
  </r>
  <r>
    <n v="855"/>
    <s v="F3"/>
    <x v="36"/>
    <s v="G000001428"/>
    <s v="GO1 IX - Individual Tax Office (L2)"/>
    <s v="G000001426"/>
    <s v="New"/>
    <x v="0"/>
    <x v="0"/>
    <s v="MGF"/>
    <s v="named and assigned"/>
    <m/>
    <s v="Jojeff Tagnong"/>
  </r>
  <r>
    <n v="856"/>
    <s v="F3"/>
    <x v="36"/>
    <s v="G000001429"/>
    <s v="FAY IX - Intercompany Charges"/>
    <s v="G000001427"/>
    <s v="New"/>
    <x v="0"/>
    <x v="0"/>
    <s v="MGF"/>
    <s v="named and assigned"/>
    <m/>
    <s v="Jojeff Tagnong"/>
  </r>
  <r>
    <n v="857"/>
    <s v="F3"/>
    <x v="36"/>
    <s v="G000001430"/>
    <s v="FAY IX - Exceptionals"/>
    <s v="G000001427"/>
    <s v="New"/>
    <x v="0"/>
    <x v="0"/>
    <s v="MGF"/>
    <s v="named and assigned"/>
    <m/>
    <s v="Jojeff Tagnong"/>
  </r>
  <r>
    <n v="858"/>
    <s v="F3"/>
    <x v="36"/>
    <s v="G000001360"/>
    <s v="G7J DX - Lumina FTO &amp; FTOM"/>
    <m/>
    <s v="Rename"/>
    <x v="0"/>
    <x v="0"/>
    <s v="MGF"/>
    <s v="named and assigned"/>
    <m/>
    <s v="Jojeff Tagnong"/>
  </r>
  <r>
    <n v="859"/>
    <s v="F3"/>
    <x v="36"/>
    <s v="G000001361"/>
    <s v="G7K DX - Lumina Planning &amp; Reporting"/>
    <m/>
    <s v="Rename"/>
    <x v="0"/>
    <x v="0"/>
    <s v="MGF"/>
    <s v="named and assigned"/>
    <m/>
    <s v="Jojeff Tagnong"/>
  </r>
  <r>
    <n v="860"/>
    <s v="F3"/>
    <x v="36"/>
    <s v="G000001362"/>
    <s v="G7L DX - Lumina Reporting &amp; GP Processes"/>
    <m/>
    <s v="Rename"/>
    <x v="0"/>
    <x v="0"/>
    <s v="MGF"/>
    <s v="named and assigned"/>
    <m/>
    <s v="Jojeff Tagnong"/>
  </r>
  <r>
    <n v="861"/>
    <s v="F3"/>
    <x v="36"/>
    <s v="G000001363"/>
    <s v="G7M DX - Lumina Rep Del Fact &amp; Tech&amp;Data"/>
    <m/>
    <s v="Rename"/>
    <x v="0"/>
    <x v="0"/>
    <s v="MGF"/>
    <s v="named and assigned"/>
    <m/>
    <s v="Jojeff Tagnong"/>
  </r>
  <r>
    <n v="862"/>
    <s v="F3"/>
    <x v="36"/>
    <s v="G000001364"/>
    <s v="G7N DX - Lumina Regulatory Requirements"/>
    <m/>
    <s v="Rename"/>
    <x v="0"/>
    <x v="0"/>
    <s v="MGF"/>
    <s v="named and assigned"/>
    <m/>
    <s v="Jojeff Tagnong"/>
  </r>
  <r>
    <n v="863"/>
    <s v="F3"/>
    <x v="36"/>
    <s v="G000001365"/>
    <s v="G7O DX - Process Excellence"/>
    <m/>
    <s v="Rename"/>
    <x v="0"/>
    <x v="0"/>
    <s v="MGF"/>
    <s v="named and assigned"/>
    <m/>
    <s v="Jojeff Tagnong"/>
  </r>
  <r>
    <n v="864"/>
    <s v="F3"/>
    <x v="36"/>
    <s v="G000001366"/>
    <s v="G7P DX - LEAP"/>
    <m/>
    <s v="Rename"/>
    <x v="0"/>
    <x v="0"/>
    <s v="MGF"/>
    <s v="named and assigned"/>
    <m/>
    <s v="Jojeff Tagnong"/>
  </r>
  <r>
    <n v="865"/>
    <s v="F3"/>
    <x v="36"/>
    <s v="G000000477"/>
    <m/>
    <s v="G000001424"/>
    <s v="Move"/>
    <x v="0"/>
    <x v="0"/>
    <s v="MGF"/>
    <s v="renamed/moved"/>
    <m/>
    <s v="Jojeff Tagnong"/>
  </r>
  <r>
    <n v="866"/>
    <s v="F3"/>
    <x v="36"/>
    <s v="G000000465"/>
    <m/>
    <s v="G000001424"/>
    <s v="Move"/>
    <x v="0"/>
    <x v="0"/>
    <s v="MGF"/>
    <s v="renamed/moved"/>
    <m/>
    <s v="Jojeff Tagnong"/>
  </r>
  <r>
    <n v="867"/>
    <s v="F3"/>
    <x v="37"/>
    <s v="P000001325"/>
    <s v="DSS Global Head of Innovation"/>
    <s v="P000001274"/>
    <s v="New"/>
    <x v="0"/>
    <x v="0"/>
    <s v="EL"/>
    <s v="named and assigned"/>
    <m/>
    <s v="Roselle Delos Angeles"/>
  </r>
  <r>
    <n v="868"/>
    <s v="F3"/>
    <x v="37"/>
    <s v="P000001326"/>
    <s v="DSS Head of Innovation - NA/EUR"/>
    <s v="P000001325"/>
    <s v="New"/>
    <x v="0"/>
    <x v="0"/>
    <s v="EL"/>
    <s v="named and assigned"/>
    <m/>
    <s v="Roselle Delos Angeles"/>
  </r>
  <r>
    <n v="869"/>
    <s v="F3"/>
    <x v="37"/>
    <s v="P000001327"/>
    <s v="DSS Head of Innovation - KR"/>
    <s v="P000001325"/>
    <s v="New"/>
    <x v="0"/>
    <x v="0"/>
    <s v="EL"/>
    <s v="named and assigned"/>
    <m/>
    <s v="Roselle Delos Angeles"/>
  </r>
  <r>
    <n v="870"/>
    <s v="F3"/>
    <x v="37"/>
    <s v="P000001328"/>
    <s v="DSS Head of Innovation - Asia exKR"/>
    <s v="P000001325"/>
    <s v="New"/>
    <x v="0"/>
    <x v="0"/>
    <s v="EL"/>
    <s v="named and assigned"/>
    <m/>
    <s v="Roselle Delos Angeles"/>
  </r>
  <r>
    <n v="871"/>
    <s v="F3"/>
    <x v="37"/>
    <s v="P000001329"/>
    <s v="CF EU Freight"/>
    <s v="P000000472"/>
    <s v="New"/>
    <x v="0"/>
    <x v="0"/>
    <s v="EL"/>
    <s v="named and assigned"/>
    <m/>
    <s v="Roselle Delos Angeles"/>
  </r>
  <r>
    <n v="872"/>
    <s v="F3"/>
    <x v="37"/>
    <s v="P000001330"/>
    <s v="CF EU Warehouse/Distribution"/>
    <s v="P000000472"/>
    <s v="New"/>
    <x v="0"/>
    <x v="0"/>
    <s v="EL"/>
    <s v="named and assigned"/>
    <m/>
    <s v="Roselle Delos Angeles"/>
  </r>
  <r>
    <n v="873"/>
    <s v="F3"/>
    <x v="37"/>
    <s v="P000001331"/>
    <s v="CF EU Customs/Duties"/>
    <s v="P000000472"/>
    <s v="New"/>
    <x v="0"/>
    <x v="0"/>
    <s v="EL"/>
    <s v="named and assigned"/>
    <m/>
    <s v="Roselle Delos Angeles"/>
  </r>
  <r>
    <n v="874"/>
    <s v="F3"/>
    <x v="37"/>
    <s v="P000001332"/>
    <s v="CF EU Global Demand Planning/Cust Svc"/>
    <s v="P000000472"/>
    <s v="New"/>
    <x v="0"/>
    <x v="0"/>
    <s v="EL"/>
    <s v="named and assigned"/>
    <m/>
    <s v="Roselle Delos Angeles"/>
  </r>
  <r>
    <n v="875"/>
    <s v="F3"/>
    <x v="37"/>
    <s v="P000001333"/>
    <s v="CF EU Warehouse"/>
    <s v="P000001330"/>
    <s v="New"/>
    <x v="0"/>
    <x v="0"/>
    <s v="EL"/>
    <s v="named and assigned"/>
    <m/>
    <s v="Roselle Delos Angeles"/>
  </r>
  <r>
    <n v="876"/>
    <s v="F3"/>
    <x v="37"/>
    <s v="P000001334"/>
    <s v="CF EU Admin/Overhead"/>
    <s v="P000001330"/>
    <s v="New"/>
    <x v="0"/>
    <x v="0"/>
    <s v="EL"/>
    <s v="named and assigned"/>
    <m/>
    <s v="Roselle Delos Angeles"/>
  </r>
  <r>
    <n v="877"/>
    <s v="F3"/>
    <x v="37"/>
    <s v="P000000535"/>
    <s v="EL-FO Planarization Commercial"/>
    <m/>
    <s v="Rename"/>
    <x v="0"/>
    <x v="0"/>
    <s v="EL"/>
    <s v="done"/>
    <m/>
    <s v="Roselle Delos Angeles"/>
  </r>
  <r>
    <n v="878"/>
    <s v="F3"/>
    <x v="37"/>
    <s v="P000000522"/>
    <s v="EL-FO Planarization ISC &amp; Quality"/>
    <m/>
    <s v="Rename"/>
    <x v="0"/>
    <x v="0"/>
    <s v="EL"/>
    <s v="done"/>
    <m/>
    <s v="Roselle Delos Angeles"/>
  </r>
  <r>
    <n v="879"/>
    <s v="F3"/>
    <x v="37"/>
    <s v="P000001195"/>
    <s v="EL-SC-ET Engineering Centre of Excellenc"/>
    <m/>
    <s v="Rename"/>
    <x v="0"/>
    <x v="0"/>
    <s v="EL"/>
    <s v="done"/>
    <m/>
    <s v="Roselle Delos Angeles"/>
  </r>
  <r>
    <n v="880"/>
    <s v="F3"/>
    <x v="37"/>
    <s v="P000001191"/>
    <s v="EL-SC-EE Global Project Development &amp; Ca"/>
    <m/>
    <s v="Rename"/>
    <x v="0"/>
    <x v="0"/>
    <s v="EL"/>
    <s v="done"/>
    <m/>
    <s v="Roselle Delos Angeles"/>
  </r>
  <r>
    <n v="881"/>
    <s v="F3"/>
    <x v="37"/>
    <s v="P000000547"/>
    <s v="EL-SG Specialty Gases R&amp;D"/>
    <m/>
    <s v="Rename"/>
    <x v="0"/>
    <x v="0"/>
    <s v="EL"/>
    <s v="done"/>
    <m/>
    <s v="Roselle Delos Angeles"/>
  </r>
  <r>
    <n v="882"/>
    <s v="F3"/>
    <x v="37"/>
    <s v="P000000536"/>
    <s v="EL-SG Specialty Gases Commercial"/>
    <m/>
    <s v="Rename"/>
    <x v="0"/>
    <x v="0"/>
    <s v="EL"/>
    <s v="done"/>
    <m/>
    <s v="Roselle Delos Angeles"/>
  </r>
  <r>
    <n v="883"/>
    <s v="F3"/>
    <x v="37"/>
    <s v="P000000513"/>
    <s v="EL-SG Specialty Gases ISC &amp; Quality"/>
    <m/>
    <s v="Rename"/>
    <x v="0"/>
    <x v="0"/>
    <s v="EL"/>
    <s v="done"/>
    <m/>
    <s v="Roselle Delos Angeles"/>
  </r>
  <r>
    <n v="884"/>
    <s v="F3"/>
    <x v="37"/>
    <s v="P000001310"/>
    <s v="Prj. Ex. &amp; Port. Mgmt Asia ex KR"/>
    <m/>
    <s v="Rename"/>
    <x v="0"/>
    <x v="0"/>
    <s v="EL"/>
    <s v="done"/>
    <m/>
    <s v="Roselle Delos Angeles"/>
  </r>
  <r>
    <n v="885"/>
    <s v="F3"/>
    <x v="37"/>
    <s v="P000001309"/>
    <s v="Prj. Ex. &amp; Port. Mgmt NA/EUR"/>
    <m/>
    <s v="Rename"/>
    <x v="0"/>
    <x v="0"/>
    <s v="EL"/>
    <s v="done"/>
    <m/>
    <s v="Roselle Delos Angeles"/>
  </r>
  <r>
    <n v="886"/>
    <s v="F3"/>
    <x v="38"/>
    <s v="G000001423"/>
    <s v="EF-DS-TXT FIC ERP Compliance"/>
    <m/>
    <s v="Rename"/>
    <x v="0"/>
    <x v="0"/>
    <s v="MGF"/>
    <s v="renamed"/>
    <m/>
    <s v="Jojeff Tagnong"/>
  </r>
  <r>
    <n v="887"/>
    <s v="F3"/>
    <x v="38"/>
    <s v="IT06090400"/>
    <s v="EF-DS-TXT FIC ERP Compliance"/>
    <m/>
    <s v="Rename"/>
    <x v="0"/>
    <x v="0"/>
    <s v="MGF"/>
    <s v="renamed"/>
    <m/>
    <s v="Jojeff Tagnong"/>
  </r>
  <r>
    <n v="888"/>
    <s v="F3"/>
    <x v="39"/>
    <s v="L000013875"/>
    <s v="Urbana Operations - G"/>
    <s v="L000013447"/>
    <s v="New"/>
    <x v="0"/>
    <x v="0"/>
    <s v="LS"/>
    <s v="named and assigned"/>
    <m/>
    <s v="Ruby Grace Garcia"/>
  </r>
  <r>
    <n v="889"/>
    <s v="F3"/>
    <x v="39"/>
    <s v="L000013876"/>
    <s v="IVDR Cell Marque - G"/>
    <s v="L000013447"/>
    <s v="New"/>
    <x v="0"/>
    <x v="0"/>
    <s v="LS"/>
    <s v="named and assigned"/>
    <m/>
    <s v="Ruby Grace Garcia"/>
  </r>
  <r>
    <n v="890"/>
    <s v="F3"/>
    <x v="39"/>
    <s v="L000013877"/>
    <s v="Sheboygan P&amp;T - G"/>
    <s v="L000013445"/>
    <s v="New"/>
    <x v="0"/>
    <x v="0"/>
    <s v="LS"/>
    <s v="named and assigned"/>
    <m/>
    <s v="Ruby Grace Garcia"/>
  </r>
  <r>
    <n v="891"/>
    <s v="F3"/>
    <x v="39"/>
    <s v="L000013878"/>
    <s v="Natrix Operations - G"/>
    <s v="L000013445"/>
    <s v="New"/>
    <x v="0"/>
    <x v="0"/>
    <s v="LS"/>
    <s v="named and assigned"/>
    <m/>
    <s v="Ruby Grace Garcia"/>
  </r>
  <r>
    <n v="892"/>
    <s v="F3"/>
    <x v="39"/>
    <s v="L000013879"/>
    <s v="Regional management_US West"/>
    <s v="L000013448"/>
    <s v="New"/>
    <x v="0"/>
    <x v="0"/>
    <s v="LS"/>
    <s v="named and assigned"/>
    <m/>
    <s v="Ruby Grace Garcia"/>
  </r>
  <r>
    <n v="893"/>
    <s v="F3"/>
    <x v="39"/>
    <s v="L000013880"/>
    <s v="PS Commercial China"/>
    <s v="L000006294"/>
    <s v="New"/>
    <x v="0"/>
    <x v="0"/>
    <s v="LS"/>
    <s v="named and assigned"/>
    <m/>
    <s v="Ruby Grace Garcia"/>
  </r>
  <r>
    <n v="894"/>
    <s v="F3"/>
    <x v="39"/>
    <s v="L000013881"/>
    <s v="Marketing Strategy &amp; Planning"/>
    <s v="L000013854"/>
    <s v="New"/>
    <x v="0"/>
    <x v="0"/>
    <s v="LS"/>
    <s v="named and assigned"/>
    <m/>
    <s v="Ruby Grace Garcia"/>
  </r>
  <r>
    <n v="895"/>
    <s v="F3"/>
    <x v="39"/>
    <s v="L000013882"/>
    <s v="Digital Marketing &amp; Operations"/>
    <s v="L000013854"/>
    <s v="New"/>
    <x v="0"/>
    <x v="0"/>
    <s v="LS"/>
    <s v="named and assigned"/>
    <m/>
    <s v="Ruby Grace Garcia"/>
  </r>
  <r>
    <n v="896"/>
    <s v="F3"/>
    <x v="39"/>
    <s v="L000013883"/>
    <s v="Marketing Technology"/>
    <s v="L000013882"/>
    <s v="New"/>
    <x v="0"/>
    <x v="0"/>
    <s v="LS"/>
    <s v="named and assigned"/>
    <m/>
    <s v="Ruby Grace Garcia"/>
  </r>
  <r>
    <n v="897"/>
    <s v="F3"/>
    <x v="39"/>
    <s v="L000013884"/>
    <s v="Technology Fund Projects WAU"/>
    <s v="L000013326"/>
    <s v="New"/>
    <x v="0"/>
    <x v="0"/>
    <s v="LS"/>
    <s v="named and assigned"/>
    <m/>
    <s v="Ruby Grace Garcia"/>
  </r>
  <r>
    <n v="898"/>
    <s v="F3"/>
    <x v="39"/>
    <s v="L000013885"/>
    <s v="R&amp;D and Portfolio Strategy"/>
    <s v="L000013275"/>
    <s v="New"/>
    <x v="0"/>
    <x v="0"/>
    <s v="LS"/>
    <s v="named and assigned"/>
    <m/>
    <s v="Ruby Grace Garcia"/>
  </r>
  <r>
    <n v="899"/>
    <s v="F3"/>
    <x v="39"/>
    <s v="L000013886"/>
    <s v="Technology Strategy"/>
    <s v="L000013275"/>
    <s v="New"/>
    <x v="0"/>
    <x v="0"/>
    <s v="LS"/>
    <s v="named and assigned"/>
    <m/>
    <s v="Ruby Grace Garcia"/>
  </r>
  <r>
    <n v="900"/>
    <s v="F3"/>
    <x v="39"/>
    <s v="L000013887"/>
    <s v="Lumina AP accrual"/>
    <s v="L000011136"/>
    <s v="New"/>
    <x v="0"/>
    <x v="0"/>
    <s v="LS"/>
    <s v="named and assigned"/>
    <m/>
    <s v="Ruby Grace Garcia"/>
  </r>
  <r>
    <n v="901"/>
    <s v="F3"/>
    <x v="39"/>
    <s v="L000013888"/>
    <s v="Placeholder 1"/>
    <s v="L000011136"/>
    <s v="New"/>
    <x v="0"/>
    <x v="0"/>
    <s v="LS"/>
    <s v="named and assigned"/>
    <m/>
    <s v="Ruby Grace Garcia"/>
  </r>
  <r>
    <n v="902"/>
    <s v="F3"/>
    <x v="39"/>
    <s v="L000013889"/>
    <s v="Placeholder 2"/>
    <s v="L000011136"/>
    <s v="New"/>
    <x v="0"/>
    <x v="0"/>
    <s v="LS"/>
    <s v="named and assigned"/>
    <m/>
    <s v="Ruby Grace Garcia"/>
  </r>
  <r>
    <n v="903"/>
    <s v="F3"/>
    <x v="39"/>
    <s v="L000013890"/>
    <s v="Placeholder 3"/>
    <s v="L000011136"/>
    <s v="New"/>
    <x v="0"/>
    <x v="0"/>
    <s v="LS"/>
    <s v="named and assigned"/>
    <m/>
    <s v="Ruby Grace Garcia"/>
  </r>
  <r>
    <n v="904"/>
    <s v="F3"/>
    <x v="39"/>
    <s v="L000013891"/>
    <s v="LW- Product Management"/>
    <s v="L000005964"/>
    <s v="New"/>
    <x v="0"/>
    <x v="0"/>
    <s v="LS"/>
    <s v="named and assigned"/>
    <m/>
    <s v="Ruby Grace Garcia"/>
  </r>
  <r>
    <n v="905"/>
    <s v="F3"/>
    <x v="39"/>
    <s v="L000013892"/>
    <s v="LW LATAM"/>
    <s v="L000005964"/>
    <s v="New"/>
    <x v="0"/>
    <x v="0"/>
    <s v="LS"/>
    <s v="named and assigned"/>
    <m/>
    <s v="Ruby Grace Garcia"/>
  </r>
  <r>
    <n v="906"/>
    <s v="F3"/>
    <x v="39"/>
    <s v="L000013893"/>
    <s v="LW EEMEA"/>
    <s v="L000005964"/>
    <s v="New"/>
    <x v="0"/>
    <x v="0"/>
    <s v="LS"/>
    <s v="named and assigned"/>
    <m/>
    <s v="Ruby Grace Garcia"/>
  </r>
  <r>
    <n v="907"/>
    <s v="F3"/>
    <x v="39"/>
    <s v="L000013560"/>
    <s v="Pricing Strategy &amp; Operations"/>
    <m/>
    <s v="Rename"/>
    <x v="0"/>
    <x v="0"/>
    <s v="LS"/>
    <s v="renamed"/>
    <m/>
    <s v="Ruby Grace Garcia"/>
  </r>
  <r>
    <n v="908"/>
    <s v="F3"/>
    <x v="39"/>
    <s v="L000013558"/>
    <s v="Brand, Content &amp; Engagement"/>
    <m/>
    <s v="Rename"/>
    <x v="0"/>
    <x v="0"/>
    <s v="LS"/>
    <s v="renamed"/>
    <m/>
    <s v="Ruby Grace Garcia"/>
  </r>
  <r>
    <n v="909"/>
    <s v="F3"/>
    <x v="39"/>
    <s v="L000013531"/>
    <s v="Customer Digital Products"/>
    <m/>
    <s v="Rename"/>
    <x v="0"/>
    <x v="0"/>
    <s v="LS"/>
    <s v="renamed"/>
    <m/>
    <s v="Ruby Grace Garcia"/>
  </r>
  <r>
    <n v="910"/>
    <s v="F3"/>
    <x v="39"/>
    <s v="L000006558"/>
    <s v="PS Marketing Center Management"/>
    <m/>
    <s v="Rename"/>
    <x v="0"/>
    <x v="0"/>
    <s v="LS"/>
    <s v="renamed"/>
    <m/>
    <s v="Ruby Grace Garcia"/>
  </r>
  <r>
    <n v="911"/>
    <s v="F3"/>
    <x v="39"/>
    <s v="L000011734"/>
    <s v="GSA Mgt &amp; BP&amp;I"/>
    <m/>
    <s v="Rename"/>
    <x v="0"/>
    <x v="0"/>
    <s v="LS"/>
    <s v="renamed"/>
    <m/>
    <s v="Ruby Grace Garcia"/>
  </r>
  <r>
    <n v="912"/>
    <s v="F3"/>
    <x v="39"/>
    <s v="L000011664"/>
    <s v="PS Commercial APeC"/>
    <m/>
    <s v="Rename"/>
    <x v="0"/>
    <x v="0"/>
    <s v="LS"/>
    <s v="renamed"/>
    <m/>
    <s v="Ruby Grace Garcia"/>
  </r>
  <r>
    <n v="913"/>
    <s v="F3"/>
    <x v="39"/>
    <s v="L000013275"/>
    <s v="Life Science Technology Office"/>
    <m/>
    <s v="Rename"/>
    <x v="0"/>
    <x v="0"/>
    <s v="LS"/>
    <s v="renamed"/>
    <m/>
    <s v="Ruby Grace Garcia"/>
  </r>
  <r>
    <n v="914"/>
    <s v="F3"/>
    <x v="39"/>
    <s v="L000013466"/>
    <s v="DICE Digital Center of Excellence"/>
    <m/>
    <s v="Rename"/>
    <x v="0"/>
    <x v="0"/>
    <s v="LS"/>
    <s v="renamed"/>
    <m/>
    <s v="Ruby Grace Garcia"/>
  </r>
  <r>
    <n v="915"/>
    <s v="F3"/>
    <x v="39"/>
    <s v="L000013473"/>
    <s v="DICE Strategy &amp; Transformation"/>
    <m/>
    <s v="Rename"/>
    <x v="0"/>
    <x v="0"/>
    <s v="LS"/>
    <s v="renamed"/>
    <m/>
    <s v="Ruby Grace Garcia"/>
  </r>
  <r>
    <n v="916"/>
    <s v="F3"/>
    <x v="39"/>
    <s v="L000013472"/>
    <s v="DICE Digital COE"/>
    <m/>
    <s v="Rename"/>
    <x v="0"/>
    <x v="0"/>
    <s v="LS"/>
    <s v="renamed"/>
    <m/>
    <s v="Ruby Grace Garcia"/>
  </r>
  <r>
    <n v="917"/>
    <s v="F3"/>
    <x v="39"/>
    <s v="L000013469"/>
    <s v="DICE Prod Eng &amp; Computational Science"/>
    <m/>
    <s v="Rename"/>
    <x v="0"/>
    <x v="0"/>
    <s v="LS"/>
    <s v="renamed"/>
    <m/>
    <s v="Ruby Grace Garcia"/>
  </r>
  <r>
    <n v="918"/>
    <s v="F3"/>
    <x v="39"/>
    <s v="L000013628"/>
    <s v="Digital Chemistry Solutions Engineering"/>
    <m/>
    <s v="Rename"/>
    <x v="0"/>
    <x v="0"/>
    <s v="LS"/>
    <s v="renamed"/>
    <m/>
    <s v="Ruby Grace Garcia"/>
  </r>
  <r>
    <n v="919"/>
    <s v="F3"/>
    <x v="39"/>
    <s v="L000013627"/>
    <s v="DEI Instrument Connectivity Engineering"/>
    <m/>
    <s v="Rename"/>
    <x v="0"/>
    <x v="0"/>
    <s v="LS"/>
    <s v="renamed"/>
    <m/>
    <s v="Ruby Grace Garcia"/>
  </r>
  <r>
    <n v="920"/>
    <s v="F3"/>
    <x v="39"/>
    <s v="L000013626"/>
    <s v="Computational Science"/>
    <m/>
    <s v="Rename"/>
    <x v="0"/>
    <x v="0"/>
    <s v="LS"/>
    <s v="renamed"/>
    <m/>
    <s v="Ruby Grace Garcia"/>
  </r>
  <r>
    <n v="921"/>
    <s v="F3"/>
    <x v="39"/>
    <s v="L000013470"/>
    <s v="Scientific Systems Engineering"/>
    <m/>
    <s v="Rename"/>
    <x v="0"/>
    <x v="0"/>
    <s v="LS"/>
    <s v="renamed"/>
    <m/>
    <s v="Ruby Grace Garcia"/>
  </r>
  <r>
    <n v="922"/>
    <s v="F3"/>
    <x v="39"/>
    <s v="L000013468"/>
    <s v="DICE Bus Process Capabilities &amp; Stds"/>
    <m/>
    <s v="Rename"/>
    <x v="0"/>
    <x v="0"/>
    <s v="LS"/>
    <s v="renamed"/>
    <m/>
    <s v="Ruby Grace Garcia"/>
  </r>
  <r>
    <n v="923"/>
    <s v="F3"/>
    <x v="39"/>
    <s v="L000013467"/>
    <s v="DICE Platform &amp; Engineering  Enablement"/>
    <m/>
    <s v="Rename"/>
    <x v="0"/>
    <x v="0"/>
    <s v="LS"/>
    <s v="renamed"/>
    <m/>
    <s v="Ruby Grace Garcia"/>
  </r>
  <r>
    <n v="924"/>
    <s v="F3"/>
    <x v="39"/>
    <s v="L000013277"/>
    <s v="Strategic Projects"/>
    <m/>
    <s v="Rename"/>
    <x v="0"/>
    <x v="0"/>
    <s v="LS"/>
    <s v="renamed"/>
    <m/>
    <s v="Ruby Grace Garcia"/>
  </r>
  <r>
    <n v="925"/>
    <s v="F3"/>
    <x v="39"/>
    <s v="L000011336"/>
    <s v="Technology Pioneering Group"/>
    <m/>
    <s v="Rename"/>
    <x v="0"/>
    <x v="0"/>
    <s v="LS"/>
    <s v="renamed"/>
    <m/>
    <s v="Ruby Grace Garcia"/>
  </r>
  <r>
    <n v="926"/>
    <s v="F3"/>
    <x v="39"/>
    <s v="L000013622"/>
    <s v="ERP Business Program"/>
    <m/>
    <s v="Rename"/>
    <x v="0"/>
    <x v="0"/>
    <s v="LS"/>
    <s v="renamed"/>
    <m/>
    <s v="Ruby Grace Garcia"/>
  </r>
  <r>
    <n v="927"/>
    <s v="F3"/>
    <x v="39"/>
    <s v="L000010079"/>
    <s v="Darmstadt Site"/>
    <m/>
    <s v="Rename"/>
    <x v="0"/>
    <x v="0"/>
    <s v="LS"/>
    <s v="renamed"/>
    <m/>
    <s v="Ruby Grace Garcia"/>
  </r>
  <r>
    <n v="928"/>
    <s v="F3"/>
    <x v="39"/>
    <s v="L000013247"/>
    <s v="LS Production Darmstadt"/>
    <m/>
    <s v="Rename"/>
    <x v="0"/>
    <x v="0"/>
    <s v="LS"/>
    <s v="renamed"/>
    <m/>
    <s v="Ruby Grace Garcia"/>
  </r>
  <r>
    <n v="929"/>
    <s v="F3"/>
    <x v="39"/>
    <s v="L000011750"/>
    <s v="Dealer-Marketing"/>
    <m/>
    <s v="Rename"/>
    <x v="0"/>
    <x v="0"/>
    <s v="LS"/>
    <s v="renamed"/>
    <m/>
    <s v="Ruby Grace Garcia"/>
  </r>
  <r>
    <n v="930"/>
    <s v="F3"/>
    <x v="39"/>
    <s v="L000008992"/>
    <s v="SFDC-DE"/>
    <m/>
    <s v="Rename"/>
    <x v="0"/>
    <x v="0"/>
    <s v="LS"/>
    <s v="renamed"/>
    <m/>
    <s v="Ruby Grace Garcia"/>
  </r>
  <r>
    <n v="931"/>
    <s v="F3"/>
    <x v="39"/>
    <s v="L000008614"/>
    <s v="Techn. Mgmt"/>
    <m/>
    <s v="Rename"/>
    <x v="0"/>
    <x v="0"/>
    <s v="LS"/>
    <s v="renamed"/>
    <m/>
    <s v="Ruby Grace Garcia"/>
  </r>
  <r>
    <n v="932"/>
    <s v="F3"/>
    <x v="39"/>
    <s v="L000008568"/>
    <s v="Head of Tech Service, FM &amp; SFDC"/>
    <m/>
    <s v="Rename"/>
    <x v="0"/>
    <x v="0"/>
    <s v="LS"/>
    <s v="renamed"/>
    <m/>
    <s v="Ruby Grace Garcia"/>
  </r>
  <r>
    <n v="933"/>
    <s v="F3"/>
    <x v="39"/>
    <s v="L000013703"/>
    <s v="Marketing Ops"/>
    <m/>
    <s v="Rename"/>
    <x v="0"/>
    <x v="0"/>
    <s v="LS"/>
    <s v="renamed"/>
    <m/>
    <s v="Ruby Grace Garcia"/>
  </r>
  <r>
    <n v="934"/>
    <s v="F3"/>
    <x v="39"/>
    <s v="L000013701"/>
    <s v="LW NA"/>
    <m/>
    <s v="Rename"/>
    <x v="0"/>
    <x v="0"/>
    <s v="LS"/>
    <s v="renamed"/>
    <m/>
    <s v="Ruby Grace Garcia"/>
  </r>
  <r>
    <n v="935"/>
    <s v="F3"/>
    <x v="39"/>
    <s v="L000013694"/>
    <s v="LW WE"/>
    <m/>
    <s v="Rename"/>
    <x v="0"/>
    <x v="0"/>
    <s v="LS"/>
    <s v="renamed"/>
    <m/>
    <s v="Ruby Grace Garcia"/>
  </r>
  <r>
    <n v="936"/>
    <s v="F3"/>
    <x v="39"/>
    <s v="L000013388"/>
    <s v="LS-DDIT Life Science"/>
    <m/>
    <s v="Rename"/>
    <x v="0"/>
    <x v="0"/>
    <s v="LS"/>
    <s v="renamed"/>
    <m/>
    <s v="Ruby Grace Garcia"/>
  </r>
  <r>
    <n v="937"/>
    <s v="F3"/>
    <x v="39"/>
    <s v="L000013855"/>
    <m/>
    <s v="L000013881"/>
    <s v="Move"/>
    <x v="0"/>
    <x v="0"/>
    <s v="LS"/>
    <s v="moved"/>
    <m/>
    <s v="Ruby Grace Garcia"/>
  </r>
  <r>
    <n v="938"/>
    <s v="F3"/>
    <x v="39"/>
    <s v="L000007478"/>
    <m/>
    <s v="L000013531"/>
    <s v="Move"/>
    <x v="0"/>
    <x v="0"/>
    <s v="LS"/>
    <s v="moved"/>
    <m/>
    <s v="Ruby Grace Garcia"/>
  </r>
  <r>
    <n v="939"/>
    <s v="F3"/>
    <x v="39"/>
    <s v="L000013532"/>
    <m/>
    <s v="L000013882"/>
    <s v="Move"/>
    <x v="0"/>
    <x v="0"/>
    <s v="LS"/>
    <s v="moved"/>
    <m/>
    <s v="Ruby Grace Garcia"/>
  </r>
  <r>
    <n v="940"/>
    <s v="F3"/>
    <x v="39"/>
    <s v="L000012674"/>
    <m/>
    <s v="L000006568"/>
    <s v="Move"/>
    <x v="0"/>
    <x v="0"/>
    <s v="LS"/>
    <s v="moved"/>
    <m/>
    <s v="Ruby Grace Garcia"/>
  </r>
  <r>
    <n v="941"/>
    <s v="F3"/>
    <x v="39"/>
    <s v="L000012586"/>
    <m/>
    <s v="L000013847"/>
    <s v="Move"/>
    <x v="0"/>
    <x v="0"/>
    <s v="LS"/>
    <s v="moved"/>
    <m/>
    <s v="Ruby Grace Garcia"/>
  </r>
  <r>
    <n v="942"/>
    <s v="F3"/>
    <x v="39"/>
    <s v="L000006565"/>
    <m/>
    <s v="L000013847"/>
    <s v="Move"/>
    <x v="0"/>
    <x v="0"/>
    <s v="LS"/>
    <s v="moved"/>
    <m/>
    <s v="Ruby Grace Garcia"/>
  </r>
  <r>
    <n v="943"/>
    <s v="F3"/>
    <x v="39"/>
    <s v="L000006563"/>
    <m/>
    <s v="L000013847"/>
    <s v="Move"/>
    <x v="0"/>
    <x v="0"/>
    <s v="LS"/>
    <s v="moved"/>
    <m/>
    <s v="Ruby Grace Garcia"/>
  </r>
  <r>
    <n v="944"/>
    <s v="F3"/>
    <x v="39"/>
    <s v="L000013564"/>
    <m/>
    <s v="L000013880"/>
    <s v="Move"/>
    <x v="0"/>
    <x v="0"/>
    <s v="LS"/>
    <s v="moved"/>
    <m/>
    <s v="Ruby Grace Garcia"/>
  </r>
  <r>
    <n v="945"/>
    <s v="F3"/>
    <x v="39"/>
    <s v="L000011665"/>
    <m/>
    <s v="L000013880"/>
    <s v="Move"/>
    <x v="0"/>
    <x v="0"/>
    <s v="LS"/>
    <s v="moved"/>
    <m/>
    <s v="Ruby Grace Garcia"/>
  </r>
  <r>
    <n v="946"/>
    <s v="F3"/>
    <x v="39"/>
    <s v="L000011328"/>
    <m/>
    <s v="L000013734"/>
    <s v="Move"/>
    <x v="0"/>
    <x v="0"/>
    <s v="LS"/>
    <s v="moved"/>
    <m/>
    <s v="Ruby Grace Garcia"/>
  </r>
  <r>
    <n v="947"/>
    <s v="F3"/>
    <x v="39"/>
    <s v="L000011139"/>
    <m/>
    <s v="L000013388"/>
    <s v="Move"/>
    <x v="0"/>
    <x v="0"/>
    <s v="LS"/>
    <s v="moved"/>
    <m/>
    <s v="Ruby Grace Garcia"/>
  </r>
  <r>
    <n v="948"/>
    <s v="F3"/>
    <x v="39"/>
    <s v="L000007598"/>
    <m/>
    <s v="L000013388"/>
    <s v="Move"/>
    <x v="0"/>
    <x v="0"/>
    <s v="LS"/>
    <s v="moved"/>
    <m/>
    <s v="Ruby Grace Garcia"/>
  </r>
  <r>
    <n v="949"/>
    <s v="F3"/>
    <x v="39"/>
    <s v="L000006209"/>
    <m/>
    <s v="L000013891"/>
    <s v="Move"/>
    <x v="0"/>
    <x v="0"/>
    <s v="LS"/>
    <s v="moved"/>
    <m/>
    <s v="Ruby Grace Garcia"/>
  </r>
  <r>
    <n v="950"/>
    <s v="F3"/>
    <x v="39"/>
    <s v="L000012335"/>
    <m/>
    <s v="L000013892"/>
    <s v="Move"/>
    <x v="0"/>
    <x v="0"/>
    <s v="LS"/>
    <s v="moved"/>
    <m/>
    <s v="Ruby Grace Garcia"/>
  </r>
  <r>
    <n v="951"/>
    <s v="F3"/>
    <x v="39"/>
    <s v="L000013195"/>
    <m/>
    <s v="L000013893"/>
    <s v="Move"/>
    <x v="0"/>
    <x v="0"/>
    <s v="LS"/>
    <s v="moved"/>
    <m/>
    <s v="Ruby Grace Garcia"/>
  </r>
  <r>
    <n v="952"/>
    <s v="F3"/>
    <x v="39"/>
    <s v="L000005336"/>
    <m/>
    <s v="L000013736"/>
    <s v="Move"/>
    <x v="0"/>
    <x v="0"/>
    <s v="LS"/>
    <s v="moved"/>
    <m/>
    <s v="Ruby Grace Garcia"/>
  </r>
  <r>
    <n v="953"/>
    <s v="F3"/>
    <x v="39"/>
    <s v="L000013129"/>
    <m/>
    <s v="L000013679"/>
    <s v="Delete"/>
    <x v="0"/>
    <x v="0"/>
    <s v="LS"/>
    <s v="moved"/>
    <m/>
    <s v="Ruby Grace Garcia"/>
  </r>
  <r>
    <n v="954"/>
    <s v="F3"/>
    <x v="39"/>
    <s v="L000013145"/>
    <m/>
    <s v="L000013679"/>
    <s v="Delete"/>
    <x v="0"/>
    <x v="0"/>
    <s v="LS"/>
    <s v="moved"/>
    <m/>
    <s v="Ruby Grace Garcia"/>
  </r>
  <r>
    <n v="955"/>
    <s v="F3"/>
    <x v="39"/>
    <s v="L000011455"/>
    <m/>
    <s v="L000013679"/>
    <s v="Delete"/>
    <x v="0"/>
    <x v="0"/>
    <s v="LS"/>
    <s v="moved"/>
    <m/>
    <s v="Ruby Grace Garcia"/>
  </r>
  <r>
    <n v="956"/>
    <s v="F3"/>
    <x v="39"/>
    <s v="L000011454"/>
    <m/>
    <s v="L000013679"/>
    <s v="Delete"/>
    <x v="0"/>
    <x v="0"/>
    <s v="LS"/>
    <s v="moved"/>
    <m/>
    <s v="Ruby Grace Garcia"/>
  </r>
  <r>
    <n v="957"/>
    <s v="F3"/>
    <x v="39"/>
    <s v="L000011453"/>
    <m/>
    <s v="L000013679"/>
    <s v="Delete"/>
    <x v="0"/>
    <x v="0"/>
    <s v="LS"/>
    <s v="moved"/>
    <m/>
    <s v="Ruby Grace Garcia"/>
  </r>
  <r>
    <n v="958"/>
    <s v="F3"/>
    <x v="39"/>
    <s v="L000006463"/>
    <m/>
    <s v="L000013679"/>
    <s v="Delete"/>
    <x v="0"/>
    <x v="0"/>
    <s v="LS"/>
    <s v="moved"/>
    <m/>
    <s v="Ruby Grace Garcia"/>
  </r>
  <r>
    <n v="959"/>
    <s v="F3"/>
    <x v="39"/>
    <s v="L000006455"/>
    <m/>
    <s v="L000013679"/>
    <s v="Delete"/>
    <x v="0"/>
    <x v="0"/>
    <s v="LS"/>
    <s v="moved"/>
    <m/>
    <s v="Ruby Grace Garcia"/>
  </r>
  <r>
    <n v="960"/>
    <s v="F3"/>
    <x v="39"/>
    <s v="L000006451"/>
    <m/>
    <s v="L000013679"/>
    <s v="Delete"/>
    <x v="0"/>
    <x v="0"/>
    <s v="LS"/>
    <s v="moved"/>
    <m/>
    <s v="Ruby Grace Garcia"/>
  </r>
  <r>
    <n v="961"/>
    <s v="F3"/>
    <x v="39"/>
    <s v="L000006450"/>
    <m/>
    <s v="L000013679"/>
    <s v="Delete"/>
    <x v="0"/>
    <x v="0"/>
    <s v="LS"/>
    <s v="moved"/>
    <m/>
    <s v="Ruby Grace Garcia"/>
  </r>
  <r>
    <n v="962"/>
    <s v="F3"/>
    <x v="39"/>
    <s v="L000013740"/>
    <m/>
    <s v="L000013687"/>
    <s v="Delete"/>
    <x v="0"/>
    <x v="0"/>
    <s v="LS"/>
    <s v="moved"/>
    <m/>
    <s v="Ruby Grace Garcia"/>
  </r>
  <r>
    <n v="963"/>
    <s v="F3"/>
    <x v="39"/>
    <s v="L000013754"/>
    <m/>
    <s v="L000013687"/>
    <s v="Delete"/>
    <x v="0"/>
    <x v="0"/>
    <s v="LS"/>
    <s v="moved"/>
    <m/>
    <s v="Ruby Grace Garcia"/>
  </r>
  <r>
    <n v="964"/>
    <s v="F3"/>
    <x v="39"/>
    <s v="L000013756"/>
    <m/>
    <s v="L000013687"/>
    <s v="Delete"/>
    <x v="0"/>
    <x v="0"/>
    <s v="LS"/>
    <s v="moved"/>
    <m/>
    <s v="Ruby Grace Garcia"/>
  </r>
  <r>
    <n v="965"/>
    <s v="F3"/>
    <x v="39"/>
    <s v="L000012281"/>
    <m/>
    <s v="L000013687"/>
    <s v="Delete"/>
    <x v="0"/>
    <x v="0"/>
    <s v="LS"/>
    <s v="moved"/>
    <m/>
    <s v="Ruby Grace Garcia"/>
  </r>
  <r>
    <n v="966"/>
    <s v="F3"/>
    <x v="39"/>
    <s v="L000012968"/>
    <m/>
    <s v="L000013687"/>
    <s v="Delete"/>
    <x v="0"/>
    <x v="0"/>
    <s v="LS"/>
    <s v="moved"/>
    <m/>
    <s v="Ruby Grace Garcia"/>
  </r>
  <r>
    <n v="967"/>
    <s v="F3"/>
    <x v="39"/>
    <s v="L000012280"/>
    <m/>
    <s v="L000013687"/>
    <s v="Delete"/>
    <x v="0"/>
    <x v="0"/>
    <s v="LS"/>
    <s v="moved"/>
    <m/>
    <s v="Ruby Grace Garcia"/>
  </r>
  <r>
    <n v="968"/>
    <s v="F3"/>
    <x v="39"/>
    <s v="L000012430"/>
    <m/>
    <s v="L000013687"/>
    <s v="Delete"/>
    <x v="0"/>
    <x v="0"/>
    <s v="LS"/>
    <s v="moved"/>
    <m/>
    <s v="Ruby Grace Garcia"/>
  </r>
  <r>
    <n v="969"/>
    <s v="F3"/>
    <x v="39"/>
    <s v="L000012967"/>
    <m/>
    <s v="L000013687"/>
    <s v="Delete"/>
    <x v="0"/>
    <x v="0"/>
    <s v="LS"/>
    <s v="moved"/>
    <m/>
    <s v="Ruby Grace Garcia"/>
  </r>
  <r>
    <n v="970"/>
    <s v="F3"/>
    <x v="39"/>
    <s v="L000011337"/>
    <m/>
    <s v="L000013687"/>
    <s v="Delete"/>
    <x v="0"/>
    <x v="0"/>
    <s v="LS"/>
    <s v="moved"/>
    <m/>
    <s v="Ruby Grace Garcia"/>
  </r>
  <r>
    <n v="971"/>
    <s v="F3"/>
    <x v="39"/>
    <s v="L000013108"/>
    <m/>
    <s v="L000013687"/>
    <s v="Delete"/>
    <x v="0"/>
    <x v="0"/>
    <s v="LS"/>
    <s v="moved"/>
    <m/>
    <s v="Ruby Grace Garcia"/>
  </r>
  <r>
    <n v="972"/>
    <s v="F3"/>
    <x v="39"/>
    <s v="L000011154"/>
    <m/>
    <s v="L000013687"/>
    <s v="Delete"/>
    <x v="0"/>
    <x v="0"/>
    <s v="LS"/>
    <s v="moved"/>
    <m/>
    <s v="Ruby Grace Garcia"/>
  </r>
  <r>
    <n v="973"/>
    <s v="F3"/>
    <x v="39"/>
    <s v="L000011153"/>
    <m/>
    <s v="L000013687"/>
    <s v="Delete"/>
    <x v="0"/>
    <x v="0"/>
    <s v="LS"/>
    <s v="moved"/>
    <m/>
    <s v="Ruby Grace Garcia"/>
  </r>
  <r>
    <n v="974"/>
    <s v="F3"/>
    <x v="39"/>
    <s v="L000013620"/>
    <m/>
    <s v="L000013687"/>
    <s v="Delete"/>
    <x v="0"/>
    <x v="0"/>
    <s v="LS"/>
    <s v="moved"/>
    <m/>
    <s v="Ruby Grace Garcia"/>
  </r>
  <r>
    <n v="975"/>
    <s v="F3"/>
    <x v="39"/>
    <s v="L000013686"/>
    <m/>
    <s v="L000013687"/>
    <s v="Delete"/>
    <x v="0"/>
    <x v="0"/>
    <s v="LS"/>
    <s v="moved"/>
    <m/>
    <s v="Ruby Grace Garcia"/>
  </r>
  <r>
    <n v="976"/>
    <s v="F3"/>
    <x v="39"/>
    <s v="L000013374"/>
    <m/>
    <s v="L000013687"/>
    <s v="Delete"/>
    <x v="0"/>
    <x v="0"/>
    <s v="LS"/>
    <s v="moved"/>
    <m/>
    <s v="Ruby Grace Garcia"/>
  </r>
  <r>
    <n v="977"/>
    <s v="F3"/>
    <x v="40"/>
    <s v="G000001431"/>
    <s v="FPI SP - Spice income allocation"/>
    <s v="G000000001"/>
    <s v="New"/>
    <x v="0"/>
    <x v="0"/>
    <s v="MGF"/>
    <s v="pending approval"/>
    <m/>
    <s v="Jojeff Tagnong"/>
  </r>
  <r>
    <n v="978"/>
    <s v="F3"/>
    <x v="40"/>
    <s v="G000001432"/>
    <s v="SP - MGF Reporting"/>
    <s v="G000001431"/>
    <s v="New"/>
    <x v="0"/>
    <x v="0"/>
    <s v="MGF"/>
    <s v="pending approval"/>
    <m/>
    <s v="Jojeff Tagnong"/>
  </r>
  <r>
    <n v="979"/>
    <s v="F3"/>
    <x v="40"/>
    <s v="G000001433"/>
    <s v="SP - non-MGF Reporting"/>
    <s v="G000001431"/>
    <s v="New"/>
    <x v="0"/>
    <x v="0"/>
    <s v="MGF"/>
    <s v="pending approval"/>
    <m/>
    <s v="Jojeff Tagnong"/>
  </r>
  <r>
    <n v="980"/>
    <s v="F3"/>
    <x v="40"/>
    <s v="G000001434"/>
    <s v="GO3 SP - FPI Spice SM"/>
    <s v="G000001432"/>
    <s v="New"/>
    <x v="0"/>
    <x v="0"/>
    <s v="MGF"/>
    <s v="pending approval"/>
    <m/>
    <s v="Jojeff Tagnong"/>
  </r>
  <r>
    <n v="981"/>
    <s v="F3"/>
    <x v="40"/>
    <s v="G000001435"/>
    <s v="GO4 SP - FPI Spice IT"/>
    <s v="G000001432"/>
    <s v="New"/>
    <x v="0"/>
    <x v="0"/>
    <s v="MGF"/>
    <s v="pending approval"/>
    <m/>
    <s v="Jojeff Tagnong"/>
  </r>
  <r>
    <n v="982"/>
    <s v="F3"/>
    <x v="40"/>
    <s v="G000001436"/>
    <s v="GO5 SP - FPI Spice GES"/>
    <s v="G000001432"/>
    <s v="New"/>
    <x v="0"/>
    <x v="0"/>
    <s v="MGF"/>
    <s v="pending approval"/>
    <m/>
    <s v="Jojeff Tagnong"/>
  </r>
  <r>
    <n v="983"/>
    <s v="F3"/>
    <x v="40"/>
    <s v="G000001437"/>
    <s v="GO6 SP - FPI Spice EF"/>
    <s v="G000001432"/>
    <s v="New"/>
    <x v="0"/>
    <x v="0"/>
    <s v="MGF"/>
    <s v="pending approval"/>
    <m/>
    <s v="Jojeff Tagnong"/>
  </r>
  <r>
    <n v="984"/>
    <s v="F3"/>
    <x v="40"/>
    <s v="G000001438"/>
    <s v="GO7 SP - FPI Spice dummy"/>
    <s v="G000001432"/>
    <s v="New"/>
    <x v="0"/>
    <x v="0"/>
    <s v="MGF"/>
    <s v="pending approval"/>
    <m/>
    <s v="Jojeff Tagnong"/>
  </r>
  <r>
    <n v="985"/>
    <s v="F3"/>
    <x v="40"/>
    <s v="G000001439"/>
    <s v="FPI SP - Intercompany Charges"/>
    <s v="G000001433"/>
    <s v="New"/>
    <x v="0"/>
    <x v="0"/>
    <s v="MGF"/>
    <s v="pending approval"/>
    <m/>
    <s v="Jojeff Tagnong"/>
  </r>
  <r>
    <n v="986"/>
    <s v="F3"/>
    <x v="40"/>
    <s v="G000001440"/>
    <s v="FPI SP - Exceptionals"/>
    <s v="G000001433"/>
    <s v="New"/>
    <x v="0"/>
    <x v="0"/>
    <s v="MGF"/>
    <s v="pending approval"/>
    <m/>
    <s v="Jojeff Tagnong"/>
  </r>
  <r>
    <n v="987"/>
    <s v="F3"/>
    <x v="41"/>
    <s v="L000013894"/>
    <s v="LS-DI-R Innovation, R&amp;D, NPI &amp; Mast Data"/>
    <s v="L000013389"/>
    <s v="New"/>
    <x v="0"/>
    <x v="0"/>
    <s v="LS"/>
    <s v="pending approval"/>
    <m/>
    <s v="Jay-R Lizardo"/>
  </r>
  <r>
    <n v="988"/>
    <s v="F3"/>
    <x v="41"/>
    <s v="IT06051200"/>
    <s v="LS-DI-R Innovation, R&amp;D, NPI &amp; Mast Data"/>
    <s v="L000013894"/>
    <s v="New"/>
    <x v="0"/>
    <x v="0"/>
    <s v="LS"/>
    <s v="pending approval"/>
    <m/>
    <s v="Jay-R Lizardo"/>
  </r>
  <r>
    <n v="989"/>
    <s v="F3"/>
    <x v="41"/>
    <s v="L000013895"/>
    <s v="EF-DS-SEB Business Excellence"/>
    <s v="G000001416"/>
    <s v="New"/>
    <x v="0"/>
    <x v="0"/>
    <s v="LS"/>
    <s v="pending approval"/>
    <m/>
    <s v="Jay-R Lizardo"/>
  </r>
  <r>
    <n v="990"/>
    <s v="F3"/>
    <x v="41"/>
    <s v="IT09010100"/>
    <s v="EF-DS-SEB Business Excellence"/>
    <s v="L000013895"/>
    <s v="New"/>
    <x v="0"/>
    <x v="0"/>
    <s v="LS"/>
    <s v="pending approval"/>
    <m/>
    <s v="Jay-R Lizardo"/>
  </r>
  <r>
    <n v="991"/>
    <s v="F3"/>
    <x v="41"/>
    <s v="L000013896"/>
    <s v="EF-DS-SEM Performance Management"/>
    <s v="G000001416"/>
    <s v="New"/>
    <x v="0"/>
    <x v="0"/>
    <s v="LS"/>
    <s v="pending approval"/>
    <m/>
    <s v="Jay-R Lizardo"/>
  </r>
  <r>
    <n v="992"/>
    <s v="F3"/>
    <x v="41"/>
    <s v="IT09010200"/>
    <s v="EF-DS-SEM Performance Management"/>
    <s v="L000013896"/>
    <s v="New"/>
    <x v="0"/>
    <x v="0"/>
    <s v="LS"/>
    <s v="pending approval"/>
    <m/>
    <s v="Jay-R Lizardo"/>
  </r>
  <r>
    <n v="993"/>
    <s v="F3"/>
    <x v="41"/>
    <s v="L000013897"/>
    <s v="EF-DS-SEY Business Process Mgt. / L&amp;D"/>
    <s v="G000001416"/>
    <s v="New"/>
    <x v="0"/>
    <x v="0"/>
    <s v="LS"/>
    <s v="pending approval"/>
    <m/>
    <s v="Jay-R Lizardo"/>
  </r>
  <r>
    <n v="994"/>
    <s v="F3"/>
    <x v="41"/>
    <s v="IT09010300"/>
    <s v="EF-DS-SEY Business Process Mgt. / L&amp;D"/>
    <s v="L000013897"/>
    <s v="New"/>
    <x v="0"/>
    <x v="0"/>
    <s v="LS"/>
    <s v="pending approval"/>
    <m/>
    <s v="Jay-R Lizardo"/>
  </r>
  <r>
    <n v="995"/>
    <s v="F3"/>
    <x v="41"/>
    <s v="L000013898"/>
    <s v="EF-DS-DMS Supplier Master Data"/>
    <s v="G000001392"/>
    <s v="New"/>
    <x v="0"/>
    <x v="0"/>
    <s v="LS"/>
    <s v="pending approval"/>
    <m/>
    <s v="Jay-R Lizardo"/>
  </r>
  <r>
    <n v="996"/>
    <s v="F3"/>
    <x v="41"/>
    <s v="IT07030400"/>
    <s v="EF-DS-DMS Supplier Master Data"/>
    <s v="L000013898"/>
    <s v="New"/>
    <x v="0"/>
    <x v="0"/>
    <s v="LS"/>
    <s v="pending approval"/>
    <m/>
    <s v="Jay-R Lizardo"/>
  </r>
  <r>
    <n v="997"/>
    <s v="F3"/>
    <x v="42"/>
    <s v="L000013899"/>
    <s v="MEMPHIS 3PL WH"/>
    <s v="L000009795"/>
    <s v="New"/>
    <x v="0"/>
    <x v="0"/>
    <s v="LS"/>
    <s v="pending approval"/>
    <m/>
    <s v="Jay Schafer"/>
  </r>
  <r>
    <n v="998"/>
    <s v="F3"/>
    <x v="43"/>
    <s v="H000000616"/>
    <s v="Global CMC Development"/>
    <m/>
    <s v="Rename"/>
    <x v="0"/>
    <x v="0"/>
    <s v="HC"/>
    <s v="renamed"/>
    <m/>
    <s v="Henry Ifurung Jr."/>
  </r>
  <r>
    <n v="999"/>
    <s v="F3"/>
    <x v="43"/>
    <s v="H000000643"/>
    <s v="Global GCD"/>
    <m/>
    <s v="Rename"/>
    <x v="0"/>
    <x v="0"/>
    <s v="HC"/>
    <s v="renamed"/>
    <m/>
    <s v="Henry Ifurung Jr."/>
  </r>
  <r>
    <n v="1000"/>
    <s v="F3"/>
    <x v="43"/>
    <s v="H000000860"/>
    <s v="Darmstadt GCD"/>
    <m/>
    <s v="Rename"/>
    <x v="0"/>
    <x v="0"/>
    <s v="HC"/>
    <s v="renamed"/>
    <m/>
    <s v="Henry Ifurung Jr."/>
  </r>
  <r>
    <n v="1001"/>
    <s v="F3"/>
    <x v="43"/>
    <s v="H000000676"/>
    <s v="Local HCQ"/>
    <m/>
    <s v="Rename"/>
    <x v="0"/>
    <x v="0"/>
    <s v="HC"/>
    <s v="renamed"/>
    <m/>
    <s v="Henry Ifurung Jr."/>
  </r>
  <r>
    <n v="1002"/>
    <s v="F3"/>
    <x v="44"/>
    <s v="P000000007"/>
    <m/>
    <s v="P000000000"/>
    <s v="Move"/>
    <x v="0"/>
    <x v="0"/>
    <e v="#N/A"/>
    <s v="pending approval"/>
    <m/>
    <s v="Monika Swiatek"/>
  </r>
  <r>
    <n v="1003"/>
    <s v="F3"/>
    <x v="45"/>
    <s v="L000010198"/>
    <m/>
    <s v="L000013877"/>
    <s v="Move"/>
    <x v="0"/>
    <x v="0"/>
    <s v="LS"/>
    <s v="pending approval"/>
    <m/>
    <s v="Ruby Grace Garcia"/>
  </r>
  <r>
    <n v="1004"/>
    <s v="F3"/>
    <x v="45"/>
    <s v="L000013496"/>
    <m/>
    <s v="L000013877"/>
    <s v="Move"/>
    <x v="0"/>
    <x v="0"/>
    <s v="LS"/>
    <s v="pending approval"/>
    <m/>
    <s v="Ruby Grace Garcia"/>
  </r>
  <r>
    <n v="1005"/>
    <s v="F3"/>
    <x v="46"/>
    <s v="IT09020400"/>
    <s v="EF-DS-SGS IT Service Management"/>
    <s v="G000000730"/>
    <s v="New"/>
    <x v="0"/>
    <x v="0"/>
    <s v="MGF"/>
    <m/>
    <m/>
    <s v="Joshua Cachola"/>
  </r>
  <r>
    <n v="1006"/>
    <s v="F3"/>
    <x v="46"/>
    <s v="IT09020500"/>
    <s v="EF-DS-SGT IT Service Continuity &amp; IT Risk Management"/>
    <s v="G000000894"/>
    <s v="New"/>
    <x v="0"/>
    <x v="0"/>
    <s v="MGF"/>
    <m/>
    <m/>
    <s v="Joshua Cachola"/>
  </r>
  <r>
    <n v="1007"/>
    <s v="F3"/>
    <x v="47"/>
    <s v="IT06071200"/>
    <m/>
    <s v="G000001276"/>
    <s v="Move"/>
    <x v="0"/>
    <x v="0"/>
    <s v="LS"/>
    <m/>
    <m/>
    <s v="Jay-R Lizardo"/>
  </r>
  <r>
    <n v="1008"/>
    <s v="F3"/>
    <x v="47"/>
    <s v="IT06071300"/>
    <m/>
    <s v="G000001276"/>
    <s v="Move"/>
    <x v="0"/>
    <x v="0"/>
    <s v="LS"/>
    <m/>
    <m/>
    <s v="Jay-R Lizardo"/>
  </r>
  <r>
    <n v="1009"/>
    <s v="F3"/>
    <x v="47"/>
    <s v="IT07010200"/>
    <m/>
    <s v="G000001396"/>
    <s v="Move"/>
    <x v="0"/>
    <x v="0"/>
    <s v="LS"/>
    <m/>
    <m/>
    <s v="Jay-R Lizardo"/>
  </r>
  <r>
    <n v="1010"/>
    <s v="F3"/>
    <x v="47"/>
    <s v="IT06021100"/>
    <m/>
    <s v="G000001235"/>
    <s v="Move"/>
    <x v="0"/>
    <x v="0"/>
    <s v="LS"/>
    <m/>
    <m/>
    <s v="Jay-R Lizardo"/>
  </r>
  <r>
    <n v="1011"/>
    <s v="F3"/>
    <x v="47"/>
    <s v="IT06020300"/>
    <m/>
    <s v="G000001235"/>
    <s v="Move"/>
    <x v="0"/>
    <x v="0"/>
    <s v="LS"/>
    <m/>
    <m/>
    <s v="Jay-R Lizardo"/>
  </r>
  <r>
    <n v="1012"/>
    <s v="F3"/>
    <x v="48"/>
    <s v="H000004403"/>
    <s v="Site Operations US"/>
    <s v="H000000829"/>
    <s v="New"/>
    <x v="0"/>
    <x v="0"/>
    <s v="HC"/>
    <m/>
    <m/>
    <s v="Gay Geanuza del Mundo"/>
  </r>
  <r>
    <n v="1013"/>
    <s v="F3"/>
    <x v="49"/>
    <s v="G000001441"/>
    <s v="EF-DS-SEB Business Excellence"/>
    <s v="G000001416"/>
    <s v="New"/>
    <x v="0"/>
    <x v="0"/>
    <s v="LS"/>
    <m/>
    <m/>
    <s v="Jay-R Lizardo"/>
  </r>
  <r>
    <n v="1014"/>
    <s v="F3"/>
    <x v="49"/>
    <s v="G000001442"/>
    <s v="EF-DS-SEM Performance Management"/>
    <s v="G000001416"/>
    <s v="New"/>
    <x v="0"/>
    <x v="0"/>
    <s v="LS"/>
    <m/>
    <m/>
    <s v="Jay-R Lizardo"/>
  </r>
  <r>
    <n v="1015"/>
    <s v="F3"/>
    <x v="49"/>
    <s v="G000001443"/>
    <s v="EF-DS-SEY Business Process Mgt. / L&amp;D"/>
    <s v="G000001416"/>
    <s v="New"/>
    <x v="0"/>
    <x v="0"/>
    <s v="LS"/>
    <m/>
    <m/>
    <s v="Jay-R Lizardo"/>
  </r>
  <r>
    <n v="1016"/>
    <s v="F3"/>
    <x v="49"/>
    <s v="G000001444"/>
    <s v="EF-DS-DMS Supplier Master Data"/>
    <s v="G000001392"/>
    <s v="New"/>
    <x v="0"/>
    <x v="0"/>
    <s v="LS"/>
    <m/>
    <m/>
    <s v="Jay-R Lizardo"/>
  </r>
  <r>
    <n v="1017"/>
    <s v="F3"/>
    <x v="49"/>
    <s v="IT09010100"/>
    <m/>
    <s v="G000001441"/>
    <s v="Move"/>
    <x v="0"/>
    <x v="0"/>
    <s v="LS"/>
    <m/>
    <m/>
    <s v="Jay-R Lizardo"/>
  </r>
  <r>
    <n v="1018"/>
    <s v="F3"/>
    <x v="49"/>
    <s v="IT09010200"/>
    <m/>
    <s v="G000001442"/>
    <s v="Move"/>
    <x v="0"/>
    <x v="0"/>
    <s v="LS"/>
    <m/>
    <m/>
    <s v="Jay-R Lizardo"/>
  </r>
  <r>
    <n v="1019"/>
    <s v="F3"/>
    <x v="49"/>
    <s v="IT09010300"/>
    <m/>
    <s v="G000001443"/>
    <s v="Move"/>
    <x v="0"/>
    <x v="0"/>
    <s v="LS"/>
    <m/>
    <m/>
    <s v="Jay-R Lizardo"/>
  </r>
  <r>
    <n v="1020"/>
    <s v="F3"/>
    <x v="49"/>
    <s v="IT07030400"/>
    <m/>
    <s v="G000001444"/>
    <s v="Move"/>
    <x v="0"/>
    <x v="0"/>
    <s v="LS"/>
    <m/>
    <m/>
    <s v="Jay-R Lizardo"/>
  </r>
  <r>
    <n v="1021"/>
    <s v="F3"/>
    <x v="49"/>
    <s v="L000013895"/>
    <m/>
    <m/>
    <s v="Delete"/>
    <x v="0"/>
    <x v="0"/>
    <s v="LS"/>
    <m/>
    <m/>
    <s v="Jay-R Lizardo"/>
  </r>
  <r>
    <n v="1022"/>
    <s v="F3"/>
    <x v="49"/>
    <s v="L000013896"/>
    <m/>
    <m/>
    <s v="Delete"/>
    <x v="0"/>
    <x v="0"/>
    <s v="LS"/>
    <m/>
    <m/>
    <s v="Jay-R Lizardo"/>
  </r>
  <r>
    <n v="1023"/>
    <s v="F3"/>
    <x v="49"/>
    <s v="L000013897"/>
    <m/>
    <m/>
    <s v="Delete"/>
    <x v="0"/>
    <x v="0"/>
    <s v="LS"/>
    <m/>
    <m/>
    <s v="Jay-R Lizardo"/>
  </r>
  <r>
    <n v="1024"/>
    <s v="F3"/>
    <x v="49"/>
    <s v="L000013898"/>
    <m/>
    <m/>
    <s v="Delete"/>
    <x v="0"/>
    <x v="0"/>
    <s v="LS"/>
    <m/>
    <m/>
    <s v="Jay-R Lizardo"/>
  </r>
  <r>
    <n v="1025"/>
    <s v="F3"/>
    <x v="50"/>
    <s v="H000000676"/>
    <m/>
    <s v="H000000616"/>
    <s v="Move"/>
    <x v="0"/>
    <x v="0"/>
    <s v="HC"/>
    <m/>
    <m/>
    <s v="Henry Ifurung Jr."/>
  </r>
  <r>
    <n v="1026"/>
    <s v="F3"/>
    <x v="51"/>
    <s v="G000001445"/>
    <s v="EF-DS-HI Intelligent Automation"/>
    <s v="G000001378"/>
    <s v="New"/>
    <x v="0"/>
    <x v="0"/>
    <s v="LS"/>
    <m/>
    <m/>
    <s v="Jay-R Lizardo"/>
  </r>
  <r>
    <n v="1027"/>
    <s v="F3"/>
    <x v="51"/>
    <s v="IT01000100"/>
    <s v="EF-DS-HI Intelligent Automation"/>
    <s v="G000001445"/>
    <s v="New"/>
    <x v="0"/>
    <x v="0"/>
    <s v="LS"/>
    <m/>
    <m/>
    <s v="Jay-R Lizardo"/>
  </r>
  <r>
    <n v="1028"/>
    <s v="F3"/>
    <x v="51"/>
    <s v="G000001446"/>
    <s v="EF-DS-HT Automation Technology"/>
    <s v="G000001378"/>
    <s v="New"/>
    <x v="0"/>
    <x v="0"/>
    <s v="LS"/>
    <m/>
    <m/>
    <s v="Jay-R Lizardo"/>
  </r>
  <r>
    <n v="1029"/>
    <s v="F3"/>
    <x v="51"/>
    <s v="IT01000200"/>
    <s v="EF-DS-HT Automation Technology"/>
    <s v="G000001446"/>
    <s v="New"/>
    <x v="0"/>
    <x v="0"/>
    <s v="LS"/>
    <m/>
    <m/>
    <s v="Jay-R Lizardo"/>
  </r>
  <r>
    <n v="1030"/>
    <s v="F3"/>
    <x v="51"/>
    <s v="IT01000000"/>
    <s v="EF-DS-H Hyperautomation"/>
    <s v="G000001378"/>
    <s v="New"/>
    <x v="0"/>
    <x v="0"/>
    <s v="LS"/>
    <m/>
    <m/>
    <s v="Jay-R Lizardo"/>
  </r>
  <r>
    <n v="1031"/>
    <s v="F3"/>
    <x v="51"/>
    <s v="G000001378"/>
    <s v="EF-DS-H Hyperautomation"/>
    <m/>
    <s v="Rename"/>
    <x v="0"/>
    <x v="0"/>
    <s v="LS"/>
    <m/>
    <m/>
    <s v="Jay-R Lizardo"/>
  </r>
  <r>
    <n v="1032"/>
    <s v="F3"/>
    <x v="51"/>
    <s v="L000013894"/>
    <m/>
    <s v="L000013775"/>
    <s v="Move"/>
    <x v="0"/>
    <x v="0"/>
    <s v="LS"/>
    <m/>
    <m/>
    <s v="Jay-R Lizardo"/>
  </r>
  <r>
    <n v="1033"/>
    <s v="F3"/>
    <x v="52"/>
    <s v="G000001102"/>
    <s v="F87 ST - Bluehouse NextGen Drug Del."/>
    <m/>
    <s v="Rename"/>
    <x v="0"/>
    <x v="0"/>
    <s v="MGF"/>
    <m/>
    <m/>
    <s v="Jojeff Tagnong"/>
  </r>
  <r>
    <n v="1034"/>
    <s v="F3"/>
    <x v="53"/>
    <s v="H000004404"/>
    <s v="GPA People cost"/>
    <s v="H000000164"/>
    <s v="New"/>
    <x v="0"/>
    <x v="0"/>
    <s v="HC"/>
    <m/>
    <m/>
    <s v="Henry Ifurung Jr."/>
  </r>
  <r>
    <n v="1035"/>
    <s v="F3"/>
    <x v="53"/>
    <s v="H000004405"/>
    <s v="GPA Program spend"/>
    <s v="H000000164"/>
    <s v="New"/>
    <x v="0"/>
    <x v="0"/>
    <s v="HC"/>
    <m/>
    <m/>
    <s v="Henry Ifurung Jr."/>
  </r>
  <r>
    <n v="1036"/>
    <s v="F3"/>
    <x v="53"/>
    <s v="H000004406"/>
    <s v="GPA Other"/>
    <s v="H000000164"/>
    <s v="New"/>
    <x v="0"/>
    <x v="0"/>
    <s v="HC"/>
    <m/>
    <m/>
    <s v="Henry Ifurung Jr."/>
  </r>
  <r>
    <n v="1037"/>
    <s v="F3"/>
    <x v="54"/>
    <s v="H000004407"/>
    <s v="RT Europe COM"/>
    <s v="H000004396"/>
    <s v="New"/>
    <x v="0"/>
    <x v="0"/>
    <s v="HC"/>
    <m/>
    <m/>
    <s v="Henry Ifurung Jr."/>
  </r>
  <r>
    <n v="1038"/>
    <s v="F3"/>
    <x v="54"/>
    <s v="H000004408"/>
    <s v="RT Europe Hub COM"/>
    <s v="H000004407"/>
    <s v="New"/>
    <x v="0"/>
    <x v="0"/>
    <s v="HC"/>
    <m/>
    <m/>
    <s v="Henry Ifurung Jr."/>
  </r>
  <r>
    <n v="1039"/>
    <s v="F3"/>
    <x v="54"/>
    <s v="H000004409"/>
    <s v="RT Europe MED"/>
    <s v="H000004396"/>
    <s v="New"/>
    <x v="0"/>
    <x v="0"/>
    <s v="HC"/>
    <m/>
    <m/>
    <s v="Henry Ifurung Jr."/>
  </r>
  <r>
    <n v="1040"/>
    <s v="F3"/>
    <x v="54"/>
    <s v="H000004410"/>
    <s v="RT Europe Hub MED"/>
    <s v="H000004409"/>
    <s v="New"/>
    <x v="0"/>
    <x v="0"/>
    <s v="HC"/>
    <m/>
    <m/>
    <s v="Henry Ifurung Jr."/>
  </r>
  <r>
    <n v="1041"/>
    <s v="F3"/>
    <x v="54"/>
    <s v="H000004411"/>
    <s v="RT Germany Commercial"/>
    <s v="H000004409"/>
    <s v="New"/>
    <x v="0"/>
    <x v="0"/>
    <s v="HC"/>
    <m/>
    <m/>
    <s v="Henry Ifurung Jr."/>
  </r>
  <r>
    <n v="1042"/>
    <s v="F3"/>
    <x v="54"/>
    <s v="H000004412"/>
    <s v="RT Germany Field Force"/>
    <s v="H000004411"/>
    <s v="New"/>
    <x v="0"/>
    <x v="0"/>
    <s v="HC"/>
    <m/>
    <m/>
    <s v="Henry Ifurung Jr."/>
  </r>
  <r>
    <n v="1043"/>
    <s v="F3"/>
    <x v="54"/>
    <s v="H000004413"/>
    <s v="RT Germany Marketing"/>
    <s v="H000004411"/>
    <s v="New"/>
    <x v="0"/>
    <x v="0"/>
    <s v="HC"/>
    <m/>
    <m/>
    <s v="Henry Ifurung Jr."/>
  </r>
  <r>
    <n v="1044"/>
    <s v="F3"/>
    <x v="54"/>
    <s v="H000004414"/>
    <s v="RT Germany  Sales Promotion"/>
    <s v="H000004411"/>
    <s v="New"/>
    <x v="0"/>
    <x v="0"/>
    <s v="HC"/>
    <m/>
    <m/>
    <s v="Henry Ifurung Jr."/>
  </r>
  <r>
    <n v="1045"/>
    <s v="F3"/>
    <x v="54"/>
    <s v="H000004415"/>
    <s v="RT Ogsiveo Sales Promotion - Activities"/>
    <s v="H000004414"/>
    <s v="New"/>
    <x v="0"/>
    <x v="0"/>
    <s v="HC"/>
    <m/>
    <m/>
    <s v="Henry Ifurung Jr."/>
  </r>
  <r>
    <n v="1046"/>
    <s v="F3"/>
    <x v="54"/>
    <s v="H000004416"/>
    <s v="RT Ezmekly Sales Promotion - Activities"/>
    <s v="H000004414"/>
    <s v="New"/>
    <x v="0"/>
    <x v="0"/>
    <s v="HC"/>
    <m/>
    <m/>
    <s v="Henry Ifurung Jr."/>
  </r>
  <r>
    <n v="1047"/>
    <s v="F3"/>
    <x v="54"/>
    <s v="H000004417"/>
    <s v="RT Germany - General"/>
    <s v="H000004411"/>
    <s v="New"/>
    <x v="0"/>
    <x v="0"/>
    <s v="HC"/>
    <m/>
    <m/>
    <s v="Henry Ifurung Jr."/>
  </r>
  <r>
    <n v="1048"/>
    <s v="F3"/>
    <x v="54"/>
    <s v="H000004418"/>
    <s v="RT - General Management"/>
    <s v="H000004417"/>
    <s v="New"/>
    <x v="0"/>
    <x v="0"/>
    <s v="HC"/>
    <m/>
    <m/>
    <s v="Henry Ifurung Jr."/>
  </r>
  <r>
    <n v="1049"/>
    <s v="F3"/>
    <x v="54"/>
    <s v="H000004419"/>
    <s v="RT Germany - MAP"/>
    <s v="H000004417"/>
    <s v="New"/>
    <x v="0"/>
    <x v="0"/>
    <s v="HC"/>
    <m/>
    <m/>
    <s v="Henry Ifurung Jr."/>
  </r>
  <r>
    <n v="1050"/>
    <s v="F3"/>
    <x v="54"/>
    <s v="H000004420"/>
    <s v="RT Germany  - GAP"/>
    <s v="H000004417"/>
    <s v="New"/>
    <x v="0"/>
    <x v="0"/>
    <s v="HC"/>
    <m/>
    <m/>
    <s v="Henry Ifurung Jr."/>
  </r>
  <r>
    <n v="1051"/>
    <s v="F3"/>
    <x v="54"/>
    <s v="H000004421"/>
    <s v="RT Germany  - Business Ops"/>
    <s v="H000004417"/>
    <s v="New"/>
    <x v="0"/>
    <x v="0"/>
    <s v="HC"/>
    <m/>
    <m/>
    <s v="Henry Ifurung Jr."/>
  </r>
  <r>
    <n v="1052"/>
    <s v="F3"/>
    <x v="54"/>
    <s v="H000004422"/>
    <s v="RT Germany - Other Operating Expense"/>
    <s v="H000004417"/>
    <s v="New"/>
    <x v="0"/>
    <x v="0"/>
    <s v="HC"/>
    <m/>
    <m/>
    <s v="Henry Ifurung Jr."/>
  </r>
  <r>
    <n v="1053"/>
    <s v="F3"/>
    <x v="54"/>
    <s v="H000004423"/>
    <s v="RT Germany Medical &amp; local R&amp;D"/>
    <s v="H000004409"/>
    <s v="New"/>
    <x v="0"/>
    <x v="0"/>
    <s v="HC"/>
    <m/>
    <m/>
    <s v="Henry Ifurung Jr."/>
  </r>
  <r>
    <n v="1054"/>
    <s v="F3"/>
    <x v="54"/>
    <s v="H000004424"/>
    <s v="RT Germany  - Medical cost center"/>
    <s v="H000004423"/>
    <s v="New"/>
    <x v="0"/>
    <x v="0"/>
    <s v="HC"/>
    <m/>
    <m/>
    <s v="Henry Ifurung Jr."/>
  </r>
  <r>
    <n v="1055"/>
    <s v="F3"/>
    <x v="54"/>
    <s v="H000004425"/>
    <s v="RT Germany - Medical Non-R&amp;D Activities"/>
    <s v="H000004423"/>
    <s v="New"/>
    <x v="0"/>
    <x v="0"/>
    <s v="HC"/>
    <m/>
    <m/>
    <s v="Henry Ifurung Jr."/>
  </r>
  <r>
    <n v="1056"/>
    <s v="F3"/>
    <x v="54"/>
    <s v="H000004426"/>
    <s v="RT - Ogsiveo Medical Activities"/>
    <s v="H000004425"/>
    <s v="New"/>
    <x v="0"/>
    <x v="0"/>
    <s v="HC"/>
    <m/>
    <m/>
    <s v="Henry Ifurung Jr."/>
  </r>
  <r>
    <n v="1057"/>
    <s v="F3"/>
    <x v="54"/>
    <s v="H000004427"/>
    <s v="RT - Ezmekly Medical Activities"/>
    <s v="H000004425"/>
    <s v="New"/>
    <x v="0"/>
    <x v="0"/>
    <s v="HC"/>
    <m/>
    <m/>
    <s v="Henry Ifurung Jr."/>
  </r>
  <r>
    <n v="1058"/>
    <s v="F3"/>
    <x v="54"/>
    <s v="H000004428"/>
    <s v="RT Germany - Local R&amp;D - Studies"/>
    <s v="H000004423"/>
    <s v="New"/>
    <x v="0"/>
    <x v="0"/>
    <s v="HC"/>
    <m/>
    <m/>
    <s v="Henry Ifurung Jr."/>
  </r>
  <r>
    <n v="1059"/>
    <s v="F3"/>
    <x v="54"/>
    <s v="H000004429"/>
    <s v="RT Germany - Ogsiveo Local R&amp;D Studies"/>
    <s v="H000004428"/>
    <s v="New"/>
    <x v="0"/>
    <x v="0"/>
    <s v="HC"/>
    <m/>
    <m/>
    <s v="Henry Ifurung Jr."/>
  </r>
  <r>
    <n v="1060"/>
    <s v="F3"/>
    <x v="54"/>
    <s v="H000004430"/>
    <s v="RT Germany - Ezmekly Local R&amp;D Studies"/>
    <s v="H000004428"/>
    <s v="New"/>
    <x v="0"/>
    <x v="0"/>
    <s v="HC"/>
    <m/>
    <m/>
    <s v="Henry Ifurung Jr."/>
  </r>
  <r>
    <n v="1061"/>
    <s v="F3"/>
    <x v="55"/>
    <s v="RDC0000091"/>
    <s v="Global Health other"/>
    <s v="RDC0000068"/>
    <s v="Rename/Move"/>
    <x v="0"/>
    <x v="0"/>
    <s v="MGF"/>
    <m/>
    <m/>
    <s v="Erjo Miguel Tagle"/>
  </r>
  <r>
    <n v="1062"/>
    <s v="F3"/>
    <x v="55"/>
    <s v="RDC0000092"/>
    <s v="Global Health Institute"/>
    <s v="RDC0000068"/>
    <s v="Rename/Move"/>
    <x v="0"/>
    <x v="0"/>
    <s v="MGF"/>
    <m/>
    <m/>
    <s v="Erjo Miguel Tagle"/>
  </r>
  <r>
    <n v="1063"/>
    <s v="F3"/>
    <x v="55"/>
    <s v="RDC0000093"/>
    <s v="Global Health IC"/>
    <s v="RDC0000992"/>
    <s v="Rename/Move"/>
    <x v="0"/>
    <x v="0"/>
    <s v="MGF"/>
    <m/>
    <m/>
    <s v="Erjo Miguel Tagle"/>
  </r>
  <r>
    <n v="1064"/>
    <s v="F3"/>
    <x v="56"/>
    <s v="H000004411"/>
    <m/>
    <s v="H000004407"/>
    <s v="Move"/>
    <x v="0"/>
    <x v="0"/>
    <s v="HC"/>
    <m/>
    <m/>
    <s v="Henry Ifurung Jr."/>
  </r>
  <r>
    <n v="1065"/>
    <s v="F3"/>
    <x v="57"/>
    <s v="G000001447"/>
    <s v="EF-DS-HE Integrated Process Excellence"/>
    <s v="G000001378"/>
    <s v="New"/>
    <x v="0"/>
    <x v="0"/>
    <s v="LS"/>
    <m/>
    <m/>
    <s v="Jay-R Lizardo"/>
  </r>
  <r>
    <n v="1066"/>
    <s v="F3"/>
    <x v="57"/>
    <s v="IT01000300"/>
    <s v="EF-DS-HE Integrated Process Excellence"/>
    <s v="G000001447"/>
    <s v="New"/>
    <x v="0"/>
    <x v="0"/>
    <s v="LS"/>
    <m/>
    <m/>
    <s v="Jay-R Lizardo"/>
  </r>
  <r>
    <n v="1067"/>
    <s v="F3"/>
    <x v="57"/>
    <s v="G000001448"/>
    <s v="EF-DS-HP Process Intelligence Practice"/>
    <s v="G000001378"/>
    <s v="New"/>
    <x v="0"/>
    <x v="0"/>
    <s v="LS"/>
    <m/>
    <m/>
    <s v="Jay-R Lizardo"/>
  </r>
  <r>
    <n v="1068"/>
    <s v="F3"/>
    <x v="57"/>
    <s v="IT01000400"/>
    <s v="EF-DS-HP Process Intelligence Practice"/>
    <s v="G000001448"/>
    <s v="New"/>
    <x v="0"/>
    <x v="0"/>
    <s v="LS"/>
    <m/>
    <m/>
    <s v="Jay-R Lizardo"/>
  </r>
  <r>
    <n v="1069"/>
    <s v="F3"/>
    <x v="57"/>
    <s v="G000001449"/>
    <s v="EF-DS-HS ServiceNow CoE"/>
    <s v="G000001378"/>
    <s v="New"/>
    <x v="0"/>
    <x v="0"/>
    <s v="LS"/>
    <m/>
    <m/>
    <s v="Jay-R Lizardo"/>
  </r>
  <r>
    <n v="1070"/>
    <s v="F3"/>
    <x v="57"/>
    <s v="IT01000500"/>
    <s v="EF-DS-HS ServiceNow CoE"/>
    <s v="G000001449"/>
    <s v="New"/>
    <x v="0"/>
    <x v="0"/>
    <s v="LS"/>
    <m/>
    <m/>
    <s v="Jay-R Lizardo"/>
  </r>
  <r>
    <n v="1071"/>
    <s v="F3"/>
    <x v="57"/>
    <s v="G000001446"/>
    <s v="EF-DS-HA Automation Strategy"/>
    <m/>
    <s v="Rename"/>
    <x v="0"/>
    <x v="0"/>
    <s v="LS"/>
    <m/>
    <m/>
    <s v="Jay-R Lizardo"/>
  </r>
  <r>
    <n v="1072"/>
    <s v="F3"/>
    <x v="57"/>
    <s v="IT01000200"/>
    <s v="EF-DS-HA Automation Strategy"/>
    <m/>
    <s v="Rename"/>
    <x v="0"/>
    <x v="0"/>
    <s v="LS"/>
    <m/>
    <m/>
    <s v="Jay-R Lizardo"/>
  </r>
  <r>
    <n v="1073"/>
    <s v="F3"/>
    <x v="58"/>
    <s v="L000013900"/>
    <s v="eCommerce Products -G"/>
    <s v="L000007597"/>
    <s v="New"/>
    <x v="0"/>
    <x v="0"/>
    <s v="LS"/>
    <m/>
    <m/>
    <s v="Hui Zhang"/>
  </r>
  <r>
    <n v="1074"/>
    <s v="F0"/>
    <x v="59"/>
    <s v="H000004431"/>
    <s v="Healthcare Digital Projects"/>
    <s v="H000000456"/>
    <s v="New"/>
    <x v="0"/>
    <x v="0"/>
    <s v="LS"/>
    <m/>
    <m/>
    <s v="Jay-R Lizardo"/>
  </r>
  <r>
    <n v="1075"/>
    <s v="F0"/>
    <x v="59"/>
    <s v="IT08010000"/>
    <s v="HC_(non-IT)"/>
    <s v="H000004431"/>
    <s v="New"/>
    <x v="0"/>
    <x v="0"/>
    <s v="LS"/>
    <m/>
    <m/>
    <s v="Jay-R Lizardo"/>
  </r>
  <r>
    <n v="1076"/>
    <s v="F0"/>
    <x v="60"/>
    <s v="H000004432"/>
    <s v="RT UK Commercial"/>
    <s v="H000004407"/>
    <s v="New"/>
    <x v="0"/>
    <x v="0"/>
    <s v="HC"/>
    <m/>
    <m/>
    <s v="Henry Ifurung Jr."/>
  </r>
  <r>
    <n v="1077"/>
    <s v="F0"/>
    <x v="60"/>
    <s v="H000004433"/>
    <s v="RT UK Field Force"/>
    <s v="H000004432"/>
    <s v="New"/>
    <x v="0"/>
    <x v="0"/>
    <s v="HC"/>
    <m/>
    <m/>
    <s v="Henry Ifurung Jr."/>
  </r>
  <r>
    <n v="1078"/>
    <s v="F0"/>
    <x v="60"/>
    <s v="H000004434"/>
    <s v="RT UK Marketing"/>
    <s v="H000004432"/>
    <s v="New"/>
    <x v="0"/>
    <x v="0"/>
    <s v="HC"/>
    <m/>
    <m/>
    <s v="Henry Ifurung Jr."/>
  </r>
  <r>
    <n v="1079"/>
    <s v="F0"/>
    <x v="60"/>
    <s v="H000004435"/>
    <s v="RT UK Sales Promotion"/>
    <s v="H000004432"/>
    <s v="New"/>
    <x v="0"/>
    <x v="0"/>
    <s v="HC"/>
    <m/>
    <m/>
    <s v="Henry Ifurung Jr."/>
  </r>
  <r>
    <n v="1080"/>
    <s v="F0"/>
    <x v="60"/>
    <s v="H000004436"/>
    <s v="RT UK Ogsiveo Sales Promotion"/>
    <s v="H000004435"/>
    <s v="New"/>
    <x v="0"/>
    <x v="0"/>
    <s v="HC"/>
    <m/>
    <m/>
    <s v="Henry Ifurung Jr."/>
  </r>
  <r>
    <n v="1081"/>
    <s v="F0"/>
    <x v="60"/>
    <s v="H000004437"/>
    <s v="RT UK Ezmekly Sales Promotion"/>
    <s v="H000004435"/>
    <s v="New"/>
    <x v="0"/>
    <x v="0"/>
    <s v="HC"/>
    <m/>
    <m/>
    <s v="Henry Ifurung Jr."/>
  </r>
  <r>
    <n v="1082"/>
    <s v="F0"/>
    <x v="60"/>
    <s v="H000004438"/>
    <s v="RT UK - General"/>
    <s v="H000004432"/>
    <s v="New"/>
    <x v="0"/>
    <x v="0"/>
    <s v="HC"/>
    <m/>
    <m/>
    <s v="Henry Ifurung Jr."/>
  </r>
  <r>
    <n v="1083"/>
    <s v="F0"/>
    <x v="60"/>
    <s v="H000004439"/>
    <s v="RT UK - General Management"/>
    <s v="H000004438"/>
    <s v="New"/>
    <x v="0"/>
    <x v="0"/>
    <s v="HC"/>
    <m/>
    <m/>
    <s v="Henry Ifurung Jr."/>
  </r>
  <r>
    <n v="1084"/>
    <s v="F0"/>
    <x v="60"/>
    <s v="H000004440"/>
    <s v="RT UK - MAP"/>
    <s v="H000004438"/>
    <s v="New"/>
    <x v="0"/>
    <x v="0"/>
    <s v="HC"/>
    <m/>
    <m/>
    <s v="Henry Ifurung Jr."/>
  </r>
  <r>
    <n v="1085"/>
    <s v="F0"/>
    <x v="60"/>
    <s v="H000004441"/>
    <s v="RT UK - GAP"/>
    <s v="H000004438"/>
    <s v="New"/>
    <x v="0"/>
    <x v="0"/>
    <s v="HC"/>
    <m/>
    <m/>
    <s v="Henry Ifurung Jr."/>
  </r>
  <r>
    <n v="1086"/>
    <s v="F0"/>
    <x v="60"/>
    <s v="H000004442"/>
    <s v="RT UK - Business Ops"/>
    <s v="H000004438"/>
    <s v="New"/>
    <x v="0"/>
    <x v="0"/>
    <s v="HC"/>
    <m/>
    <m/>
    <s v="Henry Ifurung Jr."/>
  </r>
  <r>
    <n v="1087"/>
    <s v="F0"/>
    <x v="60"/>
    <s v="H000004443"/>
    <s v="RT UK - Other Operating Expense"/>
    <s v="H000004438"/>
    <s v="New"/>
    <x v="0"/>
    <x v="0"/>
    <s v="HC"/>
    <m/>
    <m/>
    <s v="Henry Ifurung Jr."/>
  </r>
  <r>
    <n v="1088"/>
    <s v="F0"/>
    <x v="60"/>
    <s v="H000004444"/>
    <s v="RT UK Medical &amp; local R&amp;D"/>
    <s v="H000004409"/>
    <s v="New"/>
    <x v="0"/>
    <x v="0"/>
    <s v="HC"/>
    <m/>
    <m/>
    <s v="Henry Ifurung Jr."/>
  </r>
  <r>
    <n v="1089"/>
    <s v="F0"/>
    <x v="60"/>
    <s v="H000004445"/>
    <s v="RT UK - Medical cost center"/>
    <s v="H000004444"/>
    <s v="New"/>
    <x v="0"/>
    <x v="0"/>
    <s v="HC"/>
    <m/>
    <m/>
    <s v="Henry Ifurung Jr."/>
  </r>
  <r>
    <n v="1090"/>
    <s v="F0"/>
    <x v="60"/>
    <s v="H000004446"/>
    <s v="RT UK - Medical Non-R&amp;D Activities"/>
    <s v="H000004444"/>
    <s v="New"/>
    <x v="0"/>
    <x v="0"/>
    <s v="HC"/>
    <m/>
    <m/>
    <s v="Henry Ifurung Jr."/>
  </r>
  <r>
    <n v="1091"/>
    <s v="F0"/>
    <x v="60"/>
    <s v="H000004447"/>
    <s v="RT UK Ogsiveo Medical Activities"/>
    <s v="H000004446"/>
    <s v="New"/>
    <x v="0"/>
    <x v="0"/>
    <s v="HC"/>
    <m/>
    <m/>
    <s v="Henry Ifurung Jr."/>
  </r>
  <r>
    <n v="1092"/>
    <s v="F0"/>
    <x v="60"/>
    <s v="H000004448"/>
    <s v="RT UK Ezmekly Medical Activities"/>
    <s v="H000004446"/>
    <s v="New"/>
    <x v="0"/>
    <x v="0"/>
    <s v="HC"/>
    <m/>
    <m/>
    <s v="Henry Ifurung Jr."/>
  </r>
  <r>
    <n v="1093"/>
    <s v="F0"/>
    <x v="60"/>
    <s v="H000004449"/>
    <s v="RT UK Local R&amp;D - Studies"/>
    <s v="H000004444"/>
    <s v="New"/>
    <x v="0"/>
    <x v="0"/>
    <s v="HC"/>
    <m/>
    <m/>
    <s v="Henry Ifurung Jr."/>
  </r>
  <r>
    <n v="1094"/>
    <s v="F0"/>
    <x v="60"/>
    <s v="H000004450"/>
    <s v="RT UK Ogsiveo Local R&amp;D Studies"/>
    <s v="H000004449"/>
    <s v="New"/>
    <x v="0"/>
    <x v="0"/>
    <s v="HC"/>
    <m/>
    <m/>
    <s v="Henry Ifurung Jr."/>
  </r>
  <r>
    <n v="1095"/>
    <s v="F0"/>
    <x v="60"/>
    <s v="H000004451"/>
    <s v="RT UK Ezmekly Local R&amp;D Studies"/>
    <s v="H000004449"/>
    <s v="New"/>
    <x v="0"/>
    <x v="0"/>
    <s v="HC"/>
    <m/>
    <m/>
    <s v="Henry Ifurung Jr."/>
  </r>
  <r>
    <n v="1096"/>
    <s v="F0"/>
    <x v="60"/>
    <s v="H000004452"/>
    <s v="RT Spain Commercial"/>
    <s v="H000004407"/>
    <s v="New"/>
    <x v="0"/>
    <x v="0"/>
    <s v="HC"/>
    <m/>
    <m/>
    <s v="Henry Ifurung Jr."/>
  </r>
  <r>
    <n v="1097"/>
    <s v="F0"/>
    <x v="60"/>
    <s v="H000004453"/>
    <s v="RT Spain Field Force"/>
    <s v="H000004452"/>
    <s v="New"/>
    <x v="0"/>
    <x v="0"/>
    <s v="HC"/>
    <m/>
    <m/>
    <s v="Henry Ifurung Jr."/>
  </r>
  <r>
    <n v="1098"/>
    <s v="F0"/>
    <x v="60"/>
    <s v="H000004454"/>
    <s v="RT Spain Marketing"/>
    <s v="H000004452"/>
    <s v="New"/>
    <x v="0"/>
    <x v="0"/>
    <s v="HC"/>
    <m/>
    <m/>
    <s v="Henry Ifurung Jr."/>
  </r>
  <r>
    <n v="1099"/>
    <s v="F0"/>
    <x v="60"/>
    <s v="H000004455"/>
    <s v="RT Spain Sales Promotion"/>
    <s v="H000004452"/>
    <s v="New"/>
    <x v="0"/>
    <x v="0"/>
    <s v="HC"/>
    <m/>
    <m/>
    <s v="Henry Ifurung Jr."/>
  </r>
  <r>
    <n v="1100"/>
    <s v="F0"/>
    <x v="60"/>
    <s v="H000004456"/>
    <s v="RT Spain Ogsiveo Sales Promotion"/>
    <s v="H000004455"/>
    <s v="New"/>
    <x v="0"/>
    <x v="0"/>
    <s v="HC"/>
    <m/>
    <m/>
    <s v="Henry Ifurung Jr."/>
  </r>
  <r>
    <n v="1101"/>
    <s v="F0"/>
    <x v="60"/>
    <s v="H000004457"/>
    <s v="RT Spain Ezmekly Sales Promotion"/>
    <s v="H000004455"/>
    <s v="New"/>
    <x v="0"/>
    <x v="0"/>
    <s v="HC"/>
    <m/>
    <m/>
    <s v="Henry Ifurung Jr."/>
  </r>
  <r>
    <n v="1102"/>
    <s v="F0"/>
    <x v="60"/>
    <s v="H000004458"/>
    <s v="RT Spain - General"/>
    <s v="H000004452"/>
    <s v="New"/>
    <x v="0"/>
    <x v="0"/>
    <s v="HC"/>
    <m/>
    <m/>
    <s v="Henry Ifurung Jr."/>
  </r>
  <r>
    <n v="1103"/>
    <s v="F0"/>
    <x v="60"/>
    <s v="H000004459"/>
    <s v="RT Spain - General Management"/>
    <s v="H000004458"/>
    <s v="New"/>
    <x v="0"/>
    <x v="0"/>
    <s v="HC"/>
    <m/>
    <m/>
    <s v="Henry Ifurung Jr."/>
  </r>
  <r>
    <n v="1104"/>
    <s v="F0"/>
    <x v="60"/>
    <s v="H000004460"/>
    <s v="RT Spain - MAP"/>
    <s v="H000004458"/>
    <s v="New"/>
    <x v="0"/>
    <x v="0"/>
    <s v="HC"/>
    <m/>
    <m/>
    <s v="Henry Ifurung Jr."/>
  </r>
  <r>
    <n v="1105"/>
    <s v="F0"/>
    <x v="60"/>
    <s v="H000004461"/>
    <s v="RT Spain - GAP"/>
    <s v="H000004458"/>
    <s v="New"/>
    <x v="0"/>
    <x v="0"/>
    <s v="HC"/>
    <m/>
    <m/>
    <s v="Henry Ifurung Jr."/>
  </r>
  <r>
    <n v="1106"/>
    <s v="F0"/>
    <x v="60"/>
    <s v="H000004462"/>
    <s v="RT Spain - Business Ops"/>
    <s v="H000004458"/>
    <s v="New"/>
    <x v="0"/>
    <x v="0"/>
    <s v="HC"/>
    <m/>
    <m/>
    <s v="Henry Ifurung Jr."/>
  </r>
  <r>
    <n v="1107"/>
    <s v="F0"/>
    <x v="60"/>
    <s v="H000004463"/>
    <s v="RT Spain - Other Operating Expense"/>
    <s v="H000004458"/>
    <s v="New"/>
    <x v="0"/>
    <x v="0"/>
    <s v="HC"/>
    <m/>
    <m/>
    <s v="Henry Ifurung Jr."/>
  </r>
  <r>
    <n v="1108"/>
    <s v="F0"/>
    <x v="60"/>
    <s v="H000004464"/>
    <s v="RT Spain Medical &amp; local R&amp;D"/>
    <s v="H000004409"/>
    <s v="New"/>
    <x v="0"/>
    <x v="0"/>
    <s v="HC"/>
    <m/>
    <m/>
    <s v="Henry Ifurung Jr."/>
  </r>
  <r>
    <n v="1109"/>
    <s v="F0"/>
    <x v="60"/>
    <s v="H000004465"/>
    <s v="RT Spain - Medical cost center"/>
    <s v="H000004464"/>
    <s v="New"/>
    <x v="0"/>
    <x v="0"/>
    <s v="HC"/>
    <m/>
    <m/>
    <s v="Henry Ifurung Jr."/>
  </r>
  <r>
    <n v="1110"/>
    <s v="F0"/>
    <x v="60"/>
    <s v="H000004466"/>
    <s v="RT Spain - Medical Non-R&amp;D Activities"/>
    <s v="H000004464"/>
    <s v="New"/>
    <x v="0"/>
    <x v="0"/>
    <s v="HC"/>
    <m/>
    <m/>
    <s v="Henry Ifurung Jr."/>
  </r>
  <r>
    <n v="1111"/>
    <s v="F0"/>
    <x v="60"/>
    <s v="H000004467"/>
    <s v="RT Spain Ogsiveo Medical Activities"/>
    <s v="H000004466"/>
    <s v="New"/>
    <x v="0"/>
    <x v="0"/>
    <s v="HC"/>
    <m/>
    <m/>
    <s v="Henry Ifurung Jr."/>
  </r>
  <r>
    <n v="1112"/>
    <s v="F0"/>
    <x v="60"/>
    <s v="H000004468"/>
    <s v="RT Spain Ezmekly Medical Activities"/>
    <s v="H000004466"/>
    <s v="New"/>
    <x v="0"/>
    <x v="0"/>
    <s v="HC"/>
    <m/>
    <m/>
    <s v="Henry Ifurung Jr."/>
  </r>
  <r>
    <n v="1113"/>
    <s v="F0"/>
    <x v="60"/>
    <s v="H000004469"/>
    <s v="RT Spain Local R&amp;D - Studies"/>
    <s v="H000004464"/>
    <s v="New"/>
    <x v="0"/>
    <x v="0"/>
    <s v="HC"/>
    <m/>
    <m/>
    <s v="Henry Ifurung Jr."/>
  </r>
  <r>
    <n v="1114"/>
    <s v="F0"/>
    <x v="60"/>
    <s v="H000004470"/>
    <s v="RT Spain Ogsiveo Local R&amp;D Studies"/>
    <s v="H000004469"/>
    <s v="New"/>
    <x v="0"/>
    <x v="0"/>
    <s v="HC"/>
    <m/>
    <m/>
    <s v="Henry Ifurung Jr."/>
  </r>
  <r>
    <n v="1115"/>
    <s v="F0"/>
    <x v="60"/>
    <s v="H000004471"/>
    <s v="RT Spain Ezmekly Local R&amp;D Studies"/>
    <s v="H000004469"/>
    <s v="New"/>
    <x v="0"/>
    <x v="0"/>
    <s v="HC"/>
    <m/>
    <m/>
    <s v="Henry Ifurung Jr."/>
  </r>
  <r>
    <n v="1116"/>
    <s v="F0"/>
    <x v="60"/>
    <s v="H000004472"/>
    <s v="RT Italy Commercial"/>
    <s v="H000004407"/>
    <s v="New"/>
    <x v="0"/>
    <x v="0"/>
    <s v="HC"/>
    <m/>
    <m/>
    <s v="Henry Ifurung Jr."/>
  </r>
  <r>
    <n v="1117"/>
    <s v="F0"/>
    <x v="60"/>
    <s v="H000004473"/>
    <s v="RT Italy Field Force"/>
    <s v="H000004472"/>
    <s v="New"/>
    <x v="0"/>
    <x v="0"/>
    <s v="HC"/>
    <m/>
    <m/>
    <s v="Henry Ifurung Jr."/>
  </r>
  <r>
    <n v="1118"/>
    <s v="F0"/>
    <x v="60"/>
    <s v="H000004474"/>
    <s v="RT Italy Marketing"/>
    <s v="H000004472"/>
    <s v="New"/>
    <x v="0"/>
    <x v="0"/>
    <s v="HC"/>
    <m/>
    <m/>
    <s v="Henry Ifurung Jr."/>
  </r>
  <r>
    <n v="1119"/>
    <s v="F0"/>
    <x v="60"/>
    <s v="H000004475"/>
    <s v="RT Italy Sales Promotion"/>
    <s v="H000004472"/>
    <s v="New"/>
    <x v="0"/>
    <x v="0"/>
    <s v="HC"/>
    <m/>
    <m/>
    <s v="Henry Ifurung Jr."/>
  </r>
  <r>
    <n v="1120"/>
    <s v="F0"/>
    <x v="60"/>
    <s v="H000004476"/>
    <s v="RT Italy Ogsiveo Sales Promotion"/>
    <s v="H000004475"/>
    <s v="New"/>
    <x v="0"/>
    <x v="0"/>
    <s v="HC"/>
    <m/>
    <m/>
    <s v="Henry Ifurung Jr."/>
  </r>
  <r>
    <n v="1121"/>
    <s v="F0"/>
    <x v="60"/>
    <s v="H000004477"/>
    <s v="RT Italy Ezmekly Sales Promotion"/>
    <s v="H000004475"/>
    <s v="New"/>
    <x v="0"/>
    <x v="0"/>
    <s v="HC"/>
    <m/>
    <m/>
    <s v="Henry Ifurung Jr."/>
  </r>
  <r>
    <n v="1122"/>
    <s v="F0"/>
    <x v="60"/>
    <s v="H000004478"/>
    <s v="RT Italy - General"/>
    <s v="H000004472"/>
    <s v="New"/>
    <x v="0"/>
    <x v="0"/>
    <s v="HC"/>
    <m/>
    <m/>
    <s v="Henry Ifurung Jr."/>
  </r>
  <r>
    <n v="1123"/>
    <s v="F0"/>
    <x v="60"/>
    <s v="H000004479"/>
    <s v="RT Italy - General Management"/>
    <s v="H000004478"/>
    <s v="New"/>
    <x v="0"/>
    <x v="0"/>
    <s v="HC"/>
    <m/>
    <m/>
    <s v="Henry Ifurung Jr."/>
  </r>
  <r>
    <n v="1124"/>
    <s v="F0"/>
    <x v="60"/>
    <s v="H000004480"/>
    <s v="RT Italy - MAP"/>
    <s v="H000004478"/>
    <s v="New"/>
    <x v="0"/>
    <x v="0"/>
    <s v="HC"/>
    <m/>
    <m/>
    <s v="Henry Ifurung Jr."/>
  </r>
  <r>
    <n v="1125"/>
    <s v="F0"/>
    <x v="60"/>
    <s v="H000004481"/>
    <s v="RT Italy - GAP"/>
    <s v="H000004478"/>
    <s v="New"/>
    <x v="0"/>
    <x v="0"/>
    <s v="HC"/>
    <m/>
    <m/>
    <s v="Henry Ifurung Jr."/>
  </r>
  <r>
    <n v="1126"/>
    <s v="F0"/>
    <x v="60"/>
    <s v="H000004482"/>
    <s v="RT Italy - Business Ops"/>
    <s v="H000004478"/>
    <s v="New"/>
    <x v="0"/>
    <x v="0"/>
    <s v="HC"/>
    <m/>
    <m/>
    <s v="Henry Ifurung Jr."/>
  </r>
  <r>
    <n v="1127"/>
    <s v="F0"/>
    <x v="60"/>
    <s v="H000004483"/>
    <s v="RT Italy - Other Operating Expense"/>
    <s v="H000004478"/>
    <s v="New"/>
    <x v="0"/>
    <x v="0"/>
    <s v="HC"/>
    <m/>
    <m/>
    <s v="Henry Ifurung Jr."/>
  </r>
  <r>
    <n v="1128"/>
    <s v="F0"/>
    <x v="60"/>
    <s v="H000004484"/>
    <s v="RT Italy Medical &amp; local R&amp;D"/>
    <s v="H000004409"/>
    <s v="New"/>
    <x v="0"/>
    <x v="0"/>
    <s v="HC"/>
    <m/>
    <m/>
    <s v="Henry Ifurung Jr."/>
  </r>
  <r>
    <n v="1129"/>
    <s v="F0"/>
    <x v="60"/>
    <s v="H000004485"/>
    <s v="RT Italy - Medical cost center"/>
    <s v="H000004484"/>
    <s v="New"/>
    <x v="0"/>
    <x v="0"/>
    <s v="HC"/>
    <m/>
    <m/>
    <s v="Henry Ifurung Jr."/>
  </r>
  <r>
    <n v="1130"/>
    <s v="F0"/>
    <x v="60"/>
    <s v="H000004486"/>
    <s v="RT Italy - Medical Non-R&amp;D Activities"/>
    <s v="H000004484"/>
    <s v="New"/>
    <x v="0"/>
    <x v="0"/>
    <s v="HC"/>
    <m/>
    <m/>
    <s v="Henry Ifurung Jr."/>
  </r>
  <r>
    <n v="1131"/>
    <s v="F0"/>
    <x v="60"/>
    <s v="H000004487"/>
    <s v="RT Italy Ogsiveo Medical Activities"/>
    <s v="H000004486"/>
    <s v="New"/>
    <x v="0"/>
    <x v="0"/>
    <s v="HC"/>
    <m/>
    <m/>
    <s v="Henry Ifurung Jr."/>
  </r>
  <r>
    <n v="1132"/>
    <s v="F0"/>
    <x v="60"/>
    <s v="H000004488"/>
    <s v="RT Italy Ezmekly Medical Activities"/>
    <s v="H000004486"/>
    <s v="New"/>
    <x v="0"/>
    <x v="0"/>
    <s v="HC"/>
    <m/>
    <m/>
    <s v="Henry Ifurung Jr."/>
  </r>
  <r>
    <n v="1133"/>
    <s v="F0"/>
    <x v="60"/>
    <s v="H000004489"/>
    <s v="RT Italy Local R&amp;D - Studies"/>
    <s v="H000004484"/>
    <s v="New"/>
    <x v="0"/>
    <x v="0"/>
    <s v="HC"/>
    <m/>
    <m/>
    <s v="Henry Ifurung Jr."/>
  </r>
  <r>
    <n v="1134"/>
    <s v="F0"/>
    <x v="60"/>
    <s v="H000004490"/>
    <s v="RT Italy Ogsiveo Local R&amp;D Studies"/>
    <s v="H000004489"/>
    <s v="New"/>
    <x v="0"/>
    <x v="0"/>
    <s v="HC"/>
    <m/>
    <m/>
    <s v="Henry Ifurung Jr."/>
  </r>
  <r>
    <n v="1135"/>
    <s v="F0"/>
    <x v="60"/>
    <s v="H000004491"/>
    <s v="RT Italy Ezmekly Local R&amp;D Studies"/>
    <s v="H000004489"/>
    <s v="New"/>
    <x v="0"/>
    <x v="0"/>
    <s v="HC"/>
    <m/>
    <m/>
    <s v="Henry Ifurung Jr."/>
  </r>
  <r>
    <n v="1136"/>
    <s v="F0"/>
    <x v="60"/>
    <s v="H000004492"/>
    <s v="RT France Commercial"/>
    <s v="H000004407"/>
    <s v="New"/>
    <x v="0"/>
    <x v="0"/>
    <s v="HC"/>
    <m/>
    <m/>
    <s v="Henry Ifurung Jr."/>
  </r>
  <r>
    <n v="1137"/>
    <s v="F0"/>
    <x v="60"/>
    <s v="H000004493"/>
    <s v="RT France Field Force"/>
    <s v="H000004492"/>
    <s v="New"/>
    <x v="0"/>
    <x v="0"/>
    <s v="HC"/>
    <m/>
    <m/>
    <s v="Henry Ifurung Jr."/>
  </r>
  <r>
    <n v="1138"/>
    <s v="F0"/>
    <x v="60"/>
    <s v="H000004494"/>
    <s v="RT France Marketing"/>
    <s v="H000004492"/>
    <s v="New"/>
    <x v="0"/>
    <x v="0"/>
    <s v="HC"/>
    <m/>
    <m/>
    <s v="Henry Ifurung Jr."/>
  </r>
  <r>
    <n v="1139"/>
    <s v="F0"/>
    <x v="60"/>
    <s v="H000004495"/>
    <s v="RT France Sales Promotion"/>
    <s v="H000004492"/>
    <s v="New"/>
    <x v="0"/>
    <x v="0"/>
    <s v="HC"/>
    <m/>
    <m/>
    <s v="Henry Ifurung Jr."/>
  </r>
  <r>
    <n v="1140"/>
    <s v="F0"/>
    <x v="60"/>
    <s v="H000004496"/>
    <s v="RT France Ogsiveo Sales Promotion"/>
    <s v="H000004495"/>
    <s v="New"/>
    <x v="0"/>
    <x v="0"/>
    <s v="HC"/>
    <m/>
    <m/>
    <s v="Henry Ifurung Jr."/>
  </r>
  <r>
    <n v="1141"/>
    <s v="F0"/>
    <x v="60"/>
    <s v="H000004497"/>
    <s v="RT France Ezmekly Sales Promotion"/>
    <s v="H000004495"/>
    <s v="New"/>
    <x v="0"/>
    <x v="0"/>
    <s v="HC"/>
    <m/>
    <m/>
    <s v="Henry Ifurung Jr."/>
  </r>
  <r>
    <n v="1142"/>
    <s v="F0"/>
    <x v="60"/>
    <s v="H000004498"/>
    <s v="RT France - General"/>
    <s v="H000004492"/>
    <s v="New"/>
    <x v="0"/>
    <x v="0"/>
    <s v="HC"/>
    <m/>
    <m/>
    <s v="Henry Ifurung Jr."/>
  </r>
  <r>
    <n v="1143"/>
    <s v="F0"/>
    <x v="60"/>
    <s v="H000004499"/>
    <s v="RT France - General Management"/>
    <s v="H000004498"/>
    <s v="New"/>
    <x v="0"/>
    <x v="0"/>
    <s v="HC"/>
    <m/>
    <m/>
    <s v="Henry Ifurung Jr."/>
  </r>
  <r>
    <n v="1144"/>
    <s v="F0"/>
    <x v="60"/>
    <s v="H000004500"/>
    <s v="RT France - MAP"/>
    <s v="H000004498"/>
    <s v="New"/>
    <x v="0"/>
    <x v="0"/>
    <s v="HC"/>
    <m/>
    <m/>
    <s v="Henry Ifurung Jr."/>
  </r>
  <r>
    <n v="1145"/>
    <s v="F0"/>
    <x v="60"/>
    <s v="H000004501"/>
    <s v="RT France - GAP"/>
    <s v="H000004498"/>
    <s v="New"/>
    <x v="0"/>
    <x v="0"/>
    <s v="HC"/>
    <m/>
    <m/>
    <s v="Henry Ifurung Jr."/>
  </r>
  <r>
    <n v="1146"/>
    <s v="F0"/>
    <x v="60"/>
    <s v="H000004502"/>
    <s v="RT France - Business Ops"/>
    <s v="H000004498"/>
    <s v="New"/>
    <x v="0"/>
    <x v="0"/>
    <s v="HC"/>
    <m/>
    <m/>
    <s v="Henry Ifurung Jr."/>
  </r>
  <r>
    <n v="1147"/>
    <s v="F0"/>
    <x v="60"/>
    <s v="H000004503"/>
    <s v="RT France - Other Operating Expense"/>
    <s v="H000004498"/>
    <s v="New"/>
    <x v="0"/>
    <x v="0"/>
    <s v="HC"/>
    <m/>
    <m/>
    <s v="Henry Ifurung Jr."/>
  </r>
  <r>
    <n v="1148"/>
    <s v="F0"/>
    <x v="60"/>
    <s v="H000004504"/>
    <s v="RT France Medical &amp; local R&amp;D"/>
    <s v="H000004409"/>
    <s v="New"/>
    <x v="0"/>
    <x v="0"/>
    <s v="HC"/>
    <m/>
    <m/>
    <s v="Henry Ifurung Jr."/>
  </r>
  <r>
    <n v="1149"/>
    <s v="F0"/>
    <x v="60"/>
    <s v="H000004505"/>
    <s v="RT France - Medical cost center"/>
    <s v="H000004504"/>
    <s v="New"/>
    <x v="0"/>
    <x v="0"/>
    <s v="HC"/>
    <m/>
    <m/>
    <s v="Henry Ifurung Jr."/>
  </r>
  <r>
    <n v="1150"/>
    <s v="F0"/>
    <x v="60"/>
    <s v="H000004506"/>
    <s v="RT France - Medical Non-R&amp;D Activities"/>
    <s v="H000004504"/>
    <s v="New"/>
    <x v="0"/>
    <x v="0"/>
    <s v="HC"/>
    <m/>
    <m/>
    <s v="Henry Ifurung Jr."/>
  </r>
  <r>
    <n v="1151"/>
    <s v="F0"/>
    <x v="60"/>
    <s v="H000004507"/>
    <s v="RT France Ogsiveo Medical Activities"/>
    <s v="H000004506"/>
    <s v="New"/>
    <x v="0"/>
    <x v="0"/>
    <s v="HC"/>
    <m/>
    <m/>
    <s v="Henry Ifurung Jr."/>
  </r>
  <r>
    <n v="1152"/>
    <s v="F0"/>
    <x v="60"/>
    <s v="H000004508"/>
    <s v="RT France Ezmekly Medical Activities"/>
    <s v="H000004506"/>
    <s v="New"/>
    <x v="0"/>
    <x v="0"/>
    <s v="HC"/>
    <m/>
    <m/>
    <s v="Henry Ifurung Jr."/>
  </r>
  <r>
    <n v="1153"/>
    <s v="F0"/>
    <x v="60"/>
    <s v="H000004509"/>
    <s v="RT France Local R&amp;D - Studies"/>
    <s v="H000004504"/>
    <s v="New"/>
    <x v="0"/>
    <x v="0"/>
    <s v="HC"/>
    <m/>
    <m/>
    <s v="Henry Ifurung Jr."/>
  </r>
  <r>
    <n v="1154"/>
    <s v="F0"/>
    <x v="60"/>
    <s v="H000004510"/>
    <s v="RT France Ogsiveo Local R&amp;D Studies"/>
    <s v="H000004509"/>
    <s v="New"/>
    <x v="0"/>
    <x v="0"/>
    <s v="HC"/>
    <m/>
    <m/>
    <s v="Henry Ifurung Jr."/>
  </r>
  <r>
    <n v="1155"/>
    <s v="F0"/>
    <x v="60"/>
    <s v="H000004511"/>
    <s v="RT France Ezmekly Local R&amp;D Studies"/>
    <s v="H000004509"/>
    <s v="New"/>
    <x v="0"/>
    <x v="0"/>
    <s v="HC"/>
    <m/>
    <m/>
    <s v="Henry Ifurung Jr."/>
  </r>
  <r>
    <n v="1156"/>
    <s v="F0"/>
    <x v="60"/>
    <s v="H000004512"/>
    <s v="RT Austria Commercial"/>
    <s v="H000004407"/>
    <s v="New"/>
    <x v="0"/>
    <x v="0"/>
    <s v="HC"/>
    <m/>
    <m/>
    <s v="Henry Ifurung Jr."/>
  </r>
  <r>
    <n v="1157"/>
    <s v="F0"/>
    <x v="60"/>
    <s v="H000004513"/>
    <s v="RT Austria Field Force"/>
    <s v="H000004512"/>
    <s v="New"/>
    <x v="0"/>
    <x v="0"/>
    <s v="HC"/>
    <m/>
    <m/>
    <s v="Henry Ifurung Jr."/>
  </r>
  <r>
    <n v="1158"/>
    <s v="F0"/>
    <x v="60"/>
    <s v="H000004514"/>
    <s v="RT Austria Marketing"/>
    <s v="H000004512"/>
    <s v="New"/>
    <x v="0"/>
    <x v="0"/>
    <s v="HC"/>
    <m/>
    <m/>
    <s v="Henry Ifurung Jr."/>
  </r>
  <r>
    <n v="1159"/>
    <s v="F0"/>
    <x v="60"/>
    <s v="H000004515"/>
    <s v="RT Austria Sales Promotion"/>
    <s v="H000004512"/>
    <s v="New"/>
    <x v="0"/>
    <x v="0"/>
    <s v="HC"/>
    <m/>
    <m/>
    <s v="Henry Ifurung Jr."/>
  </r>
  <r>
    <n v="1160"/>
    <s v="F0"/>
    <x v="60"/>
    <s v="H000004516"/>
    <s v="RT Austria Ogsiveo Sales Promotion"/>
    <s v="H000004515"/>
    <s v="New"/>
    <x v="0"/>
    <x v="0"/>
    <s v="HC"/>
    <m/>
    <m/>
    <s v="Henry Ifurung Jr."/>
  </r>
  <r>
    <n v="1161"/>
    <s v="F0"/>
    <x v="60"/>
    <s v="H000004517"/>
    <s v="RT Austria Ezmekly Sales Promotion"/>
    <s v="H000004515"/>
    <s v="New"/>
    <x v="0"/>
    <x v="0"/>
    <s v="HC"/>
    <m/>
    <m/>
    <s v="Henry Ifurung Jr."/>
  </r>
  <r>
    <n v="1162"/>
    <s v="F0"/>
    <x v="60"/>
    <s v="H000004518"/>
    <s v="RT Austria - General"/>
    <s v="H000004512"/>
    <s v="New"/>
    <x v="0"/>
    <x v="0"/>
    <s v="HC"/>
    <m/>
    <m/>
    <s v="Henry Ifurung Jr."/>
  </r>
  <r>
    <n v="1163"/>
    <s v="F0"/>
    <x v="60"/>
    <s v="H000004519"/>
    <s v="RT Austria - General Management"/>
    <s v="H000004518"/>
    <s v="New"/>
    <x v="0"/>
    <x v="0"/>
    <s v="HC"/>
    <m/>
    <m/>
    <s v="Henry Ifurung Jr."/>
  </r>
  <r>
    <n v="1164"/>
    <s v="F0"/>
    <x v="60"/>
    <s v="H000004520"/>
    <s v="RT Austria - MAP"/>
    <s v="H000004518"/>
    <s v="New"/>
    <x v="0"/>
    <x v="0"/>
    <s v="HC"/>
    <m/>
    <m/>
    <s v="Henry Ifurung Jr."/>
  </r>
  <r>
    <n v="1165"/>
    <s v="F0"/>
    <x v="60"/>
    <s v="H000004521"/>
    <s v="RT Austria - GAP"/>
    <s v="H000004518"/>
    <s v="New"/>
    <x v="0"/>
    <x v="0"/>
    <s v="HC"/>
    <m/>
    <m/>
    <s v="Henry Ifurung Jr."/>
  </r>
  <r>
    <n v="1166"/>
    <s v="F0"/>
    <x v="60"/>
    <s v="H000004522"/>
    <s v="RT Austria - Business Ops"/>
    <s v="H000004518"/>
    <s v="New"/>
    <x v="0"/>
    <x v="0"/>
    <s v="HC"/>
    <m/>
    <m/>
    <s v="Henry Ifurung Jr."/>
  </r>
  <r>
    <n v="1167"/>
    <s v="F0"/>
    <x v="60"/>
    <s v="H000004523"/>
    <s v="RT Austria - Other Operating Expense"/>
    <s v="H000004518"/>
    <s v="New"/>
    <x v="0"/>
    <x v="0"/>
    <s v="HC"/>
    <m/>
    <m/>
    <s v="Henry Ifurung Jr."/>
  </r>
  <r>
    <n v="1168"/>
    <s v="F0"/>
    <x v="60"/>
    <s v="H000004524"/>
    <s v="RT Austria Medical &amp; local R&amp;D"/>
    <s v="H000004409"/>
    <s v="New"/>
    <x v="0"/>
    <x v="0"/>
    <s v="HC"/>
    <m/>
    <m/>
    <s v="Henry Ifurung Jr."/>
  </r>
  <r>
    <n v="1169"/>
    <s v="F0"/>
    <x v="60"/>
    <s v="H000004525"/>
    <s v="RT Austria - Medical cost center"/>
    <s v="H000004524"/>
    <s v="New"/>
    <x v="0"/>
    <x v="0"/>
    <s v="HC"/>
    <m/>
    <m/>
    <s v="Henry Ifurung Jr."/>
  </r>
  <r>
    <n v="1170"/>
    <s v="F0"/>
    <x v="60"/>
    <s v="H000004526"/>
    <s v="RT Austria - Medical Non-R&amp;D Activities"/>
    <s v="H000004524"/>
    <s v="New"/>
    <x v="0"/>
    <x v="0"/>
    <s v="HC"/>
    <m/>
    <m/>
    <s v="Henry Ifurung Jr."/>
  </r>
  <r>
    <n v="1171"/>
    <s v="F0"/>
    <x v="60"/>
    <s v="H000004527"/>
    <s v="RT Austria Ogsiveo Medical Activities"/>
    <s v="H000004526"/>
    <s v="New"/>
    <x v="0"/>
    <x v="0"/>
    <s v="HC"/>
    <m/>
    <m/>
    <s v="Henry Ifurung Jr."/>
  </r>
  <r>
    <n v="1172"/>
    <s v="F0"/>
    <x v="60"/>
    <s v="H000004528"/>
    <s v="RT Austria Ezmekly Medical Activities"/>
    <s v="H000004526"/>
    <s v="New"/>
    <x v="0"/>
    <x v="0"/>
    <s v="HC"/>
    <m/>
    <m/>
    <s v="Henry Ifurung Jr."/>
  </r>
  <r>
    <n v="1173"/>
    <s v="F0"/>
    <x v="60"/>
    <s v="H000004529"/>
    <s v="RT Austria Local R&amp;D - Studies"/>
    <s v="H000004524"/>
    <s v="New"/>
    <x v="0"/>
    <x v="0"/>
    <s v="HC"/>
    <m/>
    <m/>
    <s v="Henry Ifurung Jr."/>
  </r>
  <r>
    <n v="1174"/>
    <s v="F0"/>
    <x v="60"/>
    <s v="H000004530"/>
    <s v="RT Austria Ogsiveo Local R&amp;D Studies"/>
    <s v="H000004529"/>
    <s v="New"/>
    <x v="0"/>
    <x v="0"/>
    <s v="HC"/>
    <m/>
    <m/>
    <s v="Henry Ifurung Jr."/>
  </r>
  <r>
    <n v="1175"/>
    <s v="F0"/>
    <x v="60"/>
    <s v="H000004531"/>
    <s v="RT Austria Ezmekly Local R&amp;D Studies"/>
    <s v="H000004529"/>
    <s v="New"/>
    <x v="0"/>
    <x v="0"/>
    <s v="HC"/>
    <m/>
    <m/>
    <s v="Henry Ifurung Jr."/>
  </r>
  <r>
    <n v="1176"/>
    <s v="F0"/>
    <x v="60"/>
    <s v="H000004532"/>
    <s v="RT Switzerland Commercial"/>
    <s v="H000004407"/>
    <s v="New"/>
    <x v="0"/>
    <x v="0"/>
    <s v="HC"/>
    <m/>
    <m/>
    <s v="Henry Ifurung Jr."/>
  </r>
  <r>
    <n v="1177"/>
    <s v="F0"/>
    <x v="60"/>
    <s v="H000004533"/>
    <s v="RT Switzerland Field Force"/>
    <s v="H000004532"/>
    <s v="New"/>
    <x v="0"/>
    <x v="0"/>
    <s v="HC"/>
    <m/>
    <m/>
    <s v="Henry Ifurung Jr."/>
  </r>
  <r>
    <n v="1178"/>
    <s v="F0"/>
    <x v="60"/>
    <s v="H000004534"/>
    <s v="RT Switzerland Marketing"/>
    <s v="H000004532"/>
    <s v="New"/>
    <x v="0"/>
    <x v="0"/>
    <s v="HC"/>
    <m/>
    <m/>
    <s v="Henry Ifurung Jr."/>
  </r>
  <r>
    <n v="1179"/>
    <s v="F0"/>
    <x v="60"/>
    <s v="H000004535"/>
    <s v="RT Switzerland Sales Promotion"/>
    <s v="H000004532"/>
    <s v="New"/>
    <x v="0"/>
    <x v="0"/>
    <s v="HC"/>
    <m/>
    <m/>
    <s v="Henry Ifurung Jr."/>
  </r>
  <r>
    <n v="1180"/>
    <s v="F0"/>
    <x v="60"/>
    <s v="H000004536"/>
    <s v="RT Switzerland Ogsiveo Sales Promotion"/>
    <s v="H000004535"/>
    <s v="New"/>
    <x v="0"/>
    <x v="0"/>
    <s v="HC"/>
    <m/>
    <m/>
    <s v="Henry Ifurung Jr."/>
  </r>
  <r>
    <n v="1181"/>
    <s v="F0"/>
    <x v="60"/>
    <s v="H000004537"/>
    <s v="RT Switzerland Ezmekly Sales Promotion"/>
    <s v="H000004535"/>
    <s v="New"/>
    <x v="0"/>
    <x v="0"/>
    <s v="HC"/>
    <m/>
    <m/>
    <s v="Henry Ifurung Jr."/>
  </r>
  <r>
    <n v="1182"/>
    <s v="F0"/>
    <x v="60"/>
    <s v="H000004538"/>
    <s v="RT Switzerland - General"/>
    <s v="H000004532"/>
    <s v="New"/>
    <x v="0"/>
    <x v="0"/>
    <s v="HC"/>
    <m/>
    <m/>
    <s v="Henry Ifurung Jr."/>
  </r>
  <r>
    <n v="1183"/>
    <s v="F0"/>
    <x v="60"/>
    <s v="H000004539"/>
    <s v="RT Switzerland - General Management"/>
    <s v="H000004538"/>
    <s v="New"/>
    <x v="0"/>
    <x v="0"/>
    <s v="HC"/>
    <m/>
    <m/>
    <s v="Henry Ifurung Jr."/>
  </r>
  <r>
    <n v="1184"/>
    <s v="F0"/>
    <x v="60"/>
    <s v="H000004540"/>
    <s v="RT Switzerland - MAP"/>
    <s v="H000004538"/>
    <s v="New"/>
    <x v="0"/>
    <x v="0"/>
    <s v="HC"/>
    <m/>
    <m/>
    <s v="Henry Ifurung Jr."/>
  </r>
  <r>
    <n v="1185"/>
    <s v="F0"/>
    <x v="60"/>
    <s v="H000004541"/>
    <s v="RT Switzerland - GAP"/>
    <s v="H000004538"/>
    <s v="New"/>
    <x v="0"/>
    <x v="0"/>
    <s v="HC"/>
    <m/>
    <m/>
    <s v="Henry Ifurung Jr."/>
  </r>
  <r>
    <n v="1186"/>
    <s v="F0"/>
    <x v="60"/>
    <s v="H000004542"/>
    <s v="RT Switzerland - Business Ops"/>
    <s v="H000004538"/>
    <s v="New"/>
    <x v="0"/>
    <x v="0"/>
    <s v="HC"/>
    <m/>
    <m/>
    <s v="Henry Ifurung Jr."/>
  </r>
  <r>
    <n v="1187"/>
    <s v="F0"/>
    <x v="60"/>
    <s v="H000004543"/>
    <s v="RT Switzerland - Other Operating Expense"/>
    <s v="H000004538"/>
    <s v="New"/>
    <x v="0"/>
    <x v="0"/>
    <s v="HC"/>
    <m/>
    <m/>
    <s v="Henry Ifurung Jr."/>
  </r>
  <r>
    <n v="1188"/>
    <s v="F0"/>
    <x v="60"/>
    <s v="H000004544"/>
    <s v="RT Switzerland Medical &amp; local R&amp;D"/>
    <s v="H000004409"/>
    <s v="New"/>
    <x v="0"/>
    <x v="0"/>
    <s v="HC"/>
    <m/>
    <m/>
    <s v="Henry Ifurung Jr."/>
  </r>
  <r>
    <n v="1189"/>
    <s v="F0"/>
    <x v="60"/>
    <s v="H000004545"/>
    <s v="RT Switzerland - Medical cost center"/>
    <s v="H000004544"/>
    <s v="New"/>
    <x v="0"/>
    <x v="0"/>
    <s v="HC"/>
    <m/>
    <m/>
    <s v="Henry Ifurung Jr."/>
  </r>
  <r>
    <n v="1190"/>
    <s v="F0"/>
    <x v="60"/>
    <s v="H000004546"/>
    <s v="RT Switzerland - Medical Non-R&amp;D Act"/>
    <s v="H000004544"/>
    <s v="New"/>
    <x v="0"/>
    <x v="0"/>
    <s v="HC"/>
    <m/>
    <m/>
    <s v="Henry Ifurung Jr."/>
  </r>
  <r>
    <n v="1191"/>
    <s v="F0"/>
    <x v="60"/>
    <s v="H000004547"/>
    <s v="RT Switzerland Ogsiveo Medical Act"/>
    <s v="H000004546"/>
    <s v="New"/>
    <x v="0"/>
    <x v="0"/>
    <s v="HC"/>
    <m/>
    <m/>
    <s v="Henry Ifurung Jr."/>
  </r>
  <r>
    <n v="1192"/>
    <s v="F0"/>
    <x v="60"/>
    <s v="H000004548"/>
    <s v="RT Switzerland Ezmekly Medical Act"/>
    <s v="H000004546"/>
    <s v="New"/>
    <x v="0"/>
    <x v="0"/>
    <s v="HC"/>
    <m/>
    <m/>
    <s v="Henry Ifurung Jr."/>
  </r>
  <r>
    <n v="1193"/>
    <s v="F0"/>
    <x v="60"/>
    <s v="H000004549"/>
    <s v="RT Switzerland Local R&amp;D - Studies"/>
    <s v="H000004544"/>
    <s v="New"/>
    <x v="0"/>
    <x v="0"/>
    <s v="HC"/>
    <m/>
    <m/>
    <s v="Henry Ifurung Jr."/>
  </r>
  <r>
    <n v="1194"/>
    <s v="F0"/>
    <x v="60"/>
    <s v="H000004550"/>
    <s v="RT Switzerland Ogsiveo Local R&amp;D Studies"/>
    <s v="H000004549"/>
    <s v="New"/>
    <x v="0"/>
    <x v="0"/>
    <s v="HC"/>
    <m/>
    <m/>
    <s v="Henry Ifurung Jr."/>
  </r>
  <r>
    <n v="1195"/>
    <s v="F0"/>
    <x v="60"/>
    <s v="H000004551"/>
    <s v="RT Switzerland Ezmekly Local R&amp;D Studies"/>
    <s v="H000004549"/>
    <s v="New"/>
    <x v="0"/>
    <x v="0"/>
    <s v="HC"/>
    <m/>
    <m/>
    <s v="Henry Ifurung Jr."/>
  </r>
  <r>
    <n v="1196"/>
    <s v="F0"/>
    <x v="60"/>
    <s v="H000004552"/>
    <s v="RT Portugal Commercial"/>
    <s v="H000004407"/>
    <s v="New"/>
    <x v="0"/>
    <x v="0"/>
    <s v="HC"/>
    <m/>
    <m/>
    <s v="Henry Ifurung Jr."/>
  </r>
  <r>
    <n v="1197"/>
    <s v="F0"/>
    <x v="60"/>
    <s v="H000004553"/>
    <s v="RT Portugal Field Force"/>
    <s v="H000004552"/>
    <s v="New"/>
    <x v="0"/>
    <x v="0"/>
    <s v="HC"/>
    <m/>
    <m/>
    <s v="Henry Ifurung Jr."/>
  </r>
  <r>
    <n v="1198"/>
    <s v="F0"/>
    <x v="60"/>
    <s v="H000004554"/>
    <s v="RT Portugal Marketing"/>
    <s v="H000004552"/>
    <s v="New"/>
    <x v="0"/>
    <x v="0"/>
    <s v="HC"/>
    <m/>
    <m/>
    <s v="Henry Ifurung Jr."/>
  </r>
  <r>
    <n v="1199"/>
    <s v="F0"/>
    <x v="60"/>
    <s v="H000004555"/>
    <s v="RT Portugal Sales Promotion"/>
    <s v="H000004552"/>
    <s v="New"/>
    <x v="0"/>
    <x v="0"/>
    <s v="HC"/>
    <m/>
    <m/>
    <s v="Henry Ifurung Jr."/>
  </r>
  <r>
    <n v="1200"/>
    <s v="F0"/>
    <x v="60"/>
    <s v="H000004556"/>
    <s v="RT Portugal Ogsiveo Sales Promotion"/>
    <s v="H000004555"/>
    <s v="New"/>
    <x v="0"/>
    <x v="0"/>
    <s v="HC"/>
    <m/>
    <m/>
    <s v="Henry Ifurung Jr."/>
  </r>
  <r>
    <n v="1201"/>
    <s v="F0"/>
    <x v="60"/>
    <s v="H000004557"/>
    <s v="RT Portugal Ezmekly Sales Promotion"/>
    <s v="H000004555"/>
    <s v="New"/>
    <x v="0"/>
    <x v="0"/>
    <s v="HC"/>
    <m/>
    <m/>
    <s v="Henry Ifurung Jr."/>
  </r>
  <r>
    <n v="1202"/>
    <s v="F0"/>
    <x v="60"/>
    <s v="H000004558"/>
    <s v="RT Portugal - General"/>
    <s v="H000004552"/>
    <s v="New"/>
    <x v="0"/>
    <x v="0"/>
    <s v="HC"/>
    <m/>
    <m/>
    <s v="Henry Ifurung Jr."/>
  </r>
  <r>
    <n v="1203"/>
    <s v="F0"/>
    <x v="60"/>
    <s v="H000004559"/>
    <s v="RT Portugal - General Management"/>
    <s v="H000004558"/>
    <s v="New"/>
    <x v="0"/>
    <x v="0"/>
    <s v="HC"/>
    <m/>
    <m/>
    <s v="Henry Ifurung Jr."/>
  </r>
  <r>
    <n v="1204"/>
    <s v="F0"/>
    <x v="60"/>
    <s v="H000004560"/>
    <s v="RT Portugal - MAP"/>
    <s v="H000004558"/>
    <s v="New"/>
    <x v="0"/>
    <x v="0"/>
    <s v="HC"/>
    <m/>
    <m/>
    <s v="Henry Ifurung Jr."/>
  </r>
  <r>
    <n v="1205"/>
    <s v="F0"/>
    <x v="60"/>
    <s v="H000004561"/>
    <s v="RT Portugal - GAP"/>
    <s v="H000004558"/>
    <s v="New"/>
    <x v="0"/>
    <x v="0"/>
    <s v="HC"/>
    <m/>
    <m/>
    <s v="Henry Ifurung Jr."/>
  </r>
  <r>
    <n v="1206"/>
    <s v="F0"/>
    <x v="60"/>
    <s v="H000004562"/>
    <s v="RT Portugal - Business Ops"/>
    <s v="H000004558"/>
    <s v="New"/>
    <x v="0"/>
    <x v="0"/>
    <s v="HC"/>
    <m/>
    <m/>
    <s v="Henry Ifurung Jr."/>
  </r>
  <r>
    <n v="1207"/>
    <s v="F0"/>
    <x v="60"/>
    <s v="H000004563"/>
    <s v="RT Portugal - Other Operating Expense"/>
    <s v="H000004558"/>
    <s v="New"/>
    <x v="0"/>
    <x v="0"/>
    <s v="HC"/>
    <m/>
    <m/>
    <s v="Henry Ifurung Jr."/>
  </r>
  <r>
    <n v="1208"/>
    <s v="F0"/>
    <x v="60"/>
    <s v="H000004564"/>
    <s v="RT Portugal Medical &amp; local R&amp;D"/>
    <s v="H000004409"/>
    <s v="New"/>
    <x v="0"/>
    <x v="0"/>
    <s v="HC"/>
    <m/>
    <m/>
    <s v="Henry Ifurung Jr."/>
  </r>
  <r>
    <n v="1209"/>
    <s v="F0"/>
    <x v="60"/>
    <s v="H000004565"/>
    <s v="RT Portugal - Medical cost center"/>
    <s v="H000004564"/>
    <s v="New"/>
    <x v="0"/>
    <x v="0"/>
    <s v="HC"/>
    <m/>
    <m/>
    <s v="Henry Ifurung Jr."/>
  </r>
  <r>
    <n v="1210"/>
    <s v="F0"/>
    <x v="60"/>
    <s v="H000004566"/>
    <s v="RT Portugal - Medical Non-R&amp;D Activities"/>
    <s v="H000004564"/>
    <s v="New"/>
    <x v="0"/>
    <x v="0"/>
    <s v="HC"/>
    <m/>
    <m/>
    <s v="Henry Ifurung Jr."/>
  </r>
  <r>
    <n v="1211"/>
    <s v="F0"/>
    <x v="60"/>
    <s v="H000004567"/>
    <s v="RT Portugal Ogsiveo Medical Activities"/>
    <s v="H000004566"/>
    <s v="New"/>
    <x v="0"/>
    <x v="0"/>
    <s v="HC"/>
    <m/>
    <m/>
    <s v="Henry Ifurung Jr."/>
  </r>
  <r>
    <n v="1212"/>
    <s v="F0"/>
    <x v="60"/>
    <s v="H000004568"/>
    <s v="RT Portugal Ezmekly Medical Activities"/>
    <s v="H000004566"/>
    <s v="New"/>
    <x v="0"/>
    <x v="0"/>
    <s v="HC"/>
    <m/>
    <m/>
    <s v="Henry Ifurung Jr."/>
  </r>
  <r>
    <n v="1213"/>
    <s v="F0"/>
    <x v="60"/>
    <s v="H000004569"/>
    <s v="RT Portugal Local R&amp;D - Studies"/>
    <s v="H000004564"/>
    <s v="New"/>
    <x v="0"/>
    <x v="0"/>
    <s v="HC"/>
    <m/>
    <m/>
    <s v="Henry Ifurung Jr."/>
  </r>
  <r>
    <n v="1214"/>
    <s v="F0"/>
    <x v="60"/>
    <s v="H000004570"/>
    <s v="RT Portugal Ogsiveo Local R&amp;D Studies"/>
    <s v="H000004569"/>
    <s v="New"/>
    <x v="0"/>
    <x v="0"/>
    <s v="HC"/>
    <m/>
    <m/>
    <s v="Henry Ifurung Jr."/>
  </r>
  <r>
    <n v="1215"/>
    <s v="F0"/>
    <x v="60"/>
    <s v="H000004571"/>
    <s v="RT Portugal Ezmekly Local R&amp;D Studies"/>
    <s v="H000004569"/>
    <s v="New"/>
    <x v="0"/>
    <x v="0"/>
    <s v="HC"/>
    <m/>
    <m/>
    <s v="Henry Ifurung Jr."/>
  </r>
  <r>
    <n v="1216"/>
    <s v="F0"/>
    <x v="60"/>
    <s v="H000004572"/>
    <s v="RT Israel Commercial"/>
    <s v="H000004407"/>
    <s v="New"/>
    <x v="0"/>
    <x v="0"/>
    <s v="HC"/>
    <m/>
    <m/>
    <s v="Henry Ifurung Jr."/>
  </r>
  <r>
    <n v="1217"/>
    <s v="F0"/>
    <x v="60"/>
    <s v="H000004573"/>
    <s v="RT Israel Field Force"/>
    <s v="H000004572"/>
    <s v="New"/>
    <x v="0"/>
    <x v="0"/>
    <s v="HC"/>
    <m/>
    <m/>
    <s v="Henry Ifurung Jr."/>
  </r>
  <r>
    <n v="1218"/>
    <s v="F0"/>
    <x v="60"/>
    <s v="H000004574"/>
    <s v="RT Israel Marketing"/>
    <s v="H000004572"/>
    <s v="New"/>
    <x v="0"/>
    <x v="0"/>
    <s v="HC"/>
    <m/>
    <m/>
    <s v="Henry Ifurung Jr."/>
  </r>
  <r>
    <n v="1219"/>
    <s v="F0"/>
    <x v="60"/>
    <s v="H000004575"/>
    <s v="RT Israel Sales Promotion"/>
    <s v="H000004572"/>
    <s v="New"/>
    <x v="0"/>
    <x v="0"/>
    <s v="HC"/>
    <m/>
    <m/>
    <s v="Henry Ifurung Jr."/>
  </r>
  <r>
    <n v="1220"/>
    <s v="F0"/>
    <x v="60"/>
    <s v="H000004576"/>
    <s v="RT Israel Ogsiveo Sales Promotion"/>
    <s v="H000004575"/>
    <s v="New"/>
    <x v="0"/>
    <x v="0"/>
    <s v="HC"/>
    <m/>
    <m/>
    <s v="Henry Ifurung Jr."/>
  </r>
  <r>
    <n v="1221"/>
    <s v="F0"/>
    <x v="60"/>
    <s v="H000004577"/>
    <s v="RT Israel Ezmekly Sales Promotion"/>
    <s v="H000004575"/>
    <s v="New"/>
    <x v="0"/>
    <x v="0"/>
    <s v="HC"/>
    <m/>
    <m/>
    <s v="Henry Ifurung Jr."/>
  </r>
  <r>
    <n v="1222"/>
    <s v="F0"/>
    <x v="60"/>
    <s v="H000004578"/>
    <s v="RT Israel - General"/>
    <s v="H000004572"/>
    <s v="New"/>
    <x v="0"/>
    <x v="0"/>
    <s v="HC"/>
    <m/>
    <m/>
    <s v="Henry Ifurung Jr."/>
  </r>
  <r>
    <n v="1223"/>
    <s v="F0"/>
    <x v="60"/>
    <s v="H000004579"/>
    <s v="RT Israel - General Management"/>
    <s v="H000004578"/>
    <s v="New"/>
    <x v="0"/>
    <x v="0"/>
    <s v="HC"/>
    <m/>
    <m/>
    <s v="Henry Ifurung Jr."/>
  </r>
  <r>
    <n v="1224"/>
    <s v="F0"/>
    <x v="60"/>
    <s v="H000004580"/>
    <s v="RT Israel - MAP"/>
    <s v="H000004578"/>
    <s v="New"/>
    <x v="0"/>
    <x v="0"/>
    <s v="HC"/>
    <m/>
    <m/>
    <s v="Henry Ifurung Jr."/>
  </r>
  <r>
    <n v="1225"/>
    <s v="F0"/>
    <x v="60"/>
    <s v="H000004581"/>
    <s v="RT Israel - GAP"/>
    <s v="H000004578"/>
    <s v="New"/>
    <x v="0"/>
    <x v="0"/>
    <s v="HC"/>
    <m/>
    <m/>
    <s v="Henry Ifurung Jr."/>
  </r>
  <r>
    <n v="1226"/>
    <s v="F0"/>
    <x v="60"/>
    <s v="H000004582"/>
    <s v="RT Israel - Business Ops"/>
    <s v="H000004578"/>
    <s v="New"/>
    <x v="0"/>
    <x v="0"/>
    <s v="HC"/>
    <m/>
    <m/>
    <s v="Henry Ifurung Jr."/>
  </r>
  <r>
    <n v="1227"/>
    <s v="F0"/>
    <x v="60"/>
    <s v="H000004583"/>
    <s v="RT Israel - Other Operating Expense"/>
    <s v="H000004578"/>
    <s v="New"/>
    <x v="0"/>
    <x v="0"/>
    <s v="HC"/>
    <m/>
    <m/>
    <s v="Henry Ifurung Jr."/>
  </r>
  <r>
    <n v="1228"/>
    <s v="F0"/>
    <x v="60"/>
    <s v="H000004584"/>
    <s v="RT Israel Medical &amp; local R&amp;D"/>
    <s v="H000004409"/>
    <s v="New"/>
    <x v="0"/>
    <x v="0"/>
    <s v="HC"/>
    <m/>
    <m/>
    <s v="Henry Ifurung Jr."/>
  </r>
  <r>
    <n v="1229"/>
    <s v="F0"/>
    <x v="60"/>
    <s v="H000004585"/>
    <s v="RT Israel - Medical cost center"/>
    <s v="H000004584"/>
    <s v="New"/>
    <x v="0"/>
    <x v="0"/>
    <s v="HC"/>
    <m/>
    <m/>
    <s v="Henry Ifurung Jr."/>
  </r>
  <r>
    <n v="1230"/>
    <s v="F0"/>
    <x v="60"/>
    <s v="H000004586"/>
    <s v="RT Israel - Medical Non-R&amp;D Activities"/>
    <s v="H000004584"/>
    <s v="New"/>
    <x v="0"/>
    <x v="0"/>
    <s v="HC"/>
    <m/>
    <m/>
    <s v="Henry Ifurung Jr."/>
  </r>
  <r>
    <n v="1231"/>
    <s v="F0"/>
    <x v="60"/>
    <s v="H000004587"/>
    <s v="RT Israel Ogsiveo Medical Activities"/>
    <s v="H000004586"/>
    <s v="New"/>
    <x v="0"/>
    <x v="0"/>
    <s v="HC"/>
    <m/>
    <m/>
    <s v="Henry Ifurung Jr."/>
  </r>
  <r>
    <n v="1232"/>
    <s v="F0"/>
    <x v="60"/>
    <s v="H000004588"/>
    <s v="RT Israel Ezmekly Medical Activities"/>
    <s v="H000004586"/>
    <s v="New"/>
    <x v="0"/>
    <x v="0"/>
    <s v="HC"/>
    <m/>
    <m/>
    <s v="Henry Ifurung Jr."/>
  </r>
  <r>
    <n v="1233"/>
    <s v="F0"/>
    <x v="60"/>
    <s v="H000004589"/>
    <s v="RT Israel Local R&amp;D - Studies"/>
    <s v="H000004584"/>
    <s v="New"/>
    <x v="0"/>
    <x v="0"/>
    <s v="HC"/>
    <m/>
    <m/>
    <s v="Henry Ifurung Jr."/>
  </r>
  <r>
    <n v="1234"/>
    <s v="F0"/>
    <x v="60"/>
    <s v="H000004590"/>
    <s v="RT Israel Ogsiveo Local R&amp;D Studies"/>
    <s v="H000004589"/>
    <s v="New"/>
    <x v="0"/>
    <x v="0"/>
    <s v="HC"/>
    <m/>
    <m/>
    <s v="Henry Ifurung Jr."/>
  </r>
  <r>
    <n v="1235"/>
    <s v="F0"/>
    <x v="60"/>
    <s v="H000004591"/>
    <s v="RT Israel Ezmekly Local R&amp;D Studies"/>
    <s v="H000004589"/>
    <s v="New"/>
    <x v="0"/>
    <x v="0"/>
    <s v="HC"/>
    <m/>
    <m/>
    <s v="Henry Ifurung Jr."/>
  </r>
  <r>
    <n v="1236"/>
    <s v="F0"/>
    <x v="60"/>
    <s v="H000004592"/>
    <s v="RT Poland Commercial"/>
    <s v="H000004407"/>
    <s v="New"/>
    <x v="0"/>
    <x v="0"/>
    <s v="HC"/>
    <m/>
    <m/>
    <s v="Henry Ifurung Jr."/>
  </r>
  <r>
    <n v="1237"/>
    <s v="F0"/>
    <x v="60"/>
    <s v="H000004593"/>
    <s v="RT Poland Field Force"/>
    <s v="H000004592"/>
    <s v="New"/>
    <x v="0"/>
    <x v="0"/>
    <s v="HC"/>
    <m/>
    <m/>
    <s v="Henry Ifurung Jr."/>
  </r>
  <r>
    <n v="1238"/>
    <s v="F0"/>
    <x v="60"/>
    <s v="H000004594"/>
    <s v="RT Poland Marketing"/>
    <s v="H000004592"/>
    <s v="New"/>
    <x v="0"/>
    <x v="0"/>
    <s v="HC"/>
    <m/>
    <m/>
    <s v="Henry Ifurung Jr."/>
  </r>
  <r>
    <n v="1239"/>
    <s v="F0"/>
    <x v="60"/>
    <s v="H000004595"/>
    <s v="RT Poland Sales Promotion"/>
    <s v="H000004592"/>
    <s v="New"/>
    <x v="0"/>
    <x v="0"/>
    <s v="HC"/>
    <m/>
    <m/>
    <s v="Henry Ifurung Jr."/>
  </r>
  <r>
    <n v="1240"/>
    <s v="F0"/>
    <x v="60"/>
    <s v="H000004596"/>
    <s v="RT Poland Ogsiveo Sales Promotion"/>
    <s v="H000004595"/>
    <s v="New"/>
    <x v="0"/>
    <x v="0"/>
    <s v="HC"/>
    <m/>
    <m/>
    <s v="Henry Ifurung Jr."/>
  </r>
  <r>
    <n v="1241"/>
    <s v="F0"/>
    <x v="60"/>
    <s v="H000004597"/>
    <s v="RT Poland Ezmekly Sales Promotion"/>
    <s v="H000004595"/>
    <s v="New"/>
    <x v="0"/>
    <x v="0"/>
    <s v="HC"/>
    <m/>
    <m/>
    <s v="Henry Ifurung Jr."/>
  </r>
  <r>
    <n v="1242"/>
    <s v="F0"/>
    <x v="60"/>
    <s v="H000004598"/>
    <s v="RT Poland - General"/>
    <s v="H000004592"/>
    <s v="New"/>
    <x v="0"/>
    <x v="0"/>
    <s v="HC"/>
    <m/>
    <m/>
    <s v="Henry Ifurung Jr."/>
  </r>
  <r>
    <n v="1243"/>
    <s v="F0"/>
    <x v="60"/>
    <s v="H000004599"/>
    <s v="RT Poland - General Management"/>
    <s v="H000004598"/>
    <s v="New"/>
    <x v="0"/>
    <x v="0"/>
    <s v="HC"/>
    <m/>
    <m/>
    <s v="Henry Ifurung Jr."/>
  </r>
  <r>
    <n v="1244"/>
    <s v="F0"/>
    <x v="60"/>
    <s v="H000004600"/>
    <s v="RT Poland - MAP"/>
    <s v="H000004598"/>
    <s v="New"/>
    <x v="0"/>
    <x v="0"/>
    <s v="HC"/>
    <m/>
    <m/>
    <s v="Henry Ifurung Jr."/>
  </r>
  <r>
    <n v="1245"/>
    <s v="F0"/>
    <x v="60"/>
    <s v="H000004601"/>
    <s v="RT Poland - GAP"/>
    <s v="H000004598"/>
    <s v="New"/>
    <x v="0"/>
    <x v="0"/>
    <s v="HC"/>
    <m/>
    <m/>
    <s v="Henry Ifurung Jr."/>
  </r>
  <r>
    <n v="1246"/>
    <s v="F0"/>
    <x v="60"/>
    <s v="H000004602"/>
    <s v="RT Poland - Business Ops"/>
    <s v="H000004598"/>
    <s v="New"/>
    <x v="0"/>
    <x v="0"/>
    <s v="HC"/>
    <m/>
    <m/>
    <s v="Henry Ifurung Jr."/>
  </r>
  <r>
    <n v="1247"/>
    <s v="F0"/>
    <x v="60"/>
    <s v="H000004603"/>
    <s v="RT Poland - Other Operating Expense"/>
    <s v="H000004598"/>
    <s v="New"/>
    <x v="0"/>
    <x v="0"/>
    <s v="HC"/>
    <m/>
    <m/>
    <s v="Henry Ifurung Jr."/>
  </r>
  <r>
    <n v="1248"/>
    <s v="F0"/>
    <x v="60"/>
    <s v="H000004604"/>
    <s v="RT Poland Medical &amp; local R&amp;D"/>
    <s v="H000004409"/>
    <s v="New"/>
    <x v="0"/>
    <x v="0"/>
    <s v="HC"/>
    <m/>
    <m/>
    <s v="Henry Ifurung Jr."/>
  </r>
  <r>
    <n v="1249"/>
    <s v="F0"/>
    <x v="60"/>
    <s v="H000004605"/>
    <s v="RT Poland - Medical cost center"/>
    <s v="H000004604"/>
    <s v="New"/>
    <x v="0"/>
    <x v="0"/>
    <s v="HC"/>
    <m/>
    <m/>
    <s v="Henry Ifurung Jr."/>
  </r>
  <r>
    <n v="1250"/>
    <s v="F0"/>
    <x v="60"/>
    <s v="H000004606"/>
    <s v="RT Poland - Medical Non-R&amp;D Activities"/>
    <s v="H000004604"/>
    <s v="New"/>
    <x v="0"/>
    <x v="0"/>
    <s v="HC"/>
    <m/>
    <m/>
    <s v="Henry Ifurung Jr."/>
  </r>
  <r>
    <n v="1251"/>
    <s v="F0"/>
    <x v="60"/>
    <s v="H000004607"/>
    <s v="RT Poland Ogsiveo Medical Activities"/>
    <s v="H000004606"/>
    <s v="New"/>
    <x v="0"/>
    <x v="0"/>
    <s v="HC"/>
    <m/>
    <m/>
    <s v="Henry Ifurung Jr."/>
  </r>
  <r>
    <n v="1252"/>
    <s v="F0"/>
    <x v="60"/>
    <s v="H000004608"/>
    <s v="RT Poland Ezmekly Medical Activities"/>
    <s v="H000004606"/>
    <s v="New"/>
    <x v="0"/>
    <x v="0"/>
    <s v="HC"/>
    <m/>
    <m/>
    <s v="Henry Ifurung Jr."/>
  </r>
  <r>
    <n v="1253"/>
    <s v="F0"/>
    <x v="60"/>
    <s v="H000004609"/>
    <s v="RT Poland Local R&amp;D - Studies"/>
    <s v="H000004604"/>
    <s v="New"/>
    <x v="0"/>
    <x v="0"/>
    <s v="HC"/>
    <m/>
    <m/>
    <s v="Henry Ifurung Jr."/>
  </r>
  <r>
    <n v="1254"/>
    <s v="F0"/>
    <x v="60"/>
    <s v="H000004610"/>
    <s v="RT Poland Ogsiveo Local R&amp;D Studies"/>
    <s v="H000004609"/>
    <s v="New"/>
    <x v="0"/>
    <x v="0"/>
    <s v="HC"/>
    <m/>
    <m/>
    <s v="Henry Ifurung Jr."/>
  </r>
  <r>
    <n v="1255"/>
    <s v="F0"/>
    <x v="60"/>
    <s v="H000004611"/>
    <s v="RT Poland Ezmekly Local R&amp;D Studies"/>
    <s v="H000004609"/>
    <s v="New"/>
    <x v="0"/>
    <x v="0"/>
    <s v="HC"/>
    <m/>
    <m/>
    <s v="Henry Ifurung Jr."/>
  </r>
  <r>
    <n v="1256"/>
    <s v="F0"/>
    <x v="60"/>
    <s v="H000004612"/>
    <s v="RT Belgium Commercial"/>
    <s v="H000004407"/>
    <s v="New"/>
    <x v="0"/>
    <x v="0"/>
    <s v="HC"/>
    <m/>
    <m/>
    <s v="Henry Ifurung Jr."/>
  </r>
  <r>
    <n v="1257"/>
    <s v="F0"/>
    <x v="60"/>
    <s v="H000004613"/>
    <s v="RT Belgium Field Force"/>
    <s v="H000004612"/>
    <s v="New"/>
    <x v="0"/>
    <x v="0"/>
    <s v="HC"/>
    <m/>
    <m/>
    <s v="Henry Ifurung Jr."/>
  </r>
  <r>
    <n v="1258"/>
    <s v="F0"/>
    <x v="60"/>
    <s v="H000004614"/>
    <s v="RT Belgium Marketing"/>
    <s v="H000004612"/>
    <s v="New"/>
    <x v="0"/>
    <x v="0"/>
    <s v="HC"/>
    <m/>
    <m/>
    <s v="Henry Ifurung Jr."/>
  </r>
  <r>
    <n v="1259"/>
    <s v="F0"/>
    <x v="60"/>
    <s v="H000004615"/>
    <s v="RT Belgium Sales Promotion"/>
    <s v="H000004612"/>
    <s v="New"/>
    <x v="0"/>
    <x v="0"/>
    <s v="HC"/>
    <m/>
    <m/>
    <s v="Henry Ifurung Jr."/>
  </r>
  <r>
    <n v="1260"/>
    <s v="F0"/>
    <x v="60"/>
    <s v="H000004616"/>
    <s v="RT Belgium Ogsiveo Sales Promotion"/>
    <s v="H000004615"/>
    <s v="New"/>
    <x v="0"/>
    <x v="0"/>
    <s v="HC"/>
    <m/>
    <m/>
    <s v="Henry Ifurung Jr."/>
  </r>
  <r>
    <n v="1261"/>
    <s v="F0"/>
    <x v="60"/>
    <s v="H000004617"/>
    <s v="RT Belgium Ezmekly Sales Promotion"/>
    <s v="H000004615"/>
    <s v="New"/>
    <x v="0"/>
    <x v="0"/>
    <s v="HC"/>
    <m/>
    <m/>
    <s v="Henry Ifurung Jr."/>
  </r>
  <r>
    <n v="1262"/>
    <s v="F0"/>
    <x v="60"/>
    <s v="H000004618"/>
    <s v="RT Belgium - General"/>
    <s v="H000004612"/>
    <s v="New"/>
    <x v="0"/>
    <x v="0"/>
    <s v="HC"/>
    <m/>
    <m/>
    <s v="Henry Ifurung Jr."/>
  </r>
  <r>
    <n v="1263"/>
    <s v="F0"/>
    <x v="60"/>
    <s v="H000004619"/>
    <s v="RT Belgium - General Management"/>
    <s v="H000004618"/>
    <s v="New"/>
    <x v="0"/>
    <x v="0"/>
    <s v="HC"/>
    <m/>
    <m/>
    <s v="Henry Ifurung Jr."/>
  </r>
  <r>
    <n v="1264"/>
    <s v="F0"/>
    <x v="60"/>
    <s v="H000004620"/>
    <s v="RT Belgium - MAP"/>
    <s v="H000004618"/>
    <s v="New"/>
    <x v="0"/>
    <x v="0"/>
    <s v="HC"/>
    <m/>
    <m/>
    <s v="Henry Ifurung Jr."/>
  </r>
  <r>
    <n v="1265"/>
    <s v="F0"/>
    <x v="60"/>
    <s v="H000004621"/>
    <s v="RT Belgium - GAP"/>
    <s v="H000004618"/>
    <s v="New"/>
    <x v="0"/>
    <x v="0"/>
    <s v="HC"/>
    <m/>
    <m/>
    <s v="Henry Ifurung Jr."/>
  </r>
  <r>
    <n v="1266"/>
    <s v="F0"/>
    <x v="60"/>
    <s v="H000004622"/>
    <s v="RT Belgium - Business Ops"/>
    <s v="H000004618"/>
    <s v="New"/>
    <x v="0"/>
    <x v="0"/>
    <s v="HC"/>
    <m/>
    <m/>
    <s v="Henry Ifurung Jr."/>
  </r>
  <r>
    <n v="1267"/>
    <s v="F0"/>
    <x v="60"/>
    <s v="H000004623"/>
    <s v="RT Belgium - Other Operating Expense"/>
    <s v="H000004618"/>
    <s v="New"/>
    <x v="0"/>
    <x v="0"/>
    <s v="HC"/>
    <m/>
    <m/>
    <s v="Henry Ifurung Jr."/>
  </r>
  <r>
    <n v="1268"/>
    <s v="F0"/>
    <x v="60"/>
    <s v="H000004624"/>
    <s v="RT Belgium Medical &amp; local R&amp;D"/>
    <s v="H000004409"/>
    <s v="New"/>
    <x v="0"/>
    <x v="0"/>
    <s v="HC"/>
    <m/>
    <m/>
    <s v="Henry Ifurung Jr."/>
  </r>
  <r>
    <n v="1269"/>
    <s v="F0"/>
    <x v="60"/>
    <s v="H000004625"/>
    <s v="RT Belgium - Medical cost center"/>
    <s v="H000004624"/>
    <s v="New"/>
    <x v="0"/>
    <x v="0"/>
    <s v="HC"/>
    <m/>
    <m/>
    <s v="Henry Ifurung Jr."/>
  </r>
  <r>
    <n v="1270"/>
    <s v="F0"/>
    <x v="60"/>
    <s v="H000004626"/>
    <s v="RT Belgium - Medical Non-R&amp;D Activities"/>
    <s v="H000004624"/>
    <s v="New"/>
    <x v="0"/>
    <x v="0"/>
    <s v="HC"/>
    <m/>
    <m/>
    <s v="Henry Ifurung Jr."/>
  </r>
  <r>
    <n v="1271"/>
    <s v="F0"/>
    <x v="60"/>
    <s v="H000004627"/>
    <s v="RT Belgium Ogsiveo Medical Activities"/>
    <s v="H000004626"/>
    <s v="New"/>
    <x v="0"/>
    <x v="0"/>
    <s v="HC"/>
    <m/>
    <m/>
    <s v="Henry Ifurung Jr."/>
  </r>
  <r>
    <n v="1272"/>
    <s v="F0"/>
    <x v="60"/>
    <s v="H000004628"/>
    <s v="RT Belgium Ezmekly Medical Activities"/>
    <s v="H000004626"/>
    <s v="New"/>
    <x v="0"/>
    <x v="0"/>
    <s v="HC"/>
    <m/>
    <m/>
    <s v="Henry Ifurung Jr."/>
  </r>
  <r>
    <n v="1273"/>
    <s v="F0"/>
    <x v="60"/>
    <s v="H000004629"/>
    <s v="RT Belgium Local R&amp;D - Studies"/>
    <s v="H000004624"/>
    <s v="New"/>
    <x v="0"/>
    <x v="0"/>
    <s v="HC"/>
    <m/>
    <m/>
    <s v="Henry Ifurung Jr."/>
  </r>
  <r>
    <n v="1274"/>
    <s v="F0"/>
    <x v="60"/>
    <s v="H000004630"/>
    <s v="RT Belgium Ogsiveo Local R&amp;D Studies"/>
    <s v="H000004629"/>
    <s v="New"/>
    <x v="0"/>
    <x v="0"/>
    <s v="HC"/>
    <m/>
    <m/>
    <s v="Henry Ifurung Jr."/>
  </r>
  <r>
    <n v="1275"/>
    <s v="F0"/>
    <x v="60"/>
    <s v="H000004631"/>
    <s v="RT Belgium Ezmekly Local R&amp;D Studies"/>
    <s v="H000004629"/>
    <s v="New"/>
    <x v="0"/>
    <x v="0"/>
    <s v="HC"/>
    <m/>
    <m/>
    <s v="Henry Ifurung Jr."/>
  </r>
  <r>
    <n v="1276"/>
    <s v="F0"/>
    <x v="60"/>
    <s v="H000004632"/>
    <s v="RT Netherlands Commercial"/>
    <s v="H000004407"/>
    <s v="New"/>
    <x v="0"/>
    <x v="0"/>
    <s v="HC"/>
    <m/>
    <m/>
    <s v="Henry Ifurung Jr."/>
  </r>
  <r>
    <n v="1277"/>
    <s v="F0"/>
    <x v="60"/>
    <s v="H000004633"/>
    <s v="RT Netherlands Field Force"/>
    <s v="H000004632"/>
    <s v="New"/>
    <x v="0"/>
    <x v="0"/>
    <s v="HC"/>
    <m/>
    <m/>
    <s v="Henry Ifurung Jr."/>
  </r>
  <r>
    <n v="1278"/>
    <s v="F0"/>
    <x v="60"/>
    <s v="H000004634"/>
    <s v="RT Netherlands Marketing"/>
    <s v="H000004632"/>
    <s v="New"/>
    <x v="0"/>
    <x v="0"/>
    <s v="HC"/>
    <m/>
    <m/>
    <s v="Henry Ifurung Jr."/>
  </r>
  <r>
    <n v="1279"/>
    <s v="F0"/>
    <x v="60"/>
    <s v="H000004635"/>
    <s v="RT Netherlands Sales Promotion"/>
    <s v="H000004632"/>
    <s v="New"/>
    <x v="0"/>
    <x v="0"/>
    <s v="HC"/>
    <m/>
    <m/>
    <s v="Henry Ifurung Jr."/>
  </r>
  <r>
    <n v="1280"/>
    <s v="F0"/>
    <x v="60"/>
    <s v="H000004636"/>
    <s v="RT Netherlands Ogsiveo Sales Promotion"/>
    <s v="H000004635"/>
    <s v="New"/>
    <x v="0"/>
    <x v="0"/>
    <s v="HC"/>
    <m/>
    <m/>
    <s v="Henry Ifurung Jr."/>
  </r>
  <r>
    <n v="1281"/>
    <s v="F0"/>
    <x v="60"/>
    <s v="H000004637"/>
    <s v="RT Netherlands Ezmekly Sales Promotion"/>
    <s v="H000004635"/>
    <s v="New"/>
    <x v="0"/>
    <x v="0"/>
    <s v="HC"/>
    <m/>
    <m/>
    <s v="Henry Ifurung Jr."/>
  </r>
  <r>
    <n v="1282"/>
    <s v="F0"/>
    <x v="60"/>
    <s v="H000004638"/>
    <s v="RT Netherlands - General"/>
    <s v="H000004632"/>
    <s v="New"/>
    <x v="0"/>
    <x v="0"/>
    <s v="HC"/>
    <m/>
    <m/>
    <s v="Henry Ifurung Jr."/>
  </r>
  <r>
    <n v="1283"/>
    <s v="F0"/>
    <x v="60"/>
    <s v="H000004639"/>
    <s v="RT Netherlands - General Management"/>
    <s v="H000004638"/>
    <s v="New"/>
    <x v="0"/>
    <x v="0"/>
    <s v="HC"/>
    <m/>
    <m/>
    <s v="Henry Ifurung Jr."/>
  </r>
  <r>
    <n v="1284"/>
    <s v="F0"/>
    <x v="60"/>
    <s v="H000004640"/>
    <s v="RT Netherlands - MAP"/>
    <s v="H000004638"/>
    <s v="New"/>
    <x v="0"/>
    <x v="0"/>
    <s v="HC"/>
    <m/>
    <m/>
    <s v="Henry Ifurung Jr."/>
  </r>
  <r>
    <n v="1285"/>
    <s v="F0"/>
    <x v="60"/>
    <s v="H000004641"/>
    <s v="RT Netherlands - GAP"/>
    <s v="H000004638"/>
    <s v="New"/>
    <x v="0"/>
    <x v="0"/>
    <s v="HC"/>
    <m/>
    <m/>
    <s v="Henry Ifurung Jr."/>
  </r>
  <r>
    <n v="1286"/>
    <s v="F0"/>
    <x v="60"/>
    <s v="H000004642"/>
    <s v="RT Netherlands - Business Ops"/>
    <s v="H000004638"/>
    <s v="New"/>
    <x v="0"/>
    <x v="0"/>
    <s v="HC"/>
    <m/>
    <m/>
    <s v="Henry Ifurung Jr."/>
  </r>
  <r>
    <n v="1287"/>
    <s v="F0"/>
    <x v="60"/>
    <s v="H000004643"/>
    <s v="RT Netherlands - Other Operating Expense"/>
    <s v="H000004638"/>
    <s v="New"/>
    <x v="0"/>
    <x v="0"/>
    <s v="HC"/>
    <m/>
    <m/>
    <s v="Henry Ifurung Jr."/>
  </r>
  <r>
    <n v="1288"/>
    <s v="F0"/>
    <x v="60"/>
    <s v="H000004644"/>
    <s v="RT Netherlands Medical &amp; local R&amp;D"/>
    <s v="H000004409"/>
    <s v="New"/>
    <x v="0"/>
    <x v="0"/>
    <s v="HC"/>
    <m/>
    <m/>
    <s v="Henry Ifurung Jr."/>
  </r>
  <r>
    <n v="1289"/>
    <s v="F0"/>
    <x v="60"/>
    <s v="H000004645"/>
    <s v="RT Netherlands - Medical cost center"/>
    <s v="H000004644"/>
    <s v="New"/>
    <x v="0"/>
    <x v="0"/>
    <s v="HC"/>
    <m/>
    <m/>
    <s v="Henry Ifurung Jr."/>
  </r>
  <r>
    <n v="1290"/>
    <s v="F0"/>
    <x v="60"/>
    <s v="H000004646"/>
    <s v="RT Netherlands - Medical Non-R&amp;D Act"/>
    <s v="H000004644"/>
    <s v="New"/>
    <x v="0"/>
    <x v="0"/>
    <s v="HC"/>
    <m/>
    <m/>
    <s v="Henry Ifurung Jr."/>
  </r>
  <r>
    <n v="1291"/>
    <s v="F0"/>
    <x v="60"/>
    <s v="H000004647"/>
    <s v="RT Netherlands Ogsiveo Medical Act"/>
    <s v="H000004646"/>
    <s v="New"/>
    <x v="0"/>
    <x v="0"/>
    <s v="HC"/>
    <m/>
    <m/>
    <s v="Henry Ifurung Jr."/>
  </r>
  <r>
    <n v="1292"/>
    <s v="F0"/>
    <x v="60"/>
    <s v="H000004648"/>
    <s v="RT Netherlands Ezmekly Medical Act"/>
    <s v="H000004646"/>
    <s v="New"/>
    <x v="0"/>
    <x v="0"/>
    <s v="HC"/>
    <m/>
    <m/>
    <s v="Henry Ifurung Jr."/>
  </r>
  <r>
    <n v="1293"/>
    <s v="F0"/>
    <x v="60"/>
    <s v="H000004649"/>
    <s v="RT Netherlands Local R&amp;D - Studies"/>
    <s v="H000004644"/>
    <s v="New"/>
    <x v="0"/>
    <x v="0"/>
    <s v="HC"/>
    <m/>
    <m/>
    <s v="Henry Ifurung Jr."/>
  </r>
  <r>
    <n v="1294"/>
    <s v="F0"/>
    <x v="60"/>
    <s v="H000004650"/>
    <s v="RT Netherlands Ogsiveo Local R&amp;D Studies"/>
    <s v="H000004649"/>
    <s v="New"/>
    <x v="0"/>
    <x v="0"/>
    <s v="HC"/>
    <m/>
    <m/>
    <s v="Henry Ifurung Jr."/>
  </r>
  <r>
    <n v="1295"/>
    <s v="F0"/>
    <x v="60"/>
    <s v="H000004651"/>
    <s v="RT Netherlands Ezmekly Local R&amp;D Studies"/>
    <s v="H000004649"/>
    <s v="New"/>
    <x v="0"/>
    <x v="0"/>
    <s v="HC"/>
    <m/>
    <m/>
    <s v="Henry Ifurung Jr."/>
  </r>
  <r>
    <n v="1296"/>
    <s v="F0"/>
    <x v="60"/>
    <s v="H000004652"/>
    <s v="RT Romania Commercial"/>
    <s v="H000004407"/>
    <s v="New"/>
    <x v="0"/>
    <x v="0"/>
    <s v="HC"/>
    <m/>
    <m/>
    <s v="Henry Ifurung Jr."/>
  </r>
  <r>
    <n v="1297"/>
    <s v="F0"/>
    <x v="60"/>
    <s v="H000004653"/>
    <s v="RT Romania Field Force"/>
    <s v="H000004652"/>
    <s v="New"/>
    <x v="0"/>
    <x v="0"/>
    <s v="HC"/>
    <m/>
    <m/>
    <s v="Henry Ifurung Jr."/>
  </r>
  <r>
    <n v="1298"/>
    <s v="F0"/>
    <x v="60"/>
    <s v="H000004654"/>
    <s v="RT Romania Marketing"/>
    <s v="H000004652"/>
    <s v="New"/>
    <x v="0"/>
    <x v="0"/>
    <s v="HC"/>
    <m/>
    <m/>
    <s v="Henry Ifurung Jr."/>
  </r>
  <r>
    <n v="1299"/>
    <s v="F0"/>
    <x v="60"/>
    <s v="H000004655"/>
    <s v="RT Romania Sales Promotion"/>
    <s v="H000004652"/>
    <s v="New"/>
    <x v="0"/>
    <x v="0"/>
    <s v="HC"/>
    <m/>
    <m/>
    <s v="Henry Ifurung Jr."/>
  </r>
  <r>
    <n v="1300"/>
    <s v="F0"/>
    <x v="60"/>
    <s v="H000004656"/>
    <s v="RT Romania Ogsiveo Sales Promotion"/>
    <s v="H000004655"/>
    <s v="New"/>
    <x v="0"/>
    <x v="0"/>
    <s v="HC"/>
    <m/>
    <m/>
    <s v="Henry Ifurung Jr."/>
  </r>
  <r>
    <n v="1301"/>
    <s v="F0"/>
    <x v="60"/>
    <s v="H000004657"/>
    <s v="RT Romania Ezmekly Sales Promotion"/>
    <s v="H000004655"/>
    <s v="New"/>
    <x v="0"/>
    <x v="0"/>
    <s v="HC"/>
    <m/>
    <m/>
    <s v="Henry Ifurung Jr."/>
  </r>
  <r>
    <n v="1302"/>
    <s v="F0"/>
    <x v="60"/>
    <s v="H000004658"/>
    <s v="RT Romania - General"/>
    <s v="H000004652"/>
    <s v="New"/>
    <x v="0"/>
    <x v="0"/>
    <s v="HC"/>
    <m/>
    <m/>
    <s v="Henry Ifurung Jr."/>
  </r>
  <r>
    <n v="1303"/>
    <s v="F0"/>
    <x v="60"/>
    <s v="H000004659"/>
    <s v="RT Romania - General Management"/>
    <s v="H000004658"/>
    <s v="New"/>
    <x v="0"/>
    <x v="0"/>
    <s v="HC"/>
    <m/>
    <m/>
    <s v="Henry Ifurung Jr."/>
  </r>
  <r>
    <n v="1304"/>
    <s v="F0"/>
    <x v="60"/>
    <s v="H000004660"/>
    <s v="RT Romania - MAP"/>
    <s v="H000004658"/>
    <s v="New"/>
    <x v="0"/>
    <x v="0"/>
    <s v="HC"/>
    <m/>
    <m/>
    <s v="Henry Ifurung Jr."/>
  </r>
  <r>
    <n v="1305"/>
    <s v="F0"/>
    <x v="60"/>
    <s v="H000004661"/>
    <s v="RT Romania - GAP"/>
    <s v="H000004658"/>
    <s v="New"/>
    <x v="0"/>
    <x v="0"/>
    <s v="HC"/>
    <m/>
    <m/>
    <s v="Henry Ifurung Jr."/>
  </r>
  <r>
    <n v="1306"/>
    <s v="F0"/>
    <x v="60"/>
    <s v="H000004662"/>
    <s v="RT Romania - Business Ops"/>
    <s v="H000004658"/>
    <s v="New"/>
    <x v="0"/>
    <x v="0"/>
    <s v="HC"/>
    <m/>
    <m/>
    <s v="Henry Ifurung Jr."/>
  </r>
  <r>
    <n v="1307"/>
    <s v="F0"/>
    <x v="60"/>
    <s v="H000004663"/>
    <s v="RT Romania - Other Operating Expense"/>
    <s v="H000004658"/>
    <s v="New"/>
    <x v="0"/>
    <x v="0"/>
    <s v="HC"/>
    <m/>
    <m/>
    <s v="Henry Ifurung Jr."/>
  </r>
  <r>
    <n v="1308"/>
    <s v="F0"/>
    <x v="60"/>
    <s v="H000004664"/>
    <s v="RT Romania Medical &amp; local R&amp;D"/>
    <s v="H000004409"/>
    <s v="New"/>
    <x v="0"/>
    <x v="0"/>
    <s v="HC"/>
    <m/>
    <m/>
    <s v="Henry Ifurung Jr."/>
  </r>
  <r>
    <n v="1309"/>
    <s v="F0"/>
    <x v="60"/>
    <s v="H000004665"/>
    <s v="RT Romania - Medical cost center"/>
    <s v="H000004664"/>
    <s v="New"/>
    <x v="0"/>
    <x v="0"/>
    <s v="HC"/>
    <m/>
    <m/>
    <s v="Henry Ifurung Jr."/>
  </r>
  <r>
    <n v="1310"/>
    <s v="F0"/>
    <x v="60"/>
    <s v="H000004666"/>
    <s v="RT Romania - Medical Non-R&amp;D Activities"/>
    <s v="H000004664"/>
    <s v="New"/>
    <x v="0"/>
    <x v="0"/>
    <s v="HC"/>
    <m/>
    <m/>
    <s v="Henry Ifurung Jr."/>
  </r>
  <r>
    <n v="1311"/>
    <s v="F0"/>
    <x v="60"/>
    <s v="H000004667"/>
    <s v="RT Romania Ogsiveo Medical Activities"/>
    <s v="H000004666"/>
    <s v="New"/>
    <x v="0"/>
    <x v="0"/>
    <s v="HC"/>
    <m/>
    <m/>
    <s v="Henry Ifurung Jr."/>
  </r>
  <r>
    <n v="1312"/>
    <s v="F0"/>
    <x v="60"/>
    <s v="H000004668"/>
    <s v="RT Romania Ezmekly Medical Activities"/>
    <s v="H000004666"/>
    <s v="New"/>
    <x v="0"/>
    <x v="0"/>
    <s v="HC"/>
    <m/>
    <m/>
    <s v="Henry Ifurung Jr."/>
  </r>
  <r>
    <n v="1313"/>
    <s v="F0"/>
    <x v="60"/>
    <s v="H000004669"/>
    <s v="RT Romania Local R&amp;D - Studies"/>
    <s v="H000004664"/>
    <s v="New"/>
    <x v="0"/>
    <x v="0"/>
    <s v="HC"/>
    <m/>
    <m/>
    <s v="Henry Ifurung Jr."/>
  </r>
  <r>
    <n v="1314"/>
    <s v="F0"/>
    <x v="60"/>
    <s v="H000004670"/>
    <s v="RT Romania Ogsiveo Local R&amp;D Studies"/>
    <s v="H000004669"/>
    <s v="New"/>
    <x v="0"/>
    <x v="0"/>
    <s v="HC"/>
    <m/>
    <m/>
    <s v="Henry Ifurung Jr."/>
  </r>
  <r>
    <n v="1315"/>
    <s v="F0"/>
    <x v="60"/>
    <s v="H000004671"/>
    <s v="RT Romania Ezmekly Local R&amp;D Studies"/>
    <s v="H000004669"/>
    <s v="New"/>
    <x v="0"/>
    <x v="0"/>
    <s v="HC"/>
    <m/>
    <m/>
    <s v="Henry Ifurung Jr."/>
  </r>
  <r>
    <n v="1316"/>
    <s v="F0"/>
    <x v="60"/>
    <s v="H000004672"/>
    <s v="RT Denmark Commercial"/>
    <s v="H000004407"/>
    <s v="New"/>
    <x v="0"/>
    <x v="0"/>
    <s v="HC"/>
    <m/>
    <m/>
    <s v="Henry Ifurung Jr."/>
  </r>
  <r>
    <n v="1317"/>
    <s v="F0"/>
    <x v="60"/>
    <s v="H000004673"/>
    <s v="RT Denmark Field Force"/>
    <s v="H000004672"/>
    <s v="New"/>
    <x v="0"/>
    <x v="0"/>
    <s v="HC"/>
    <m/>
    <m/>
    <s v="Henry Ifurung Jr."/>
  </r>
  <r>
    <n v="1318"/>
    <s v="F0"/>
    <x v="60"/>
    <s v="H000004674"/>
    <s v="RT Denmark Marketing"/>
    <s v="H000004672"/>
    <s v="New"/>
    <x v="0"/>
    <x v="0"/>
    <s v="HC"/>
    <m/>
    <m/>
    <s v="Henry Ifurung Jr."/>
  </r>
  <r>
    <n v="1319"/>
    <s v="F0"/>
    <x v="60"/>
    <s v="H000004675"/>
    <s v="RT Denmark Sales Promotion"/>
    <s v="H000004672"/>
    <s v="New"/>
    <x v="0"/>
    <x v="0"/>
    <s v="HC"/>
    <m/>
    <m/>
    <s v="Henry Ifurung Jr."/>
  </r>
  <r>
    <n v="1320"/>
    <s v="F0"/>
    <x v="60"/>
    <s v="H000004676"/>
    <s v="RT Denmark Ogsiveo Sales Promotion"/>
    <s v="H000004675"/>
    <s v="New"/>
    <x v="0"/>
    <x v="0"/>
    <s v="HC"/>
    <m/>
    <m/>
    <s v="Henry Ifurung Jr."/>
  </r>
  <r>
    <n v="1321"/>
    <s v="F0"/>
    <x v="60"/>
    <s v="H000004677"/>
    <s v="RT Denmark Ezmekly Sales Promotion"/>
    <s v="H000004675"/>
    <s v="New"/>
    <x v="0"/>
    <x v="0"/>
    <s v="HC"/>
    <m/>
    <m/>
    <s v="Henry Ifurung Jr."/>
  </r>
  <r>
    <n v="1322"/>
    <s v="F0"/>
    <x v="60"/>
    <s v="H000004678"/>
    <s v="RT Denmark - General"/>
    <s v="H000004672"/>
    <s v="New"/>
    <x v="0"/>
    <x v="0"/>
    <s v="HC"/>
    <m/>
    <m/>
    <s v="Henry Ifurung Jr."/>
  </r>
  <r>
    <n v="1323"/>
    <s v="F0"/>
    <x v="60"/>
    <s v="H000004679"/>
    <s v="RT Denmark - General Management"/>
    <s v="H000004678"/>
    <s v="New"/>
    <x v="0"/>
    <x v="0"/>
    <s v="HC"/>
    <m/>
    <m/>
    <s v="Henry Ifurung Jr."/>
  </r>
  <r>
    <n v="1324"/>
    <s v="F0"/>
    <x v="60"/>
    <s v="H000004680"/>
    <s v="RT Denmark - MAP"/>
    <s v="H000004678"/>
    <s v="New"/>
    <x v="0"/>
    <x v="0"/>
    <s v="HC"/>
    <m/>
    <m/>
    <s v="Henry Ifurung Jr."/>
  </r>
  <r>
    <n v="1325"/>
    <s v="F0"/>
    <x v="60"/>
    <s v="H000004681"/>
    <s v="RT Denmark - GAP"/>
    <s v="H000004678"/>
    <s v="New"/>
    <x v="0"/>
    <x v="0"/>
    <s v="HC"/>
    <m/>
    <m/>
    <s v="Henry Ifurung Jr."/>
  </r>
  <r>
    <n v="1326"/>
    <s v="F0"/>
    <x v="60"/>
    <s v="H000004682"/>
    <s v="RT Denmark - Business Ops"/>
    <s v="H000004678"/>
    <s v="New"/>
    <x v="0"/>
    <x v="0"/>
    <s v="HC"/>
    <m/>
    <m/>
    <s v="Henry Ifurung Jr."/>
  </r>
  <r>
    <n v="1327"/>
    <s v="F0"/>
    <x v="60"/>
    <s v="H000004683"/>
    <s v="RT Denmark - Other Operating Expense"/>
    <s v="H000004678"/>
    <s v="New"/>
    <x v="0"/>
    <x v="0"/>
    <s v="HC"/>
    <m/>
    <m/>
    <s v="Henry Ifurung Jr."/>
  </r>
  <r>
    <n v="1328"/>
    <s v="F0"/>
    <x v="60"/>
    <s v="H000004684"/>
    <s v="RT Denmark Medical &amp; local R&amp;D"/>
    <s v="H000004409"/>
    <s v="New"/>
    <x v="0"/>
    <x v="0"/>
    <s v="HC"/>
    <m/>
    <m/>
    <s v="Henry Ifurung Jr."/>
  </r>
  <r>
    <n v="1329"/>
    <s v="F0"/>
    <x v="60"/>
    <s v="H000004685"/>
    <s v="RT Denmark - Medical cost center"/>
    <s v="H000004684"/>
    <s v="New"/>
    <x v="0"/>
    <x v="0"/>
    <s v="HC"/>
    <m/>
    <m/>
    <s v="Henry Ifurung Jr."/>
  </r>
  <r>
    <n v="1330"/>
    <s v="F0"/>
    <x v="60"/>
    <s v="H000004686"/>
    <s v="RT Denmark - Medical Non-R&amp;D Activities"/>
    <s v="H000004684"/>
    <s v="New"/>
    <x v="0"/>
    <x v="0"/>
    <s v="HC"/>
    <m/>
    <m/>
    <s v="Henry Ifurung Jr."/>
  </r>
  <r>
    <n v="1331"/>
    <s v="F0"/>
    <x v="60"/>
    <s v="H000004687"/>
    <s v="RT Denmark Ogsiveo Medical Activities"/>
    <s v="H000004686"/>
    <s v="New"/>
    <x v="0"/>
    <x v="0"/>
    <s v="HC"/>
    <m/>
    <m/>
    <s v="Henry Ifurung Jr."/>
  </r>
  <r>
    <n v="1332"/>
    <s v="F0"/>
    <x v="60"/>
    <s v="H000004688"/>
    <s v="RT Denmark Ezmekly Medical Activities"/>
    <s v="H000004686"/>
    <s v="New"/>
    <x v="0"/>
    <x v="0"/>
    <s v="HC"/>
    <m/>
    <m/>
    <s v="Henry Ifurung Jr."/>
  </r>
  <r>
    <n v="1333"/>
    <s v="F0"/>
    <x v="60"/>
    <s v="H000004689"/>
    <s v="RT Denmark Local R&amp;D - Studies"/>
    <s v="H000004684"/>
    <s v="New"/>
    <x v="0"/>
    <x v="0"/>
    <s v="HC"/>
    <m/>
    <m/>
    <s v="Henry Ifurung Jr."/>
  </r>
  <r>
    <n v="1334"/>
    <s v="F0"/>
    <x v="60"/>
    <s v="H000004690"/>
    <s v="RT Denmark Ogsiveo Local R&amp;D Studies"/>
    <s v="H000004689"/>
    <s v="New"/>
    <x v="0"/>
    <x v="0"/>
    <s v="HC"/>
    <m/>
    <m/>
    <s v="Henry Ifurung Jr."/>
  </r>
  <r>
    <n v="1335"/>
    <s v="F0"/>
    <x v="60"/>
    <s v="H000004691"/>
    <s v="RT Denmark Ezmekly Local R&amp;D Studies"/>
    <s v="H000004689"/>
    <s v="New"/>
    <x v="0"/>
    <x v="0"/>
    <s v="HC"/>
    <m/>
    <m/>
    <s v="Henry Ifurung Jr."/>
  </r>
  <r>
    <n v="1336"/>
    <s v="F0"/>
    <x v="60"/>
    <s v="H000004692"/>
    <s v="RT Sweden Commercial"/>
    <s v="H000004407"/>
    <s v="New"/>
    <x v="0"/>
    <x v="0"/>
    <s v="HC"/>
    <m/>
    <m/>
    <s v="Henry Ifurung Jr."/>
  </r>
  <r>
    <n v="1337"/>
    <s v="F0"/>
    <x v="60"/>
    <s v="H000004693"/>
    <s v="RT Sweden Field Force"/>
    <s v="H000004692"/>
    <s v="New"/>
    <x v="0"/>
    <x v="0"/>
    <s v="HC"/>
    <m/>
    <m/>
    <s v="Henry Ifurung Jr."/>
  </r>
  <r>
    <n v="1338"/>
    <s v="F0"/>
    <x v="60"/>
    <s v="H000004694"/>
    <s v="RT Sweden Marketing"/>
    <s v="H000004692"/>
    <s v="New"/>
    <x v="0"/>
    <x v="0"/>
    <s v="HC"/>
    <m/>
    <m/>
    <s v="Henry Ifurung Jr."/>
  </r>
  <r>
    <n v="1339"/>
    <s v="F0"/>
    <x v="60"/>
    <s v="H000004695"/>
    <s v="RT Sweden Sales Promotion"/>
    <s v="H000004692"/>
    <s v="New"/>
    <x v="0"/>
    <x v="0"/>
    <s v="HC"/>
    <m/>
    <m/>
    <s v="Henry Ifurung Jr."/>
  </r>
  <r>
    <n v="1340"/>
    <s v="F0"/>
    <x v="60"/>
    <s v="H000004696"/>
    <s v="RT Sweden Ogsiveo Sales Promotion"/>
    <s v="H000004695"/>
    <s v="New"/>
    <x v="0"/>
    <x v="0"/>
    <s v="HC"/>
    <m/>
    <m/>
    <s v="Henry Ifurung Jr."/>
  </r>
  <r>
    <n v="1341"/>
    <s v="F0"/>
    <x v="60"/>
    <s v="H000004697"/>
    <s v="RT Sweden Ezmekly Sales Promotion"/>
    <s v="H000004695"/>
    <s v="New"/>
    <x v="0"/>
    <x v="0"/>
    <s v="HC"/>
    <m/>
    <m/>
    <s v="Henry Ifurung Jr."/>
  </r>
  <r>
    <n v="1342"/>
    <s v="F0"/>
    <x v="60"/>
    <s v="H000004698"/>
    <s v="RT Sweden - General"/>
    <s v="H000004692"/>
    <s v="New"/>
    <x v="0"/>
    <x v="0"/>
    <s v="HC"/>
    <m/>
    <m/>
    <s v="Henry Ifurung Jr."/>
  </r>
  <r>
    <n v="1343"/>
    <s v="F0"/>
    <x v="60"/>
    <s v="H000004699"/>
    <s v="RT Sweden - General Management"/>
    <s v="H000004698"/>
    <s v="New"/>
    <x v="0"/>
    <x v="0"/>
    <s v="HC"/>
    <m/>
    <m/>
    <s v="Henry Ifurung Jr."/>
  </r>
  <r>
    <n v="1344"/>
    <s v="F0"/>
    <x v="60"/>
    <s v="H000004700"/>
    <s v="RT Sweden - MAP"/>
    <s v="H000004698"/>
    <s v="New"/>
    <x v="0"/>
    <x v="0"/>
    <s v="HC"/>
    <m/>
    <m/>
    <s v="Henry Ifurung Jr."/>
  </r>
  <r>
    <n v="1345"/>
    <s v="F0"/>
    <x v="60"/>
    <s v="H000004701"/>
    <s v="RT Sweden - GAP"/>
    <s v="H000004698"/>
    <s v="New"/>
    <x v="0"/>
    <x v="0"/>
    <s v="HC"/>
    <m/>
    <m/>
    <s v="Henry Ifurung Jr."/>
  </r>
  <r>
    <n v="1346"/>
    <s v="F0"/>
    <x v="60"/>
    <s v="H000004702"/>
    <s v="RT Sweden - Business Ops"/>
    <s v="H000004698"/>
    <s v="New"/>
    <x v="0"/>
    <x v="0"/>
    <s v="HC"/>
    <m/>
    <m/>
    <s v="Henry Ifurung Jr."/>
  </r>
  <r>
    <n v="1347"/>
    <s v="F0"/>
    <x v="60"/>
    <s v="H000004703"/>
    <s v="RT Sweden - Other Operating Expense"/>
    <s v="H000004698"/>
    <s v="New"/>
    <x v="0"/>
    <x v="0"/>
    <s v="HC"/>
    <m/>
    <m/>
    <s v="Henry Ifurung Jr."/>
  </r>
  <r>
    <n v="1348"/>
    <s v="F0"/>
    <x v="60"/>
    <s v="H000004704"/>
    <s v="RT Sweden Medical &amp; local R&amp;D"/>
    <s v="H000004409"/>
    <s v="New"/>
    <x v="0"/>
    <x v="0"/>
    <s v="HC"/>
    <m/>
    <m/>
    <s v="Henry Ifurung Jr."/>
  </r>
  <r>
    <n v="1349"/>
    <s v="F0"/>
    <x v="60"/>
    <s v="H000004705"/>
    <s v="RT Sweden - Medical cost center"/>
    <s v="H000004704"/>
    <s v="New"/>
    <x v="0"/>
    <x v="0"/>
    <s v="HC"/>
    <m/>
    <m/>
    <s v="Henry Ifurung Jr."/>
  </r>
  <r>
    <n v="1350"/>
    <s v="F0"/>
    <x v="60"/>
    <s v="H000004706"/>
    <s v="RT Sweden - Medical Non-R&amp;D Activities"/>
    <s v="H000004704"/>
    <s v="New"/>
    <x v="0"/>
    <x v="0"/>
    <s v="HC"/>
    <m/>
    <m/>
    <s v="Henry Ifurung Jr."/>
  </r>
  <r>
    <n v="1351"/>
    <s v="F0"/>
    <x v="60"/>
    <s v="H000004707"/>
    <s v="RT Sweden Ogsiveo Medical Activities"/>
    <s v="H000004706"/>
    <s v="New"/>
    <x v="0"/>
    <x v="0"/>
    <s v="HC"/>
    <m/>
    <m/>
    <s v="Henry Ifurung Jr."/>
  </r>
  <r>
    <n v="1352"/>
    <s v="F0"/>
    <x v="60"/>
    <s v="H000004708"/>
    <s v="RT Sweden Ezmekly Medical Activities"/>
    <s v="H000004706"/>
    <s v="New"/>
    <x v="0"/>
    <x v="0"/>
    <s v="HC"/>
    <m/>
    <m/>
    <s v="Henry Ifurung Jr."/>
  </r>
  <r>
    <n v="1353"/>
    <s v="F0"/>
    <x v="60"/>
    <s v="H000004709"/>
    <s v="RT Sweden Local R&amp;D - Studies"/>
    <s v="H000004704"/>
    <s v="New"/>
    <x v="0"/>
    <x v="0"/>
    <s v="HC"/>
    <m/>
    <m/>
    <s v="Henry Ifurung Jr."/>
  </r>
  <r>
    <n v="1354"/>
    <s v="F0"/>
    <x v="60"/>
    <s v="H000004710"/>
    <s v="RT Sweden Ogsiveo Local R&amp;D Studies"/>
    <s v="H000004709"/>
    <s v="New"/>
    <x v="0"/>
    <x v="0"/>
    <s v="HC"/>
    <m/>
    <m/>
    <s v="Henry Ifurung Jr."/>
  </r>
  <r>
    <n v="1355"/>
    <s v="F0"/>
    <x v="60"/>
    <s v="H000004711"/>
    <s v="RT Sweden Ezmekly Local R&amp;D Studies"/>
    <s v="H000004709"/>
    <s v="New"/>
    <x v="0"/>
    <x v="0"/>
    <s v="HC"/>
    <m/>
    <m/>
    <s v="Henry Ifurung Jr."/>
  </r>
  <r>
    <n v="1356"/>
    <s v="F0"/>
    <x v="60"/>
    <s v="H000004712"/>
    <s v="RT Finland Commercial"/>
    <s v="H000004407"/>
    <s v="New"/>
    <x v="0"/>
    <x v="0"/>
    <s v="HC"/>
    <m/>
    <m/>
    <s v="Henry Ifurung Jr."/>
  </r>
  <r>
    <n v="1357"/>
    <s v="F0"/>
    <x v="60"/>
    <s v="H000004713"/>
    <s v="RT Finland Field Force"/>
    <s v="H000004712"/>
    <s v="New"/>
    <x v="0"/>
    <x v="0"/>
    <s v="HC"/>
    <m/>
    <m/>
    <s v="Henry Ifurung Jr."/>
  </r>
  <r>
    <n v="1358"/>
    <s v="F0"/>
    <x v="60"/>
    <s v="H000004714"/>
    <s v="RT Finland Marketing"/>
    <s v="H000004712"/>
    <s v="New"/>
    <x v="0"/>
    <x v="0"/>
    <s v="HC"/>
    <m/>
    <m/>
    <s v="Henry Ifurung Jr."/>
  </r>
  <r>
    <n v="1359"/>
    <s v="F0"/>
    <x v="60"/>
    <s v="H000004715"/>
    <s v="RT Finland Sales Promotion"/>
    <s v="H000004712"/>
    <s v="New"/>
    <x v="0"/>
    <x v="0"/>
    <s v="HC"/>
    <m/>
    <m/>
    <s v="Henry Ifurung Jr."/>
  </r>
  <r>
    <n v="1360"/>
    <s v="F0"/>
    <x v="60"/>
    <s v="H000004716"/>
    <s v="RT Finland Ogsiveo Sales Promotion"/>
    <s v="H000004715"/>
    <s v="New"/>
    <x v="0"/>
    <x v="0"/>
    <s v="HC"/>
    <m/>
    <m/>
    <s v="Henry Ifurung Jr."/>
  </r>
  <r>
    <n v="1361"/>
    <s v="F0"/>
    <x v="60"/>
    <s v="H000004717"/>
    <s v="RT Finland Ezmekly Sales Promotion"/>
    <s v="H000004715"/>
    <s v="New"/>
    <x v="0"/>
    <x v="0"/>
    <s v="HC"/>
    <m/>
    <m/>
    <s v="Henry Ifurung Jr."/>
  </r>
  <r>
    <n v="1362"/>
    <s v="F0"/>
    <x v="60"/>
    <s v="H000004718"/>
    <s v="RT Finland - General"/>
    <s v="H000004712"/>
    <s v="New"/>
    <x v="0"/>
    <x v="0"/>
    <s v="HC"/>
    <m/>
    <m/>
    <s v="Henry Ifurung Jr."/>
  </r>
  <r>
    <n v="1363"/>
    <s v="F0"/>
    <x v="60"/>
    <s v="H000004719"/>
    <s v="RT Finland - General Management"/>
    <s v="H000004718"/>
    <s v="New"/>
    <x v="0"/>
    <x v="0"/>
    <s v="HC"/>
    <m/>
    <m/>
    <s v="Henry Ifurung Jr."/>
  </r>
  <r>
    <n v="1364"/>
    <s v="F0"/>
    <x v="60"/>
    <s v="H000004720"/>
    <s v="RT Finland - MAP"/>
    <s v="H000004718"/>
    <s v="New"/>
    <x v="0"/>
    <x v="0"/>
    <s v="HC"/>
    <m/>
    <m/>
    <s v="Henry Ifurung Jr."/>
  </r>
  <r>
    <n v="1365"/>
    <s v="F0"/>
    <x v="60"/>
    <s v="H000004721"/>
    <s v="RT Finland - GAP"/>
    <s v="H000004718"/>
    <s v="New"/>
    <x v="0"/>
    <x v="0"/>
    <s v="HC"/>
    <m/>
    <m/>
    <s v="Henry Ifurung Jr."/>
  </r>
  <r>
    <n v="1366"/>
    <s v="F0"/>
    <x v="60"/>
    <s v="H000004722"/>
    <s v="RT Finland - Business Ops"/>
    <s v="H000004718"/>
    <s v="New"/>
    <x v="0"/>
    <x v="0"/>
    <s v="HC"/>
    <m/>
    <m/>
    <s v="Henry Ifurung Jr."/>
  </r>
  <r>
    <n v="1367"/>
    <s v="F0"/>
    <x v="60"/>
    <s v="H000004723"/>
    <s v="RT Finland - Other Operating Expense"/>
    <s v="H000004718"/>
    <s v="New"/>
    <x v="0"/>
    <x v="0"/>
    <s v="HC"/>
    <m/>
    <m/>
    <s v="Henry Ifurung Jr."/>
  </r>
  <r>
    <n v="1368"/>
    <s v="F0"/>
    <x v="60"/>
    <s v="H000004724"/>
    <s v="RT Finland Medical &amp; local R&amp;D"/>
    <s v="H000004409"/>
    <s v="New"/>
    <x v="0"/>
    <x v="0"/>
    <s v="HC"/>
    <m/>
    <m/>
    <s v="Henry Ifurung Jr."/>
  </r>
  <r>
    <n v="1369"/>
    <s v="F0"/>
    <x v="60"/>
    <s v="H000004725"/>
    <s v="RT Finland - Medical cost center"/>
    <s v="H000004724"/>
    <s v="New"/>
    <x v="0"/>
    <x v="0"/>
    <s v="HC"/>
    <m/>
    <m/>
    <s v="Henry Ifurung Jr."/>
  </r>
  <r>
    <n v="1370"/>
    <s v="F0"/>
    <x v="60"/>
    <s v="H000004726"/>
    <s v="RT Finland - Medical Non-R&amp;D Activities"/>
    <s v="H000004724"/>
    <s v="New"/>
    <x v="0"/>
    <x v="0"/>
    <s v="HC"/>
    <m/>
    <m/>
    <s v="Henry Ifurung Jr."/>
  </r>
  <r>
    <n v="1371"/>
    <s v="F0"/>
    <x v="60"/>
    <s v="H000004727"/>
    <s v="RT Finland Ogsiveo Medical Activities"/>
    <s v="H000004726"/>
    <s v="New"/>
    <x v="0"/>
    <x v="0"/>
    <s v="HC"/>
    <m/>
    <m/>
    <s v="Henry Ifurung Jr."/>
  </r>
  <r>
    <n v="1372"/>
    <s v="F0"/>
    <x v="60"/>
    <s v="H000004728"/>
    <s v="RT Finland Ezmekly Medical Activities"/>
    <s v="H000004726"/>
    <s v="New"/>
    <x v="0"/>
    <x v="0"/>
    <s v="HC"/>
    <m/>
    <m/>
    <s v="Henry Ifurung Jr."/>
  </r>
  <r>
    <n v="1373"/>
    <s v="F0"/>
    <x v="60"/>
    <s v="H000004729"/>
    <s v="RT Finland Local R&amp;D - Studies"/>
    <s v="H000004724"/>
    <s v="New"/>
    <x v="0"/>
    <x v="0"/>
    <s v="HC"/>
    <m/>
    <m/>
    <s v="Henry Ifurung Jr."/>
  </r>
  <r>
    <n v="1374"/>
    <s v="F0"/>
    <x v="60"/>
    <s v="H000004730"/>
    <s v="RT Finland Ogsiveo Local R&amp;D Studies"/>
    <s v="H000004729"/>
    <s v="New"/>
    <x v="0"/>
    <x v="0"/>
    <s v="HC"/>
    <m/>
    <m/>
    <s v="Henry Ifurung Jr."/>
  </r>
  <r>
    <n v="1375"/>
    <s v="F0"/>
    <x v="60"/>
    <s v="H000004731"/>
    <s v="RT Finland Ezmekly Local R&amp;D Studies"/>
    <s v="H000004729"/>
    <s v="New"/>
    <x v="0"/>
    <x v="0"/>
    <s v="HC"/>
    <m/>
    <m/>
    <s v="Henry Ifurung Jr."/>
  </r>
  <r>
    <n v="1376"/>
    <s v="F0"/>
    <x v="60"/>
    <s v="H000004732"/>
    <s v="RT Norway Commercial"/>
    <s v="H000004407"/>
    <s v="New"/>
    <x v="0"/>
    <x v="0"/>
    <s v="HC"/>
    <m/>
    <m/>
    <s v="Henry Ifurung Jr."/>
  </r>
  <r>
    <n v="1377"/>
    <s v="F0"/>
    <x v="60"/>
    <s v="H000004733"/>
    <s v="RT Norway Field Force"/>
    <s v="H000004732"/>
    <s v="New"/>
    <x v="0"/>
    <x v="0"/>
    <s v="HC"/>
    <m/>
    <m/>
    <s v="Henry Ifurung Jr."/>
  </r>
  <r>
    <n v="1378"/>
    <s v="F0"/>
    <x v="60"/>
    <s v="H000004734"/>
    <s v="RT Norway Marketing"/>
    <s v="H000004732"/>
    <s v="New"/>
    <x v="0"/>
    <x v="0"/>
    <s v="HC"/>
    <m/>
    <m/>
    <s v="Henry Ifurung Jr."/>
  </r>
  <r>
    <n v="1379"/>
    <s v="F0"/>
    <x v="60"/>
    <s v="H000004735"/>
    <s v="RT Norway Sales Promotion"/>
    <s v="H000004732"/>
    <s v="New"/>
    <x v="0"/>
    <x v="0"/>
    <s v="HC"/>
    <m/>
    <m/>
    <s v="Henry Ifurung Jr."/>
  </r>
  <r>
    <n v="1380"/>
    <s v="F0"/>
    <x v="60"/>
    <s v="H000004736"/>
    <s v="RT Norway Ogsiveo Sales Promotion"/>
    <s v="H000004735"/>
    <s v="New"/>
    <x v="0"/>
    <x v="0"/>
    <s v="HC"/>
    <m/>
    <m/>
    <s v="Henry Ifurung Jr."/>
  </r>
  <r>
    <n v="1381"/>
    <s v="F0"/>
    <x v="60"/>
    <s v="H000004737"/>
    <s v="RT Norway Ezmekly Sales Promotion"/>
    <s v="H000004735"/>
    <s v="New"/>
    <x v="0"/>
    <x v="0"/>
    <s v="HC"/>
    <m/>
    <m/>
    <s v="Henry Ifurung Jr."/>
  </r>
  <r>
    <n v="1382"/>
    <s v="F0"/>
    <x v="60"/>
    <s v="H000004738"/>
    <s v="RT Norway - General"/>
    <s v="H000004732"/>
    <s v="New"/>
    <x v="0"/>
    <x v="0"/>
    <s v="HC"/>
    <m/>
    <m/>
    <s v="Henry Ifurung Jr."/>
  </r>
  <r>
    <n v="1383"/>
    <s v="F0"/>
    <x v="60"/>
    <s v="H000004739"/>
    <s v="RT Norway - General Management"/>
    <s v="H000004738"/>
    <s v="New"/>
    <x v="0"/>
    <x v="0"/>
    <s v="HC"/>
    <m/>
    <m/>
    <s v="Henry Ifurung Jr."/>
  </r>
  <r>
    <n v="1384"/>
    <s v="F0"/>
    <x v="60"/>
    <s v="H000004740"/>
    <s v="RT Norway - MAP"/>
    <s v="H000004738"/>
    <s v="New"/>
    <x v="0"/>
    <x v="0"/>
    <s v="HC"/>
    <m/>
    <m/>
    <s v="Henry Ifurung Jr."/>
  </r>
  <r>
    <n v="1385"/>
    <s v="F0"/>
    <x v="60"/>
    <s v="H000004741"/>
    <s v="RT Norway - GAP"/>
    <s v="H000004738"/>
    <s v="New"/>
    <x v="0"/>
    <x v="0"/>
    <s v="HC"/>
    <m/>
    <m/>
    <s v="Henry Ifurung Jr."/>
  </r>
  <r>
    <n v="1386"/>
    <s v="F0"/>
    <x v="60"/>
    <s v="H000004742"/>
    <s v="RT Norway - Business Ops"/>
    <s v="H000004738"/>
    <s v="New"/>
    <x v="0"/>
    <x v="0"/>
    <s v="HC"/>
    <m/>
    <m/>
    <s v="Henry Ifurung Jr."/>
  </r>
  <r>
    <n v="1387"/>
    <s v="F0"/>
    <x v="60"/>
    <s v="H000004743"/>
    <s v="RT Norway - Other Operating Expense"/>
    <s v="H000004738"/>
    <s v="New"/>
    <x v="0"/>
    <x v="0"/>
    <s v="HC"/>
    <m/>
    <m/>
    <s v="Henry Ifurung Jr."/>
  </r>
  <r>
    <n v="1388"/>
    <s v="F0"/>
    <x v="60"/>
    <s v="H000004744"/>
    <s v="RT Norway Medical &amp; local R&amp;D"/>
    <s v="H000004409"/>
    <s v="New"/>
    <x v="0"/>
    <x v="0"/>
    <s v="HC"/>
    <m/>
    <m/>
    <s v="Henry Ifurung Jr."/>
  </r>
  <r>
    <n v="1389"/>
    <s v="F0"/>
    <x v="60"/>
    <s v="H000004745"/>
    <s v="RT Norway - Medical cost center"/>
    <s v="H000004744"/>
    <s v="New"/>
    <x v="0"/>
    <x v="0"/>
    <s v="HC"/>
    <m/>
    <m/>
    <s v="Henry Ifurung Jr."/>
  </r>
  <r>
    <n v="1390"/>
    <s v="F0"/>
    <x v="60"/>
    <s v="H000004746"/>
    <s v="RT Norway - Medical Non-R&amp;D Activities"/>
    <s v="H000004744"/>
    <s v="New"/>
    <x v="0"/>
    <x v="0"/>
    <s v="HC"/>
    <m/>
    <m/>
    <s v="Henry Ifurung Jr."/>
  </r>
  <r>
    <n v="1391"/>
    <s v="F0"/>
    <x v="60"/>
    <s v="H000004747"/>
    <s v="RT Norway Ogsiveo Medical Activities"/>
    <s v="H000004746"/>
    <s v="New"/>
    <x v="0"/>
    <x v="0"/>
    <s v="HC"/>
    <m/>
    <m/>
    <s v="Henry Ifurung Jr."/>
  </r>
  <r>
    <n v="1392"/>
    <s v="F0"/>
    <x v="60"/>
    <s v="H000004748"/>
    <s v="RT Norway Ezmekly Medical Activities"/>
    <s v="H000004746"/>
    <s v="New"/>
    <x v="0"/>
    <x v="0"/>
    <s v="HC"/>
    <m/>
    <m/>
    <s v="Henry Ifurung Jr."/>
  </r>
  <r>
    <n v="1393"/>
    <s v="F0"/>
    <x v="60"/>
    <s v="H000004749"/>
    <s v="RT Norway Local R&amp;D - Studies"/>
    <s v="H000004744"/>
    <s v="New"/>
    <x v="0"/>
    <x v="0"/>
    <s v="HC"/>
    <m/>
    <m/>
    <s v="Henry Ifurung Jr."/>
  </r>
  <r>
    <n v="1394"/>
    <s v="F0"/>
    <x v="60"/>
    <s v="H000004750"/>
    <s v="RT Norway Ogsiveo Local R&amp;D Studies"/>
    <s v="H000004749"/>
    <s v="New"/>
    <x v="0"/>
    <x v="0"/>
    <s v="HC"/>
    <m/>
    <m/>
    <s v="Henry Ifurung Jr."/>
  </r>
  <r>
    <n v="1395"/>
    <s v="F0"/>
    <x v="60"/>
    <s v="H000004751"/>
    <s v="RT Norway Ezmekly Local R&amp;D Studies"/>
    <s v="H000004749"/>
    <s v="New"/>
    <x v="0"/>
    <x v="0"/>
    <s v="HC"/>
    <m/>
    <m/>
    <s v="Henry Ifurung Jr."/>
  </r>
  <r>
    <n v="1396"/>
    <s v="F0"/>
    <x v="60"/>
    <s v="H000004752"/>
    <s v="RT Czech Rep Commercial"/>
    <s v="H000004407"/>
    <s v="New"/>
    <x v="0"/>
    <x v="0"/>
    <s v="HC"/>
    <m/>
    <m/>
    <s v="Henry Ifurung Jr."/>
  </r>
  <r>
    <n v="1397"/>
    <s v="F0"/>
    <x v="60"/>
    <s v="H000004753"/>
    <s v="RT Czech Rep Field Force"/>
    <s v="H000004752"/>
    <s v="New"/>
    <x v="0"/>
    <x v="0"/>
    <s v="HC"/>
    <m/>
    <m/>
    <s v="Henry Ifurung Jr."/>
  </r>
  <r>
    <n v="1398"/>
    <s v="F0"/>
    <x v="60"/>
    <s v="H000004754"/>
    <s v="RT Czech Rep Marketing"/>
    <s v="H000004752"/>
    <s v="New"/>
    <x v="0"/>
    <x v="0"/>
    <s v="HC"/>
    <m/>
    <m/>
    <s v="Henry Ifurung Jr."/>
  </r>
  <r>
    <n v="1399"/>
    <s v="F0"/>
    <x v="60"/>
    <s v="H000004755"/>
    <s v="RT Czech Rep Sales Promotion"/>
    <s v="H000004752"/>
    <s v="New"/>
    <x v="0"/>
    <x v="0"/>
    <s v="HC"/>
    <m/>
    <m/>
    <s v="Henry Ifurung Jr."/>
  </r>
  <r>
    <n v="1400"/>
    <s v="F0"/>
    <x v="60"/>
    <s v="H000004756"/>
    <s v="RT Czech Rep Ogsiveo Sales Promotion"/>
    <s v="H000004755"/>
    <s v="New"/>
    <x v="0"/>
    <x v="0"/>
    <s v="HC"/>
    <m/>
    <m/>
    <s v="Henry Ifurung Jr."/>
  </r>
  <r>
    <n v="1401"/>
    <s v="F0"/>
    <x v="60"/>
    <s v="H000004757"/>
    <s v="RT Czech Rep Ezmekly Sales Promotion"/>
    <s v="H000004755"/>
    <s v="New"/>
    <x v="0"/>
    <x v="0"/>
    <s v="HC"/>
    <m/>
    <m/>
    <s v="Henry Ifurung Jr."/>
  </r>
  <r>
    <n v="1402"/>
    <s v="F0"/>
    <x v="60"/>
    <s v="H000004758"/>
    <s v="RT Czech Rep - General"/>
    <s v="H000004752"/>
    <s v="New"/>
    <x v="0"/>
    <x v="0"/>
    <s v="HC"/>
    <m/>
    <m/>
    <s v="Henry Ifurung Jr."/>
  </r>
  <r>
    <n v="1403"/>
    <s v="F0"/>
    <x v="60"/>
    <s v="H000004759"/>
    <s v="RT Czech Rep - General Management"/>
    <s v="H000004758"/>
    <s v="New"/>
    <x v="0"/>
    <x v="0"/>
    <s v="HC"/>
    <m/>
    <m/>
    <s v="Henry Ifurung Jr."/>
  </r>
  <r>
    <n v="1404"/>
    <s v="F0"/>
    <x v="60"/>
    <s v="H000004760"/>
    <s v="RT Czech Rep - MAP"/>
    <s v="H000004758"/>
    <s v="New"/>
    <x v="0"/>
    <x v="0"/>
    <s v="HC"/>
    <m/>
    <m/>
    <s v="Henry Ifurung Jr."/>
  </r>
  <r>
    <n v="1405"/>
    <s v="F0"/>
    <x v="60"/>
    <s v="H000004761"/>
    <s v="RT Czech Rep - GAP"/>
    <s v="H000004758"/>
    <s v="New"/>
    <x v="0"/>
    <x v="0"/>
    <s v="HC"/>
    <m/>
    <m/>
    <s v="Henry Ifurung Jr."/>
  </r>
  <r>
    <n v="1406"/>
    <s v="F0"/>
    <x v="60"/>
    <s v="H000004762"/>
    <s v="RT Czech Rep - Business Ops"/>
    <s v="H000004758"/>
    <s v="New"/>
    <x v="0"/>
    <x v="0"/>
    <s v="HC"/>
    <m/>
    <m/>
    <s v="Henry Ifurung Jr."/>
  </r>
  <r>
    <n v="1407"/>
    <s v="F0"/>
    <x v="60"/>
    <s v="H000004763"/>
    <s v="RT Czech Rep - Other Operating Expense"/>
    <s v="H000004758"/>
    <s v="New"/>
    <x v="0"/>
    <x v="0"/>
    <s v="HC"/>
    <m/>
    <m/>
    <s v="Henry Ifurung Jr."/>
  </r>
  <r>
    <n v="1408"/>
    <s v="F0"/>
    <x v="60"/>
    <s v="H000004764"/>
    <s v="RT Czech Rep Medical &amp; local R&amp;D"/>
    <s v="H000004409"/>
    <s v="New"/>
    <x v="0"/>
    <x v="0"/>
    <s v="HC"/>
    <m/>
    <m/>
    <s v="Henry Ifurung Jr."/>
  </r>
  <r>
    <n v="1409"/>
    <s v="F0"/>
    <x v="60"/>
    <s v="H000004765"/>
    <s v="RT Czech Rep - Medical cost center"/>
    <s v="H000004764"/>
    <s v="New"/>
    <x v="0"/>
    <x v="0"/>
    <s v="HC"/>
    <m/>
    <m/>
    <s v="Henry Ifurung Jr."/>
  </r>
  <r>
    <n v="1410"/>
    <s v="F0"/>
    <x v="60"/>
    <s v="H000004766"/>
    <s v="RT Czech Rep-Medical Non-R&amp;D Activities"/>
    <s v="H000004764"/>
    <s v="New"/>
    <x v="0"/>
    <x v="0"/>
    <s v="HC"/>
    <m/>
    <m/>
    <s v="Henry Ifurung Jr."/>
  </r>
  <r>
    <n v="1411"/>
    <s v="F0"/>
    <x v="60"/>
    <s v="H000004767"/>
    <s v="RT Czech Rep Ogsiveo Medical Activities"/>
    <s v="H000004766"/>
    <s v="New"/>
    <x v="0"/>
    <x v="0"/>
    <s v="HC"/>
    <m/>
    <m/>
    <s v="Henry Ifurung Jr."/>
  </r>
  <r>
    <n v="1412"/>
    <s v="F0"/>
    <x v="60"/>
    <s v="H000004768"/>
    <s v="RT Czech Rep Ezmekly Medical Activities"/>
    <s v="H000004766"/>
    <s v="New"/>
    <x v="0"/>
    <x v="0"/>
    <s v="HC"/>
    <m/>
    <m/>
    <s v="Henry Ifurung Jr."/>
  </r>
  <r>
    <n v="1413"/>
    <s v="F0"/>
    <x v="60"/>
    <s v="H000004769"/>
    <s v="RT Czech Rep Local R&amp;D - Studies"/>
    <s v="H000004764"/>
    <s v="New"/>
    <x v="0"/>
    <x v="0"/>
    <s v="HC"/>
    <m/>
    <m/>
    <s v="Henry Ifurung Jr."/>
  </r>
  <r>
    <n v="1414"/>
    <s v="F0"/>
    <x v="60"/>
    <s v="H000004770"/>
    <s v="RT Czech Rep Ogsiveo Local R&amp;D Studies"/>
    <s v="H000004769"/>
    <s v="New"/>
    <x v="0"/>
    <x v="0"/>
    <s v="HC"/>
    <m/>
    <m/>
    <s v="Henry Ifurung Jr."/>
  </r>
  <r>
    <n v="1415"/>
    <s v="F0"/>
    <x v="60"/>
    <s v="H000004771"/>
    <s v="RT Czech Rep Ezmekly Local R&amp;D Studies"/>
    <s v="H000004769"/>
    <s v="New"/>
    <x v="0"/>
    <x v="0"/>
    <s v="HC"/>
    <m/>
    <m/>
    <s v="Henry Ifurung Jr."/>
  </r>
  <r>
    <n v="1416"/>
    <s v="F0"/>
    <x v="60"/>
    <s v="H000004772"/>
    <s v="RT Hungary Commercial"/>
    <s v="H000004407"/>
    <s v="New"/>
    <x v="0"/>
    <x v="0"/>
    <s v="HC"/>
    <m/>
    <m/>
    <s v="Henry Ifurung Jr."/>
  </r>
  <r>
    <n v="1417"/>
    <s v="F0"/>
    <x v="60"/>
    <s v="H000004773"/>
    <s v="RT Hungary Field Force"/>
    <s v="H000004772"/>
    <s v="New"/>
    <x v="0"/>
    <x v="0"/>
    <s v="HC"/>
    <m/>
    <m/>
    <s v="Henry Ifurung Jr."/>
  </r>
  <r>
    <n v="1418"/>
    <s v="F0"/>
    <x v="60"/>
    <s v="H000004774"/>
    <s v="RT Hungary Marketing"/>
    <s v="H000004772"/>
    <s v="New"/>
    <x v="0"/>
    <x v="0"/>
    <s v="HC"/>
    <m/>
    <m/>
    <s v="Henry Ifurung Jr."/>
  </r>
  <r>
    <n v="1419"/>
    <s v="F0"/>
    <x v="60"/>
    <s v="H000004775"/>
    <s v="RT Hungary Sales Promotion"/>
    <s v="H000004772"/>
    <s v="New"/>
    <x v="0"/>
    <x v="0"/>
    <s v="HC"/>
    <m/>
    <m/>
    <s v="Henry Ifurung Jr."/>
  </r>
  <r>
    <n v="1420"/>
    <s v="F0"/>
    <x v="60"/>
    <s v="H000004776"/>
    <s v="RT Hungary Ogsiveo Sales Promotion"/>
    <s v="H000004775"/>
    <s v="New"/>
    <x v="0"/>
    <x v="0"/>
    <s v="HC"/>
    <m/>
    <m/>
    <s v="Henry Ifurung Jr."/>
  </r>
  <r>
    <n v="1421"/>
    <s v="F0"/>
    <x v="60"/>
    <s v="H000004777"/>
    <s v="RT Hungary Ezmekly Sales Promotion"/>
    <s v="H000004775"/>
    <s v="New"/>
    <x v="0"/>
    <x v="0"/>
    <s v="HC"/>
    <m/>
    <m/>
    <s v="Henry Ifurung Jr."/>
  </r>
  <r>
    <n v="1422"/>
    <s v="F0"/>
    <x v="60"/>
    <s v="H000004778"/>
    <s v="RT Hungary - General"/>
    <s v="H000004772"/>
    <s v="New"/>
    <x v="0"/>
    <x v="0"/>
    <s v="HC"/>
    <m/>
    <m/>
    <s v="Henry Ifurung Jr."/>
  </r>
  <r>
    <n v="1423"/>
    <s v="F0"/>
    <x v="60"/>
    <s v="H000004779"/>
    <s v="RT Hungary - General Management"/>
    <s v="H000004778"/>
    <s v="New"/>
    <x v="0"/>
    <x v="0"/>
    <s v="HC"/>
    <m/>
    <m/>
    <s v="Henry Ifurung Jr."/>
  </r>
  <r>
    <n v="1424"/>
    <s v="F0"/>
    <x v="60"/>
    <s v="H000004780"/>
    <s v="RT Hungary - MAP"/>
    <s v="H000004778"/>
    <s v="New"/>
    <x v="0"/>
    <x v="0"/>
    <s v="HC"/>
    <m/>
    <m/>
    <s v="Henry Ifurung Jr."/>
  </r>
  <r>
    <n v="1425"/>
    <s v="F0"/>
    <x v="60"/>
    <s v="H000004781"/>
    <s v="RT Hungary - GAP"/>
    <s v="H000004778"/>
    <s v="New"/>
    <x v="0"/>
    <x v="0"/>
    <s v="HC"/>
    <m/>
    <m/>
    <s v="Henry Ifurung Jr."/>
  </r>
  <r>
    <n v="1426"/>
    <s v="F0"/>
    <x v="60"/>
    <s v="H000004782"/>
    <s v="RT Hungary - Business Ops"/>
    <s v="H000004778"/>
    <s v="New"/>
    <x v="0"/>
    <x v="0"/>
    <s v="HC"/>
    <m/>
    <m/>
    <s v="Henry Ifurung Jr."/>
  </r>
  <r>
    <n v="1427"/>
    <s v="F0"/>
    <x v="60"/>
    <s v="H000004783"/>
    <s v="RT Hungary - Other Operating Expense"/>
    <s v="H000004778"/>
    <s v="New"/>
    <x v="0"/>
    <x v="0"/>
    <s v="HC"/>
    <m/>
    <m/>
    <s v="Henry Ifurung Jr."/>
  </r>
  <r>
    <n v="1428"/>
    <s v="F0"/>
    <x v="60"/>
    <s v="H000004784"/>
    <s v="RT Hungary Medical &amp; local R&amp;D"/>
    <s v="H000004409"/>
    <s v="New"/>
    <x v="0"/>
    <x v="0"/>
    <s v="HC"/>
    <m/>
    <m/>
    <s v="Henry Ifurung Jr."/>
  </r>
  <r>
    <n v="1429"/>
    <s v="F0"/>
    <x v="60"/>
    <s v="H000004785"/>
    <s v="RT Hungary - Medical cost center"/>
    <s v="H000004784"/>
    <s v="New"/>
    <x v="0"/>
    <x v="0"/>
    <s v="HC"/>
    <m/>
    <m/>
    <s v="Henry Ifurung Jr."/>
  </r>
  <r>
    <n v="1430"/>
    <s v="F0"/>
    <x v="60"/>
    <s v="H000004786"/>
    <s v="RT Hungary - Medical Non-R&amp;D Activities"/>
    <s v="H000004784"/>
    <s v="New"/>
    <x v="0"/>
    <x v="0"/>
    <s v="HC"/>
    <m/>
    <m/>
    <s v="Henry Ifurung Jr."/>
  </r>
  <r>
    <n v="1431"/>
    <s v="F0"/>
    <x v="60"/>
    <s v="H000004787"/>
    <s v="RT Hungary Ogsiveo Medical Activities"/>
    <s v="H000004786"/>
    <s v="New"/>
    <x v="0"/>
    <x v="0"/>
    <s v="HC"/>
    <m/>
    <m/>
    <s v="Henry Ifurung Jr."/>
  </r>
  <r>
    <n v="1432"/>
    <s v="F0"/>
    <x v="60"/>
    <s v="H000004788"/>
    <s v="RT Hungary Ezmekly Medical Activities"/>
    <s v="H000004786"/>
    <s v="New"/>
    <x v="0"/>
    <x v="0"/>
    <s v="HC"/>
    <m/>
    <m/>
    <s v="Henry Ifurung Jr."/>
  </r>
  <r>
    <n v="1433"/>
    <s v="F0"/>
    <x v="60"/>
    <s v="H000004789"/>
    <s v="RT Hungary Local R&amp;D - Studies"/>
    <s v="H000004784"/>
    <s v="New"/>
    <x v="0"/>
    <x v="0"/>
    <s v="HC"/>
    <m/>
    <m/>
    <s v="Henry Ifurung Jr."/>
  </r>
  <r>
    <n v="1434"/>
    <s v="F0"/>
    <x v="60"/>
    <s v="H000004790"/>
    <s v="RT Hungary Ogsiveo Local R&amp;D Studies"/>
    <s v="H000004789"/>
    <s v="New"/>
    <x v="0"/>
    <x v="0"/>
    <s v="HC"/>
    <m/>
    <m/>
    <s v="Henry Ifurung Jr."/>
  </r>
  <r>
    <n v="1435"/>
    <s v="F0"/>
    <x v="60"/>
    <s v="H000004791"/>
    <s v="RT Hungary Ezmekly Local R&amp;D Studies"/>
    <s v="H000004789"/>
    <s v="New"/>
    <x v="0"/>
    <x v="0"/>
    <s v="HC"/>
    <m/>
    <m/>
    <s v="Henry Ifurung Jr."/>
  </r>
  <r>
    <n v="1436"/>
    <s v="F0"/>
    <x v="60"/>
    <s v="H000004792"/>
    <s v="RT Greece Commercial"/>
    <s v="H000004407"/>
    <s v="New"/>
    <x v="0"/>
    <x v="0"/>
    <s v="HC"/>
    <m/>
    <m/>
    <s v="Henry Ifurung Jr."/>
  </r>
  <r>
    <n v="1437"/>
    <s v="F0"/>
    <x v="60"/>
    <s v="H000004793"/>
    <s v="RT Greece Field Force"/>
    <s v="H000004792"/>
    <s v="New"/>
    <x v="0"/>
    <x v="0"/>
    <s v="HC"/>
    <m/>
    <m/>
    <s v="Henry Ifurung Jr."/>
  </r>
  <r>
    <n v="1438"/>
    <s v="F0"/>
    <x v="60"/>
    <s v="H000004794"/>
    <s v="RT Greece Marketing"/>
    <s v="H000004792"/>
    <s v="New"/>
    <x v="0"/>
    <x v="0"/>
    <s v="HC"/>
    <m/>
    <m/>
    <s v="Henry Ifurung Jr."/>
  </r>
  <r>
    <n v="1439"/>
    <s v="F0"/>
    <x v="60"/>
    <s v="H000004795"/>
    <s v="RT Greece Sales Promotion"/>
    <s v="H000004792"/>
    <s v="New"/>
    <x v="0"/>
    <x v="0"/>
    <s v="HC"/>
    <m/>
    <m/>
    <s v="Henry Ifurung Jr."/>
  </r>
  <r>
    <n v="1440"/>
    <s v="F0"/>
    <x v="60"/>
    <s v="H000004796"/>
    <s v="RT Greece Ogsiveo Sales Promotion"/>
    <s v="H000004795"/>
    <s v="New"/>
    <x v="0"/>
    <x v="0"/>
    <s v="HC"/>
    <m/>
    <m/>
    <s v="Henry Ifurung Jr."/>
  </r>
  <r>
    <n v="1441"/>
    <s v="F0"/>
    <x v="60"/>
    <s v="H000004797"/>
    <s v="RT Greece Ezmekly Sales Promotion"/>
    <s v="H000004795"/>
    <s v="New"/>
    <x v="0"/>
    <x v="0"/>
    <s v="HC"/>
    <m/>
    <m/>
    <s v="Henry Ifurung Jr."/>
  </r>
  <r>
    <n v="1442"/>
    <s v="F0"/>
    <x v="60"/>
    <s v="H000004798"/>
    <s v="RT Greece - General"/>
    <s v="H000004792"/>
    <s v="New"/>
    <x v="0"/>
    <x v="0"/>
    <s v="HC"/>
    <m/>
    <m/>
    <s v="Henry Ifurung Jr."/>
  </r>
  <r>
    <n v="1443"/>
    <s v="F0"/>
    <x v="60"/>
    <s v="H000004799"/>
    <s v="RT Greece - General Management"/>
    <s v="H000004798"/>
    <s v="New"/>
    <x v="0"/>
    <x v="0"/>
    <s v="HC"/>
    <m/>
    <m/>
    <s v="Henry Ifurung Jr."/>
  </r>
  <r>
    <n v="1444"/>
    <s v="F0"/>
    <x v="60"/>
    <s v="H000004800"/>
    <s v="RT Greece - MAP"/>
    <s v="H000004798"/>
    <s v="New"/>
    <x v="0"/>
    <x v="0"/>
    <s v="HC"/>
    <m/>
    <m/>
    <s v="Henry Ifurung Jr."/>
  </r>
  <r>
    <n v="1445"/>
    <s v="F0"/>
    <x v="60"/>
    <s v="H000004801"/>
    <s v="RT Greece - GAP"/>
    <s v="H000004798"/>
    <s v="New"/>
    <x v="0"/>
    <x v="0"/>
    <s v="HC"/>
    <m/>
    <m/>
    <s v="Henry Ifurung Jr."/>
  </r>
  <r>
    <n v="1446"/>
    <s v="F0"/>
    <x v="60"/>
    <s v="H000004802"/>
    <s v="RT Greece - Business Ops"/>
    <s v="H000004798"/>
    <s v="New"/>
    <x v="0"/>
    <x v="0"/>
    <s v="HC"/>
    <m/>
    <m/>
    <s v="Henry Ifurung Jr."/>
  </r>
  <r>
    <n v="1447"/>
    <s v="F0"/>
    <x v="60"/>
    <s v="H000004803"/>
    <s v="RT Greece - Other Operating Expense"/>
    <s v="H000004798"/>
    <s v="New"/>
    <x v="0"/>
    <x v="0"/>
    <s v="HC"/>
    <m/>
    <m/>
    <s v="Henry Ifurung Jr."/>
  </r>
  <r>
    <n v="1448"/>
    <s v="F0"/>
    <x v="60"/>
    <s v="H000004804"/>
    <s v="RT Greece Medical &amp; local R&amp;D"/>
    <s v="H000004409"/>
    <s v="New"/>
    <x v="0"/>
    <x v="0"/>
    <s v="HC"/>
    <m/>
    <m/>
    <s v="Henry Ifurung Jr."/>
  </r>
  <r>
    <n v="1449"/>
    <s v="F0"/>
    <x v="60"/>
    <s v="H000004805"/>
    <s v="RT Greece - Medical cost center"/>
    <s v="H000004804"/>
    <s v="New"/>
    <x v="0"/>
    <x v="0"/>
    <s v="HC"/>
    <m/>
    <m/>
    <s v="Henry Ifurung Jr."/>
  </r>
  <r>
    <n v="1450"/>
    <s v="F0"/>
    <x v="60"/>
    <s v="H000004806"/>
    <s v="RT Greece - Medical Non-R&amp;D Activities"/>
    <s v="H000004804"/>
    <s v="New"/>
    <x v="0"/>
    <x v="0"/>
    <s v="HC"/>
    <m/>
    <m/>
    <s v="Henry Ifurung Jr."/>
  </r>
  <r>
    <n v="1451"/>
    <s v="F0"/>
    <x v="60"/>
    <s v="H000004807"/>
    <s v="RT Greece Ogsiveo Medical Activities"/>
    <s v="H000004806"/>
    <s v="New"/>
    <x v="0"/>
    <x v="0"/>
    <s v="HC"/>
    <m/>
    <m/>
    <s v="Henry Ifurung Jr."/>
  </r>
  <r>
    <n v="1452"/>
    <s v="F0"/>
    <x v="60"/>
    <s v="H000004808"/>
    <s v="RT Greece Ezmekly Medical Activities"/>
    <s v="H000004806"/>
    <s v="New"/>
    <x v="0"/>
    <x v="0"/>
    <s v="HC"/>
    <m/>
    <m/>
    <s v="Henry Ifurung Jr."/>
  </r>
  <r>
    <n v="1453"/>
    <s v="F0"/>
    <x v="60"/>
    <s v="H000004809"/>
    <s v="RT Greece Local R&amp;D - Studies"/>
    <s v="H000004804"/>
    <s v="New"/>
    <x v="0"/>
    <x v="0"/>
    <s v="HC"/>
    <m/>
    <m/>
    <s v="Henry Ifurung Jr."/>
  </r>
  <r>
    <n v="1454"/>
    <s v="F0"/>
    <x v="60"/>
    <s v="H000004810"/>
    <s v="RT Greece Ogsiveo Local R&amp;D Studies"/>
    <s v="H000004809"/>
    <s v="New"/>
    <x v="0"/>
    <x v="0"/>
    <s v="HC"/>
    <m/>
    <m/>
    <s v="Henry Ifurung Jr."/>
  </r>
  <r>
    <n v="1455"/>
    <s v="F0"/>
    <x v="60"/>
    <s v="H000004811"/>
    <s v="RT Greece Ezmekly Local R&amp;D Studies"/>
    <s v="H000004809"/>
    <s v="New"/>
    <x v="0"/>
    <x v="0"/>
    <s v="HC"/>
    <m/>
    <m/>
    <s v="Henry Ifurung Jr."/>
  </r>
  <r>
    <n v="1456"/>
    <s v="F0"/>
    <x v="60"/>
    <s v="H000004812"/>
    <s v="RT Slovenia Commercial"/>
    <s v="H000004407"/>
    <s v="New"/>
    <x v="0"/>
    <x v="0"/>
    <s v="HC"/>
    <m/>
    <m/>
    <s v="Henry Ifurung Jr."/>
  </r>
  <r>
    <n v="1457"/>
    <s v="F0"/>
    <x v="60"/>
    <s v="H000004813"/>
    <s v="RT Slovenia Field Force"/>
    <s v="H000004812"/>
    <s v="New"/>
    <x v="0"/>
    <x v="0"/>
    <s v="HC"/>
    <m/>
    <m/>
    <s v="Henry Ifurung Jr."/>
  </r>
  <r>
    <n v="1458"/>
    <s v="F0"/>
    <x v="60"/>
    <s v="H000004814"/>
    <s v="RT Slovenia Marketing"/>
    <s v="H000004812"/>
    <s v="New"/>
    <x v="0"/>
    <x v="0"/>
    <s v="HC"/>
    <m/>
    <m/>
    <s v="Henry Ifurung Jr."/>
  </r>
  <r>
    <n v="1459"/>
    <s v="F0"/>
    <x v="60"/>
    <s v="H000004815"/>
    <s v="RT Slovenia Sales Promotion"/>
    <s v="H000004812"/>
    <s v="New"/>
    <x v="0"/>
    <x v="0"/>
    <s v="HC"/>
    <m/>
    <m/>
    <s v="Henry Ifurung Jr."/>
  </r>
  <r>
    <n v="1460"/>
    <s v="F0"/>
    <x v="60"/>
    <s v="H000004816"/>
    <s v="RT Slovenia Ogsiveo Sales Promotion"/>
    <s v="H000004815"/>
    <s v="New"/>
    <x v="0"/>
    <x v="0"/>
    <s v="HC"/>
    <m/>
    <m/>
    <s v="Henry Ifurung Jr."/>
  </r>
  <r>
    <n v="1461"/>
    <s v="F0"/>
    <x v="60"/>
    <s v="H000004817"/>
    <s v="RT Slovenia Ezmekly Sales Promotion"/>
    <s v="H000004815"/>
    <s v="New"/>
    <x v="0"/>
    <x v="0"/>
    <s v="HC"/>
    <m/>
    <m/>
    <s v="Henry Ifurung Jr."/>
  </r>
  <r>
    <n v="1462"/>
    <s v="F0"/>
    <x v="60"/>
    <s v="H000004818"/>
    <s v="RT Slovenia - General"/>
    <s v="H000004812"/>
    <s v="New"/>
    <x v="0"/>
    <x v="0"/>
    <s v="HC"/>
    <m/>
    <m/>
    <s v="Henry Ifurung Jr."/>
  </r>
  <r>
    <n v="1463"/>
    <s v="F0"/>
    <x v="60"/>
    <s v="H000004819"/>
    <s v="RT Slovenia - General Management"/>
    <s v="H000004818"/>
    <s v="New"/>
    <x v="0"/>
    <x v="0"/>
    <s v="HC"/>
    <m/>
    <m/>
    <s v="Henry Ifurung Jr."/>
  </r>
  <r>
    <n v="1464"/>
    <s v="F0"/>
    <x v="60"/>
    <s v="H000004820"/>
    <s v="RT Slovenia - MAP"/>
    <s v="H000004818"/>
    <s v="New"/>
    <x v="0"/>
    <x v="0"/>
    <s v="HC"/>
    <m/>
    <m/>
    <s v="Henry Ifurung Jr."/>
  </r>
  <r>
    <n v="1465"/>
    <s v="F0"/>
    <x v="60"/>
    <s v="H000004821"/>
    <s v="RT Slovenia - GAP"/>
    <s v="H000004818"/>
    <s v="New"/>
    <x v="0"/>
    <x v="0"/>
    <s v="HC"/>
    <m/>
    <m/>
    <s v="Henry Ifurung Jr."/>
  </r>
  <r>
    <n v="1466"/>
    <s v="F0"/>
    <x v="60"/>
    <s v="H000004822"/>
    <s v="RT Slovenia - Business Ops"/>
    <s v="H000004818"/>
    <s v="New"/>
    <x v="0"/>
    <x v="0"/>
    <s v="HC"/>
    <m/>
    <m/>
    <s v="Henry Ifurung Jr."/>
  </r>
  <r>
    <n v="1467"/>
    <s v="F0"/>
    <x v="60"/>
    <s v="H000004823"/>
    <s v="RT Slovenia - Other Operating Expense"/>
    <s v="H000004818"/>
    <s v="New"/>
    <x v="0"/>
    <x v="0"/>
    <s v="HC"/>
    <m/>
    <m/>
    <s v="Henry Ifurung Jr."/>
  </r>
  <r>
    <n v="1468"/>
    <s v="F0"/>
    <x v="60"/>
    <s v="H000004824"/>
    <s v="RT Slovenia Medical &amp; local R&amp;D"/>
    <s v="H000004409"/>
    <s v="New"/>
    <x v="0"/>
    <x v="0"/>
    <s v="HC"/>
    <m/>
    <m/>
    <s v="Henry Ifurung Jr."/>
  </r>
  <r>
    <n v="1469"/>
    <s v="F0"/>
    <x v="60"/>
    <s v="H000004825"/>
    <s v="RT Slovenia - Medical cost center"/>
    <s v="H000004824"/>
    <s v="New"/>
    <x v="0"/>
    <x v="0"/>
    <s v="HC"/>
    <m/>
    <m/>
    <s v="Henry Ifurung Jr."/>
  </r>
  <r>
    <n v="1470"/>
    <s v="F0"/>
    <x v="60"/>
    <s v="H000004826"/>
    <s v="RT Slovenia - Medical Non-R&amp;D Activities"/>
    <s v="H000004824"/>
    <s v="New"/>
    <x v="0"/>
    <x v="0"/>
    <s v="HC"/>
    <m/>
    <m/>
    <s v="Henry Ifurung Jr."/>
  </r>
  <r>
    <n v="1471"/>
    <s v="F0"/>
    <x v="60"/>
    <s v="H000004827"/>
    <s v="RT Slovenia Ogsiveo Medical Activities"/>
    <s v="H000004826"/>
    <s v="New"/>
    <x v="0"/>
    <x v="0"/>
    <s v="HC"/>
    <m/>
    <m/>
    <s v="Henry Ifurung Jr."/>
  </r>
  <r>
    <n v="1472"/>
    <s v="F0"/>
    <x v="60"/>
    <s v="H000004828"/>
    <s v="RT Slovenia Ezmekly Medical Activities"/>
    <s v="H000004826"/>
    <s v="New"/>
    <x v="0"/>
    <x v="0"/>
    <s v="HC"/>
    <m/>
    <m/>
    <s v="Henry Ifurung Jr."/>
  </r>
  <r>
    <n v="1473"/>
    <s v="F0"/>
    <x v="60"/>
    <s v="H000004829"/>
    <s v="RT Slovenia Local R&amp;D - Studies"/>
    <s v="H000004824"/>
    <s v="New"/>
    <x v="0"/>
    <x v="0"/>
    <s v="HC"/>
    <m/>
    <m/>
    <s v="Henry Ifurung Jr."/>
  </r>
  <r>
    <n v="1474"/>
    <s v="F0"/>
    <x v="60"/>
    <s v="H000004830"/>
    <s v="RT Slovenia Ogsiveo Local R&amp;D Studies"/>
    <s v="H000004829"/>
    <s v="New"/>
    <x v="0"/>
    <x v="0"/>
    <s v="HC"/>
    <m/>
    <m/>
    <s v="Henry Ifurung Jr."/>
  </r>
  <r>
    <n v="1475"/>
    <s v="F0"/>
    <x v="60"/>
    <s v="H000004831"/>
    <s v="RT Slovenia Ezmekly Local R&amp;D Studies"/>
    <s v="H000004829"/>
    <s v="New"/>
    <x v="0"/>
    <x v="0"/>
    <s v="HC"/>
    <m/>
    <m/>
    <s v="Henry Ifurung Jr."/>
  </r>
  <r>
    <n v="1476"/>
    <s v="F0"/>
    <x v="60"/>
    <s v="H000004832"/>
    <s v="RT Bulgaria Commercial"/>
    <s v="H000004407"/>
    <s v="New"/>
    <x v="0"/>
    <x v="0"/>
    <s v="HC"/>
    <m/>
    <m/>
    <s v="Henry Ifurung Jr."/>
  </r>
  <r>
    <n v="1477"/>
    <s v="F0"/>
    <x v="60"/>
    <s v="H000004833"/>
    <s v="RT Bulgaria Field Force"/>
    <s v="H000004832"/>
    <s v="New"/>
    <x v="0"/>
    <x v="0"/>
    <s v="HC"/>
    <m/>
    <m/>
    <s v="Henry Ifurung Jr."/>
  </r>
  <r>
    <n v="1478"/>
    <s v="F0"/>
    <x v="60"/>
    <s v="H000004834"/>
    <s v="RT Bulgaria Marketing"/>
    <s v="H000004832"/>
    <s v="New"/>
    <x v="0"/>
    <x v="0"/>
    <s v="HC"/>
    <m/>
    <m/>
    <s v="Henry Ifurung Jr."/>
  </r>
  <r>
    <n v="1479"/>
    <s v="F0"/>
    <x v="60"/>
    <s v="H000004835"/>
    <s v="RT Bulgaria Sales Promotion"/>
    <s v="H000004832"/>
    <s v="New"/>
    <x v="0"/>
    <x v="0"/>
    <s v="HC"/>
    <m/>
    <m/>
    <s v="Henry Ifurung Jr."/>
  </r>
  <r>
    <n v="1480"/>
    <s v="F0"/>
    <x v="60"/>
    <s v="H000004836"/>
    <s v="RT Bulgaria Ogsiveo Sales Promotion"/>
    <s v="H000004835"/>
    <s v="New"/>
    <x v="0"/>
    <x v="0"/>
    <s v="HC"/>
    <m/>
    <m/>
    <s v="Henry Ifurung Jr."/>
  </r>
  <r>
    <n v="1481"/>
    <s v="F0"/>
    <x v="60"/>
    <s v="H000004837"/>
    <s v="RT Bulgaria Ezmekly Sales Promotion"/>
    <s v="H000004835"/>
    <s v="New"/>
    <x v="0"/>
    <x v="0"/>
    <s v="HC"/>
    <m/>
    <m/>
    <s v="Henry Ifurung Jr."/>
  </r>
  <r>
    <n v="1482"/>
    <s v="F0"/>
    <x v="60"/>
    <s v="H000004838"/>
    <s v="RT Bulgaria - General"/>
    <s v="H000004832"/>
    <s v="New"/>
    <x v="0"/>
    <x v="0"/>
    <s v="HC"/>
    <m/>
    <m/>
    <s v="Henry Ifurung Jr."/>
  </r>
  <r>
    <n v="1483"/>
    <s v="F0"/>
    <x v="60"/>
    <s v="H000004839"/>
    <s v="RT Bulgaria - General Management"/>
    <s v="H000004838"/>
    <s v="New"/>
    <x v="0"/>
    <x v="0"/>
    <s v="HC"/>
    <m/>
    <m/>
    <s v="Henry Ifurung Jr."/>
  </r>
  <r>
    <n v="1484"/>
    <s v="F0"/>
    <x v="60"/>
    <s v="H000004840"/>
    <s v="RT Bulgaria - MAP"/>
    <s v="H000004838"/>
    <s v="New"/>
    <x v="0"/>
    <x v="0"/>
    <s v="HC"/>
    <m/>
    <m/>
    <s v="Henry Ifurung Jr."/>
  </r>
  <r>
    <n v="1485"/>
    <s v="F0"/>
    <x v="60"/>
    <s v="H000004841"/>
    <s v="RT Bulgaria - GAP"/>
    <s v="H000004838"/>
    <s v="New"/>
    <x v="0"/>
    <x v="0"/>
    <s v="HC"/>
    <m/>
    <m/>
    <s v="Henry Ifurung Jr."/>
  </r>
  <r>
    <n v="1486"/>
    <s v="F0"/>
    <x v="60"/>
    <s v="H000004842"/>
    <s v="RT Bulgaria - Business Ops"/>
    <s v="H000004838"/>
    <s v="New"/>
    <x v="0"/>
    <x v="0"/>
    <s v="HC"/>
    <m/>
    <m/>
    <s v="Henry Ifurung Jr."/>
  </r>
  <r>
    <n v="1487"/>
    <s v="F0"/>
    <x v="60"/>
    <s v="H000004843"/>
    <s v="RT Bulgaria - Other Operating Expense"/>
    <s v="H000004838"/>
    <s v="New"/>
    <x v="0"/>
    <x v="0"/>
    <s v="HC"/>
    <m/>
    <m/>
    <s v="Henry Ifurung Jr."/>
  </r>
  <r>
    <n v="1488"/>
    <s v="F0"/>
    <x v="60"/>
    <s v="H000004844"/>
    <s v="RT Bulgaria Medical &amp; local R&amp;D"/>
    <s v="H000004409"/>
    <s v="New"/>
    <x v="0"/>
    <x v="0"/>
    <s v="HC"/>
    <m/>
    <m/>
    <s v="Henry Ifurung Jr."/>
  </r>
  <r>
    <n v="1489"/>
    <s v="F0"/>
    <x v="60"/>
    <s v="H000004845"/>
    <s v="RT Bulgaria - Medical cost center"/>
    <s v="H000004844"/>
    <s v="New"/>
    <x v="0"/>
    <x v="0"/>
    <s v="HC"/>
    <m/>
    <m/>
    <s v="Henry Ifurung Jr."/>
  </r>
  <r>
    <n v="1490"/>
    <s v="F0"/>
    <x v="60"/>
    <s v="H000004846"/>
    <s v="RT Bulgaria - Medical Non-R&amp;D Activities"/>
    <s v="H000004844"/>
    <s v="New"/>
    <x v="0"/>
    <x v="0"/>
    <s v="HC"/>
    <m/>
    <m/>
    <s v="Henry Ifurung Jr."/>
  </r>
  <r>
    <n v="1491"/>
    <s v="F0"/>
    <x v="60"/>
    <s v="H000004847"/>
    <s v="RT Bulgaria Ogsiveo Medical Activities"/>
    <s v="H000004846"/>
    <s v="New"/>
    <x v="0"/>
    <x v="0"/>
    <s v="HC"/>
    <m/>
    <m/>
    <s v="Henry Ifurung Jr."/>
  </r>
  <r>
    <n v="1492"/>
    <s v="F0"/>
    <x v="60"/>
    <s v="H000004848"/>
    <s v="RT Bulgaria Ezmekly Medical Activities"/>
    <s v="H000004846"/>
    <s v="New"/>
    <x v="0"/>
    <x v="0"/>
    <s v="HC"/>
    <m/>
    <m/>
    <s v="Henry Ifurung Jr."/>
  </r>
  <r>
    <n v="1493"/>
    <s v="F0"/>
    <x v="60"/>
    <s v="H000004849"/>
    <s v="RT Bulgaria Local R&amp;D - Studies"/>
    <s v="H000004844"/>
    <s v="New"/>
    <x v="0"/>
    <x v="0"/>
    <s v="HC"/>
    <m/>
    <m/>
    <s v="Henry Ifurung Jr."/>
  </r>
  <r>
    <n v="1494"/>
    <s v="F0"/>
    <x v="60"/>
    <s v="H000004850"/>
    <s v="RT Bulgaria Ogsiveo Local R&amp;D Studies"/>
    <s v="H000004849"/>
    <s v="New"/>
    <x v="0"/>
    <x v="0"/>
    <s v="HC"/>
    <m/>
    <m/>
    <s v="Henry Ifurung Jr."/>
  </r>
  <r>
    <n v="1495"/>
    <s v="F0"/>
    <x v="60"/>
    <s v="H000004851"/>
    <s v="RT Bulgaria Ezmekly Local R&amp;D Studies"/>
    <s v="H000004849"/>
    <s v="New"/>
    <x v="0"/>
    <x v="0"/>
    <s v="HC"/>
    <m/>
    <m/>
    <s v="Henry Ifurung Jr."/>
  </r>
  <r>
    <n v="1496"/>
    <s v="F0"/>
    <x v="61"/>
    <s v="H000001071"/>
    <m/>
    <s v="H000000868"/>
    <s v="Move"/>
    <x v="0"/>
    <x v="0"/>
    <s v="MGF"/>
    <m/>
    <m/>
    <s v="Erjo Miguel Tagle"/>
  </r>
  <r>
    <n v="1497"/>
    <s v="F0"/>
    <x v="62"/>
    <s v="H000004852"/>
    <s v="North Cone"/>
    <s v="H000000332"/>
    <s v="New"/>
    <x v="0"/>
    <x v="0"/>
    <s v="HC"/>
    <m/>
    <m/>
    <s v="Henry Ifurung Jr."/>
  </r>
  <r>
    <n v="1498"/>
    <s v="F0"/>
    <x v="62"/>
    <s v="H000001105"/>
    <m/>
    <s v="H000004852"/>
    <s v="Move"/>
    <x v="0"/>
    <x v="0"/>
    <s v="HC"/>
    <m/>
    <m/>
    <s v="Henry Ifurung Jr."/>
  </r>
  <r>
    <n v="1499"/>
    <s v="F0"/>
    <x v="62"/>
    <s v="H000000340"/>
    <m/>
    <s v="H000004852"/>
    <s v="Move"/>
    <x v="0"/>
    <x v="0"/>
    <s v="HC"/>
    <m/>
    <m/>
    <s v="Henry Ifurung Jr."/>
  </r>
  <r>
    <n v="1500"/>
    <s v="F0"/>
    <x v="63"/>
    <s v="H000004853"/>
    <s v="CN - FD ISS MKT Dragon"/>
    <s v="H000001455"/>
    <s v="New"/>
    <x v="0"/>
    <x v="0"/>
    <s v="HC"/>
    <m/>
    <m/>
    <s v="John Poulie Borromeo"/>
  </r>
  <r>
    <n v="1501"/>
    <s v="F0"/>
    <x v="63"/>
    <s v="H000004854"/>
    <s v="CN - FD SP MKT Dragon"/>
    <s v="H000001485"/>
    <s v="New"/>
    <x v="0"/>
    <x v="0"/>
    <s v="HC"/>
    <m/>
    <m/>
    <s v="John Poulie Borromeo"/>
  </r>
  <r>
    <n v="1502"/>
    <s v="F0"/>
    <x v="63"/>
    <s v="H000004855"/>
    <s v="CN - CM&amp;E FF Thyrotropin"/>
    <s v="H000001341"/>
    <s v="New"/>
    <x v="0"/>
    <x v="0"/>
    <s v="HC"/>
    <m/>
    <m/>
    <s v="John Poulie Borromeo"/>
  </r>
  <r>
    <n v="1503"/>
    <s v="F0"/>
    <x v="63"/>
    <s v="H000004856"/>
    <s v="CN - CM&amp;E FF Retail"/>
    <s v="H000001341"/>
    <s v="New"/>
    <x v="0"/>
    <x v="0"/>
    <s v="HC"/>
    <m/>
    <m/>
    <s v="John Poulie Borromeo"/>
  </r>
  <r>
    <n v="1504"/>
    <s v="F0"/>
    <x v="63"/>
    <s v="H000004857"/>
    <s v="CN - CM&amp;E ISS Thyrotropin"/>
    <s v="H000001361"/>
    <s v="New"/>
    <x v="0"/>
    <x v="0"/>
    <s v="HC"/>
    <m/>
    <m/>
    <s v="John Poulie Borromeo"/>
  </r>
  <r>
    <n v="1505"/>
    <s v="F0"/>
    <x v="63"/>
    <s v="H000004858"/>
    <s v="CN - CM&amp;E ISS Retail"/>
    <s v="H000001361"/>
    <s v="New"/>
    <x v="0"/>
    <x v="0"/>
    <s v="HC"/>
    <m/>
    <m/>
    <s v="John Poulie Borromeo"/>
  </r>
  <r>
    <n v="1506"/>
    <s v="F0"/>
    <x v="63"/>
    <s v="H000004859"/>
    <s v="CN - CM&amp;E FF Thyrotropin Sales"/>
    <s v="H000004855"/>
    <s v="New"/>
    <x v="0"/>
    <x v="0"/>
    <s v="HC"/>
    <m/>
    <m/>
    <s v="John Poulie Borromeo"/>
  </r>
  <r>
    <n v="1507"/>
    <s v="F0"/>
    <x v="63"/>
    <s v="H000004860"/>
    <s v="CN - CM&amp;E FF Retail Sales"/>
    <s v="H000004856"/>
    <s v="New"/>
    <x v="0"/>
    <x v="0"/>
    <s v="HC"/>
    <m/>
    <m/>
    <s v="John Poulie Borromeo"/>
  </r>
  <r>
    <n v="1508"/>
    <s v="F0"/>
    <x v="63"/>
    <s v="H000004861"/>
    <s v="CN - CM&amp;E ISS Thyrotropin MKT"/>
    <s v="H000004857"/>
    <s v="New"/>
    <x v="0"/>
    <x v="0"/>
    <s v="HC"/>
    <m/>
    <m/>
    <s v="John Poulie Borromeo"/>
  </r>
  <r>
    <n v="1509"/>
    <s v="F0"/>
    <x v="63"/>
    <s v="H000004862"/>
    <s v="CN - CM&amp;E ISS Retail MKT"/>
    <s v="H000004858"/>
    <s v="New"/>
    <x v="0"/>
    <x v="0"/>
    <s v="HC"/>
    <m/>
    <m/>
    <s v="John Poulie Borromeo"/>
  </r>
  <r>
    <n v="1510"/>
    <s v="F0"/>
    <x v="63"/>
    <s v="H000001556"/>
    <s v="CN - SEI"/>
    <m/>
    <s v="Rename"/>
    <x v="0"/>
    <x v="0"/>
    <s v="HC"/>
    <m/>
    <m/>
    <s v="John Poulie Borromeo"/>
  </r>
  <r>
    <n v="1511"/>
    <s v="F0"/>
    <x v="63"/>
    <s v="H000001557"/>
    <s v="CN - Field Force SEI"/>
    <m/>
    <s v="Rename"/>
    <x v="0"/>
    <x v="0"/>
    <s v="HC"/>
    <m/>
    <m/>
    <s v="John Poulie Borromeo"/>
  </r>
  <r>
    <n v="1512"/>
    <s v="F0"/>
    <x v="63"/>
    <s v="H000001564"/>
    <s v="CN - Sales promotion activities SEI"/>
    <m/>
    <s v="Rename"/>
    <x v="0"/>
    <x v="0"/>
    <s v="HC"/>
    <m/>
    <m/>
    <s v="John Poulie Borromeo"/>
  </r>
  <r>
    <n v="1513"/>
    <s v="F0"/>
    <x v="63"/>
    <s v="H000001565"/>
    <s v="CN - GMA"/>
    <m/>
    <s v="Rename"/>
    <x v="0"/>
    <x v="0"/>
    <s v="HC"/>
    <m/>
    <m/>
    <s v="John Poulie Borromeo"/>
  </r>
  <r>
    <n v="1514"/>
    <s v="F0"/>
    <x v="63"/>
    <s v="H000001566"/>
    <s v="CN - Field Force GMA"/>
    <m/>
    <s v="Rename"/>
    <x v="0"/>
    <x v="0"/>
    <s v="HC"/>
    <m/>
    <m/>
    <s v="John Poulie Borromeo"/>
  </r>
  <r>
    <n v="1515"/>
    <s v="F0"/>
    <x v="63"/>
    <s v="H000001580"/>
    <s v="CN - Internal sales service GMA"/>
    <m/>
    <s v="Rename"/>
    <x v="0"/>
    <x v="0"/>
    <s v="HC"/>
    <m/>
    <m/>
    <s v="John Poulie Borromeo"/>
  </r>
  <r>
    <n v="1516"/>
    <s v="F0"/>
    <x v="63"/>
    <s v="H000001589"/>
    <s v="CN - Sales promotion activities GMA"/>
    <m/>
    <s v="Rename"/>
    <x v="0"/>
    <x v="0"/>
    <s v="HC"/>
    <m/>
    <m/>
    <s v="John Poulie Borromeo"/>
  </r>
  <r>
    <n v="1517"/>
    <s v="F0"/>
    <x v="64"/>
    <s v="G000001450"/>
    <s v="GMZ MBS Hub Bangalore - L&amp;D"/>
    <s v="G000001144"/>
    <s v="New"/>
    <x v="0"/>
    <x v="1"/>
    <s v="MGF"/>
    <s v="named/assigned"/>
    <e v="#N/A"/>
    <s v="Jojeff Tagnong"/>
  </r>
  <r>
    <n v="1518"/>
    <s v="F0"/>
    <x v="64"/>
    <s v="G000001451"/>
    <s v="GO8 HR - Healthcare Center and Wellbeing"/>
    <s v="G000000588"/>
    <s v="New"/>
    <x v="0"/>
    <x v="1"/>
    <s v="MGF"/>
    <s v="named/assigned"/>
    <e v="#N/A"/>
    <s v="Jojeff Tagnong"/>
  </r>
  <r>
    <n v="1519"/>
    <s v="F0"/>
    <x v="64"/>
    <s v="G000001452"/>
    <s v="F84 PS - Databases"/>
    <s v="G000000591"/>
    <s v="New"/>
    <x v="0"/>
    <x v="1"/>
    <s v="MGF"/>
    <s v="named/assigned"/>
    <e v="#N/A"/>
    <s v="Jojeff Tagnong"/>
  </r>
  <r>
    <n v="1520"/>
    <s v="F0"/>
    <x v="64"/>
    <s v="G000001453"/>
    <s v="F87 ST - SMARTfacturing Ripple"/>
    <s v="G000000597"/>
    <s v="New"/>
    <x v="0"/>
    <x v="1"/>
    <s v="MGF"/>
    <s v="named/assigned"/>
    <e v="#N/A"/>
    <s v="Jojeff Tagnong"/>
  </r>
  <r>
    <n v="1521"/>
    <s v="F0"/>
    <x v="64"/>
    <s v="G000001454"/>
    <s v="F87 ST - SMARTfacturing Ripple HC"/>
    <s v="G000001453"/>
    <s v="New"/>
    <x v="0"/>
    <x v="1"/>
    <s v="MGF"/>
    <s v="named/assigned"/>
    <e v="#N/A"/>
    <s v="Jojeff Tagnong"/>
  </r>
  <r>
    <n v="1522"/>
    <s v="F0"/>
    <x v="64"/>
    <s v="G000001455"/>
    <s v="F87 ST - SMARTfacturing Ripple LS"/>
    <s v="G000001453"/>
    <s v="New"/>
    <x v="0"/>
    <x v="1"/>
    <s v="MGF"/>
    <s v="named/assigned"/>
    <e v="#N/A"/>
    <s v="Jojeff Tagnong"/>
  </r>
  <r>
    <n v="1523"/>
    <s v="F0"/>
    <x v="64"/>
    <s v="G000001456"/>
    <s v="F87 ST - SMARTfacturing Ripple EL"/>
    <s v="G000001453"/>
    <s v="New"/>
    <x v="0"/>
    <x v="1"/>
    <s v="MGF"/>
    <s v="named/assigned"/>
    <e v="#N/A"/>
    <s v="Jojeff Tagnong"/>
  </r>
  <r>
    <n v="1524"/>
    <s v="F0"/>
    <x v="64"/>
    <s v="G000000828"/>
    <s v="GYF MBS PS&amp;P ES - Market BPE"/>
    <m/>
    <s v="Rename"/>
    <x v="0"/>
    <x v="1"/>
    <s v="MGF"/>
    <s v="named"/>
    <m/>
    <s v="Jojeff Tagnong"/>
  </r>
  <r>
    <n v="1525"/>
    <s v="F0"/>
    <x v="64"/>
    <s v="G000000044"/>
    <s v="FF1 GR - Group Reporting"/>
    <m/>
    <s v="Rename"/>
    <x v="0"/>
    <x v="1"/>
    <s v="MGF"/>
    <s v="named"/>
    <m/>
    <s v="Jojeff Tagnong"/>
  </r>
  <r>
    <n v="1526"/>
    <s v="F0"/>
    <x v="64"/>
    <s v="G000000574"/>
    <s v="GR - MGF Reporting"/>
    <m/>
    <s v="Rename"/>
    <x v="0"/>
    <x v="1"/>
    <s v="MGF"/>
    <s v="named"/>
    <m/>
    <s v="Jojeff Tagnong"/>
  </r>
  <r>
    <n v="1527"/>
    <s v="F0"/>
    <x v="64"/>
    <s v="G000000575"/>
    <s v="GR - non-MGF Reporting"/>
    <m/>
    <s v="Rename"/>
    <x v="0"/>
    <x v="1"/>
    <s v="MGF"/>
    <s v="named"/>
    <m/>
    <s v="Jojeff Tagnong"/>
  </r>
  <r>
    <n v="1528"/>
    <s v="F0"/>
    <x v="64"/>
    <s v="G000000046"/>
    <s v="GX6 GR - Group Financial Reporting"/>
    <m/>
    <s v="Rename"/>
    <x v="0"/>
    <x v="1"/>
    <s v="MGF"/>
    <s v="named"/>
    <m/>
    <s v="Jojeff Tagnong"/>
  </r>
  <r>
    <n v="1529"/>
    <s v="F0"/>
    <x v="64"/>
    <s v="G000000045"/>
    <s v="FF1 GR - Intercompany Charges"/>
    <m/>
    <s v="Rename"/>
    <x v="0"/>
    <x v="1"/>
    <s v="MGF"/>
    <s v="named"/>
    <m/>
    <s v="Jojeff Tagnong"/>
  </r>
  <r>
    <n v="1530"/>
    <s v="F0"/>
    <x v="64"/>
    <s v="G000000047"/>
    <s v="FF1 GR - Exceptionals"/>
    <m/>
    <s v="Rename"/>
    <x v="0"/>
    <x v="1"/>
    <s v="MGF"/>
    <s v="named"/>
    <m/>
    <s v="Jojeff Tagnong"/>
  </r>
  <r>
    <n v="1531"/>
    <s v="F0"/>
    <x v="64"/>
    <s v="G000001272"/>
    <s v="GXA GR - Sustainability Management"/>
    <m/>
    <s v="Rename"/>
    <x v="0"/>
    <x v="1"/>
    <s v="MGF"/>
    <s v="named"/>
    <m/>
    <s v="Jojeff Tagnong"/>
  </r>
  <r>
    <n v="1532"/>
    <s v="F0"/>
    <x v="64"/>
    <s v="G000001286"/>
    <s v="GYG MBS Hub Bangalore - SLS"/>
    <m/>
    <s v="Rename"/>
    <x v="0"/>
    <x v="1"/>
    <s v="MGF"/>
    <s v="named"/>
    <m/>
    <s v="Jojeff Tagnong"/>
  </r>
  <r>
    <n v="1533"/>
    <s v="F0"/>
    <x v="64"/>
    <s v="G000001298"/>
    <s v="GYH MBS Hub Bangalore - LSS"/>
    <m/>
    <s v="Rename"/>
    <x v="0"/>
    <x v="1"/>
    <s v="MGF"/>
    <s v="named"/>
    <m/>
    <s v="Jojeff Tagnong"/>
  </r>
  <r>
    <n v="1534"/>
    <s v="F0"/>
    <x v="64"/>
    <s v="G000001301"/>
    <s v="GYI MBS Hub Bangalore - PS"/>
    <m/>
    <s v="Rename"/>
    <x v="0"/>
    <x v="1"/>
    <s v="MGF"/>
    <s v="named"/>
    <m/>
    <s v="Jojeff Tagnong"/>
  </r>
  <r>
    <n v="1535"/>
    <s v="F0"/>
    <x v="64"/>
    <s v="G000001305"/>
    <s v="GYJ MBS Hub Bangalore - ISCO"/>
    <m/>
    <s v="Rename"/>
    <x v="0"/>
    <x v="1"/>
    <s v="MGF"/>
    <s v="named"/>
    <m/>
    <s v="Jojeff Tagnong"/>
  </r>
  <r>
    <n v="1536"/>
    <s v="F0"/>
    <x v="64"/>
    <s v="G000001313"/>
    <s v="GYK MBS Hub Bangalore - EF GSS COE"/>
    <m/>
    <s v="Rename"/>
    <x v="0"/>
    <x v="1"/>
    <s v="MGF"/>
    <s v="named"/>
    <m/>
    <s v="Jojeff Tagnong"/>
  </r>
  <r>
    <n v="1537"/>
    <s v="F0"/>
    <x v="64"/>
    <s v="G000001174"/>
    <s v="GNX MBS Hub Wroclaw - I2C EMEA"/>
    <m/>
    <s v="Rename"/>
    <x v="0"/>
    <x v="1"/>
    <s v="MGF"/>
    <s v="named"/>
    <m/>
    <s v="Jojeff Tagnong"/>
  </r>
  <r>
    <n v="1538"/>
    <s v="F0"/>
    <x v="64"/>
    <s v="G000001176"/>
    <s v="GNZ MBS Hub Wroclaw - R2R EMEA"/>
    <m/>
    <s v="Rename"/>
    <x v="0"/>
    <x v="1"/>
    <s v="MGF"/>
    <s v="named"/>
    <m/>
    <s v="Jojeff Tagnong"/>
  </r>
  <r>
    <n v="1539"/>
    <s v="F0"/>
    <x v="64"/>
    <s v="G000001263"/>
    <s v="GMP MBS Hub Wroclaw - R2R Germany"/>
    <m/>
    <s v="Rename"/>
    <x v="0"/>
    <x v="1"/>
    <s v="MGF"/>
    <s v="named"/>
    <m/>
    <s v="Jojeff Tagnong"/>
  </r>
  <r>
    <n v="1540"/>
    <s v="F0"/>
    <x v="64"/>
    <s v="G000001231"/>
    <s v="GMK RC - Governance, Risk &amp; Control"/>
    <s v="G000000574"/>
    <s v="Rename/Move"/>
    <x v="0"/>
    <x v="1"/>
    <s v="MGF"/>
    <s v="named/moved"/>
    <s v="G000001229"/>
    <s v="Jojeff Tagnong"/>
  </r>
  <r>
    <n v="1541"/>
    <s v="F0"/>
    <x v="64"/>
    <s v="G000000706"/>
    <m/>
    <s v="O000000009"/>
    <s v="Delete"/>
    <x v="0"/>
    <x v="1"/>
    <s v="MGF"/>
    <s v="named/moved; Please dump all objects to O000000007 – Closed Cost Centers"/>
    <m/>
    <s v="Jojeff Tagnong"/>
  </r>
  <r>
    <n v="1542"/>
    <s v="F0"/>
    <x v="64"/>
    <s v="G000000709"/>
    <m/>
    <s v="O000000009"/>
    <s v="Delete"/>
    <x v="0"/>
    <x v="1"/>
    <s v="MGF"/>
    <s v="named/moved; Please dump all objects to O000000007 – Closed Cost Centers"/>
    <m/>
    <s v="Jojeff Tagnong"/>
  </r>
  <r>
    <n v="1543"/>
    <s v="F0"/>
    <x v="64"/>
    <s v="G000001228"/>
    <m/>
    <s v="O000000009"/>
    <s v="Delete"/>
    <x v="0"/>
    <x v="1"/>
    <s v="MGF"/>
    <s v="named/moved; Please dump all objects to O000000007 – Closed Cost Centers"/>
    <m/>
    <s v="Jojeff Tagnong"/>
  </r>
  <r>
    <n v="1544"/>
    <s v="F0"/>
    <x v="64"/>
    <s v="G000001229"/>
    <m/>
    <s v="O000000009"/>
    <s v="Delete"/>
    <x v="0"/>
    <x v="1"/>
    <s v="MGF"/>
    <s v="named/moved; Please dump all objects to O000000007 – Closed Cost Centers"/>
    <m/>
    <s v="Jojeff Tagnong"/>
  </r>
  <r>
    <n v="1545"/>
    <s v="F0"/>
    <x v="64"/>
    <s v="G000001230"/>
    <m/>
    <s v="O000000009"/>
    <s v="Delete"/>
    <x v="0"/>
    <x v="1"/>
    <s v="MGF"/>
    <s v="named/moved; Please dump all objects to O000000007 – Closed Cost Centers"/>
    <m/>
    <s v="Jojeff Tagnong"/>
  </r>
  <r>
    <n v="1546"/>
    <s v="F0"/>
    <x v="64"/>
    <s v="G000001260"/>
    <m/>
    <s v="O000000009"/>
    <s v="Delete"/>
    <x v="0"/>
    <x v="1"/>
    <s v="MGF"/>
    <s v="named/moved; Please dump all objects to O000000007 – Closed Cost Centers"/>
    <m/>
    <s v="Jojeff Tagnong"/>
  </r>
  <r>
    <n v="1547"/>
    <s v="F0"/>
    <x v="64"/>
    <s v="G000001261"/>
    <m/>
    <s v="O000000009"/>
    <s v="Delete"/>
    <x v="0"/>
    <x v="1"/>
    <s v="MGF"/>
    <s v="named/moved; Please dump all objects to O000000007 – Closed Cost Centers"/>
    <m/>
    <s v="Jojeff Tagnong"/>
  </r>
  <r>
    <n v="1548"/>
    <s v="F0"/>
    <x v="64"/>
    <s v="G000000560"/>
    <m/>
    <s v="O000000009"/>
    <s v="Delete"/>
    <x v="0"/>
    <x v="1"/>
    <s v="MGF"/>
    <s v="named/moved; Please dump all objects to O000000007 – Closed Cost Centers"/>
    <m/>
    <s v="Jojeff Tagnong"/>
  </r>
  <r>
    <n v="1549"/>
    <s v="F0"/>
    <x v="65"/>
    <s v="L000013901"/>
    <s v="mRNA Innovation"/>
    <s v="L000013819"/>
    <s v="New"/>
    <x v="0"/>
    <x v="1"/>
    <s v="LS"/>
    <s v="named/assigned"/>
    <e v="#N/A"/>
    <s v="Ruby Grace Garcia"/>
  </r>
  <r>
    <n v="1550"/>
    <s v="F0"/>
    <x v="65"/>
    <s v="L000013902"/>
    <s v="LS Business Growth &amp; Customer Value"/>
    <s v="L000013623"/>
    <s v="New"/>
    <x v="0"/>
    <x v="1"/>
    <s v="LS"/>
    <s v="named/assigned"/>
    <e v="#N/A"/>
    <s v="Ruby Grace Garcia"/>
  </r>
  <r>
    <n v="1551"/>
    <s v="F0"/>
    <x v="65"/>
    <s v="L000013903"/>
    <s v="LS China Core &amp; Capabilities"/>
    <s v="L000013623"/>
    <s v="New"/>
    <x v="0"/>
    <x v="1"/>
    <s v="LS"/>
    <s v="named/assigned"/>
    <e v="#N/A"/>
    <s v="Ruby Grace Garcia"/>
  </r>
  <r>
    <n v="1552"/>
    <s v="F0"/>
    <x v="65"/>
    <s v="L000013904"/>
    <s v="Buiness Process Excellence"/>
    <s v="L000013623"/>
    <s v="New"/>
    <x v="0"/>
    <x v="1"/>
    <s v="LS"/>
    <s v="named/assigned"/>
    <e v="#N/A"/>
    <s v="Ruby Grace Garcia"/>
  </r>
  <r>
    <n v="1553"/>
    <s v="F0"/>
    <x v="65"/>
    <s v="L000013905"/>
    <s v="Project Eagle"/>
    <s v="L000011321"/>
    <s v="New"/>
    <x v="0"/>
    <x v="1"/>
    <s v="LS"/>
    <s v="named/assigned"/>
    <e v="#N/A"/>
    <s v="Ruby Grace Garcia"/>
  </r>
  <r>
    <n v="1554"/>
    <s v="F0"/>
    <x v="65"/>
    <s v="L000013906"/>
    <s v="Technology Fund Projects - UWMadison"/>
    <s v="L000013326"/>
    <s v="New"/>
    <x v="0"/>
    <x v="1"/>
    <s v="LS"/>
    <s v="named/assigned"/>
    <e v="#N/A"/>
    <s v="Ruby Grace Garcia"/>
  </r>
  <r>
    <n v="1555"/>
    <s v="F0"/>
    <x v="65"/>
    <s v="L000013907"/>
    <s v="Technology Fund Projects - UPENN"/>
    <s v="L000013326"/>
    <s v="New"/>
    <x v="0"/>
    <x v="1"/>
    <s v="LS"/>
    <s v="named/assigned"/>
    <e v="#N/A"/>
    <s v="Ruby Grace Garcia"/>
  </r>
  <r>
    <n v="1556"/>
    <s v="F0"/>
    <x v="65"/>
    <s v="L000013908"/>
    <s v="GSA Attrition"/>
    <s v="L000011690"/>
    <s v="New"/>
    <x v="0"/>
    <x v="1"/>
    <s v="LS"/>
    <s v="named/assigned"/>
    <e v="#N/A"/>
    <s v="Ruby Grace Garcia"/>
  </r>
  <r>
    <n v="1557"/>
    <s v="F0"/>
    <x v="65"/>
    <s v="L000013909"/>
    <s v="GSA Adjustments"/>
    <s v="L000011690"/>
    <s v="New"/>
    <x v="0"/>
    <x v="1"/>
    <s v="LS"/>
    <s v="named/assigned"/>
    <e v="#N/A"/>
    <s v="Ruby Grace Garcia"/>
  </r>
  <r>
    <n v="1558"/>
    <s v="F0"/>
    <x v="65"/>
    <s v="L000013910"/>
    <s v="TFF"/>
    <s v="L000013856"/>
    <s v="New"/>
    <x v="0"/>
    <x v="1"/>
    <s v="LS"/>
    <s v="named/assigned"/>
    <e v="#N/A"/>
    <s v="Ruby Grace Garcia"/>
  </r>
  <r>
    <n v="1559"/>
    <s v="F0"/>
    <x v="65"/>
    <s v="L000013911"/>
    <s v="Virus"/>
    <s v="L000013856"/>
    <s v="New"/>
    <x v="0"/>
    <x v="1"/>
    <s v="LS"/>
    <s v="named/assigned"/>
    <e v="#N/A"/>
    <s v="Ruby Grace Garcia"/>
  </r>
  <r>
    <n v="1560"/>
    <s v="F0"/>
    <x v="65"/>
    <s v="L000013912"/>
    <s v="Chromatography"/>
    <s v="L000013856"/>
    <s v="New"/>
    <x v="0"/>
    <x v="1"/>
    <s v="LS"/>
    <s v="named/assigned"/>
    <e v="#N/A"/>
    <s v="Ruby Grace Garcia"/>
  </r>
  <r>
    <n v="1561"/>
    <s v="F0"/>
    <x v="65"/>
    <s v="L000013913"/>
    <s v="Clarification"/>
    <s v="L000013856"/>
    <s v="New"/>
    <x v="0"/>
    <x v="1"/>
    <s v="LS"/>
    <s v="named/assigned"/>
    <e v="#N/A"/>
    <s v="Ruby Grace Garcia"/>
  </r>
  <r>
    <n v="1562"/>
    <s v="F0"/>
    <x v="65"/>
    <s v="L000013914"/>
    <s v="Aseptic"/>
    <s v="L000013856"/>
    <s v="New"/>
    <x v="0"/>
    <x v="1"/>
    <s v="LS"/>
    <s v="named/assigned"/>
    <e v="#N/A"/>
    <s v="Ruby Grace Garcia"/>
  </r>
  <r>
    <n v="1563"/>
    <s v="F0"/>
    <x v="65"/>
    <s v="L000013915"/>
    <s v="Supply Communications &amp; Change Execution"/>
    <s v="L000011719"/>
    <s v="New"/>
    <x v="0"/>
    <x v="1"/>
    <s v="LS"/>
    <s v="named/assigned"/>
    <e v="#N/A"/>
    <s v="Ruby Grace Garcia"/>
  </r>
  <r>
    <n v="1564"/>
    <s v="F0"/>
    <x v="65"/>
    <s v="L000013388"/>
    <s v="LS-DDIT Life Science"/>
    <m/>
    <s v="Rename"/>
    <x v="0"/>
    <x v="1"/>
    <s v="LS"/>
    <s v="named"/>
    <m/>
    <s v="Ruby Grace Garcia"/>
  </r>
  <r>
    <n v="1565"/>
    <s v="F0"/>
    <x v="65"/>
    <s v="L000011321"/>
    <s v="LS Strategy &amp; BD"/>
    <m/>
    <s v="Rename"/>
    <x v="0"/>
    <x v="1"/>
    <s v="LS"/>
    <s v="named"/>
    <m/>
    <s v="Ruby Grace Garcia"/>
  </r>
  <r>
    <n v="1566"/>
    <s v="F0"/>
    <x v="65"/>
    <s v="L000013625"/>
    <s v="Tech Leadership Fund - LS Product Design"/>
    <m/>
    <s v="Rename"/>
    <x v="0"/>
    <x v="1"/>
    <s v="LS"/>
    <s v="named"/>
    <m/>
    <s v="Ruby Grace Garcia"/>
  </r>
  <r>
    <n v="1567"/>
    <s v="F0"/>
    <x v="65"/>
    <s v="L000013375"/>
    <s v="LS Finance"/>
    <m/>
    <s v="Rename"/>
    <x v="0"/>
    <x v="1"/>
    <s v="LS"/>
    <s v="named"/>
    <m/>
    <s v="Ruby Grace Garcia"/>
  </r>
  <r>
    <n v="1568"/>
    <s v="F0"/>
    <x v="65"/>
    <s v="L000012328"/>
    <s v="GSA Cluster 1"/>
    <m/>
    <s v="Rename"/>
    <x v="0"/>
    <x v="1"/>
    <s v="LS"/>
    <s v="named"/>
    <m/>
    <s v="Ruby Grace Garcia"/>
  </r>
  <r>
    <n v="1569"/>
    <s v="F0"/>
    <x v="65"/>
    <s v="L000012329"/>
    <s v="GSA Cluster 3"/>
    <m/>
    <s v="Rename"/>
    <x v="0"/>
    <x v="1"/>
    <s v="LS"/>
    <s v="named"/>
    <m/>
    <s v="Ruby Grace Garcia"/>
  </r>
  <r>
    <n v="1570"/>
    <s v="F0"/>
    <x v="65"/>
    <s v="L000012330"/>
    <s v="GSA Cluster 5"/>
    <m/>
    <s v="Rename"/>
    <x v="0"/>
    <x v="1"/>
    <s v="LS"/>
    <s v="named"/>
    <m/>
    <s v="Ruby Grace Garcia"/>
  </r>
  <r>
    <n v="1571"/>
    <s v="F0"/>
    <x v="65"/>
    <s v="L000012332"/>
    <s v="GSA Cluster 4"/>
    <m/>
    <s v="Rename"/>
    <x v="0"/>
    <x v="1"/>
    <s v="LS"/>
    <s v="named"/>
    <m/>
    <s v="Ruby Grace Garcia"/>
  </r>
  <r>
    <n v="1572"/>
    <s v="F0"/>
    <x v="65"/>
    <s v="L000013520"/>
    <s v="GSA Innovative Solutions"/>
    <m/>
    <s v="Rename"/>
    <x v="0"/>
    <x v="1"/>
    <s v="LS"/>
    <s v="named"/>
    <m/>
    <s v="Ruby Grace Garcia"/>
  </r>
  <r>
    <n v="1573"/>
    <s v="F0"/>
    <x v="65"/>
    <s v="L000013523"/>
    <s v="GSA Cluster 2"/>
    <m/>
    <s v="Rename"/>
    <x v="0"/>
    <x v="1"/>
    <s v="LS"/>
    <s v="named"/>
    <m/>
    <s v="Ruby Grace Garcia"/>
  </r>
  <r>
    <n v="1574"/>
    <s v="F0"/>
    <x v="65"/>
    <s v="L000006562"/>
    <s v="UPM Royalty Expenses"/>
    <m/>
    <s v="Rename"/>
    <x v="0"/>
    <x v="1"/>
    <s v="LS"/>
    <s v="named"/>
    <m/>
    <s v="Ruby Grace Garcia"/>
  </r>
  <r>
    <n v="1575"/>
    <s v="F0"/>
    <x v="65"/>
    <s v="L000013139"/>
    <s v="UPM Royalty Income"/>
    <m/>
    <s v="Rename"/>
    <x v="0"/>
    <x v="1"/>
    <s v="LS"/>
    <s v="named"/>
    <m/>
    <s v="Ruby Grace Garcia"/>
  </r>
  <r>
    <n v="1576"/>
    <s v="F0"/>
    <x v="65"/>
    <s v="L000006435"/>
    <s v="Innovation Others &amp; Capitalization"/>
    <s v="L000013785"/>
    <s v="Rename/Move"/>
    <x v="0"/>
    <x v="1"/>
    <s v="LS"/>
    <s v="named/moved"/>
    <m/>
    <s v="Ruby Grace Garcia"/>
  </r>
  <r>
    <n v="1577"/>
    <s v="F0"/>
    <x v="65"/>
    <s v="L000006552"/>
    <s v="Bioprocessing royalties"/>
    <s v="L000013847"/>
    <s v="Rename/Move"/>
    <x v="0"/>
    <x v="1"/>
    <s v="LS"/>
    <s v="named/moved"/>
    <m/>
    <s v="Ruby Grace Garcia"/>
  </r>
  <r>
    <n v="1578"/>
    <s v="F0"/>
    <x v="65"/>
    <s v="L000006432"/>
    <m/>
    <s v="L000013785"/>
    <s v="Move"/>
    <x v="0"/>
    <x v="1"/>
    <s v="LS"/>
    <s v="named/moved"/>
    <m/>
    <s v="Ruby Grace Garcia"/>
  </r>
  <r>
    <n v="1579"/>
    <s v="F0"/>
    <x v="65"/>
    <s v="L000013819"/>
    <m/>
    <s v="L000013785"/>
    <s v="Move"/>
    <x v="0"/>
    <x v="1"/>
    <s v="LS"/>
    <s v="named/moved"/>
    <m/>
    <s v="Ruby Grace Garcia"/>
  </r>
  <r>
    <n v="1580"/>
    <s v="F0"/>
    <x v="65"/>
    <s v="L000013820"/>
    <m/>
    <s v="L000013785"/>
    <s v="Move"/>
    <x v="0"/>
    <x v="1"/>
    <s v="LS"/>
    <s v="named/moved"/>
    <m/>
    <s v="Ruby Grace Garcia"/>
  </r>
  <r>
    <n v="1581"/>
    <s v="F0"/>
    <x v="65"/>
    <s v="L000007087"/>
    <m/>
    <s v="L000013785"/>
    <s v="Move"/>
    <x v="0"/>
    <x v="1"/>
    <s v="LS"/>
    <s v="named/moved"/>
    <m/>
    <s v="Ruby Grace Garcia"/>
  </r>
  <r>
    <n v="1582"/>
    <s v="F0"/>
    <x v="65"/>
    <s v="L000008862"/>
    <m/>
    <s v="L000008669"/>
    <s v="Move"/>
    <x v="0"/>
    <x v="1"/>
    <s v="LS"/>
    <s v="named/moved"/>
    <m/>
    <s v="Ruby Grace Garcia"/>
  </r>
  <r>
    <n v="1583"/>
    <s v="F0"/>
    <x v="65"/>
    <s v="L000013589"/>
    <m/>
    <s v="L000013859"/>
    <s v="Move"/>
    <x v="0"/>
    <x v="1"/>
    <s v="LS"/>
    <s v="named/moved"/>
    <m/>
    <s v="Ruby Grace Garcia"/>
  </r>
  <r>
    <n v="1584"/>
    <s v="F0"/>
    <x v="65"/>
    <s v="L000006600"/>
    <m/>
    <s v="L000013563"/>
    <s v="Move"/>
    <x v="0"/>
    <x v="1"/>
    <s v="LS"/>
    <s v="named/moved"/>
    <m/>
    <s v="Ruby Grace Garcia"/>
  </r>
  <r>
    <n v="1585"/>
    <s v="F0"/>
    <x v="65"/>
    <s v="L000012678"/>
    <m/>
    <s v="L000013850"/>
    <s v="Move"/>
    <x v="0"/>
    <x v="1"/>
    <s v="LS"/>
    <s v="named/moved"/>
    <m/>
    <s v="Ruby Grace Garcia"/>
  </r>
  <r>
    <n v="1586"/>
    <s v="F0"/>
    <x v="65"/>
    <s v="L000011434"/>
    <m/>
    <s v="L000013850"/>
    <s v="Move"/>
    <x v="0"/>
    <x v="1"/>
    <s v="LS"/>
    <s v="named/moved"/>
    <m/>
    <s v="Ruby Grace Garcia"/>
  </r>
  <r>
    <n v="1587"/>
    <s v="F0"/>
    <x v="65"/>
    <s v="L000006569"/>
    <m/>
    <s v="L000013856"/>
    <s v="Move"/>
    <x v="0"/>
    <x v="1"/>
    <s v="LS"/>
    <s v="named/moved"/>
    <m/>
    <s v="Ruby Grace Garcia"/>
  </r>
  <r>
    <n v="1588"/>
    <s v="F0"/>
    <x v="65"/>
    <s v="L000006570"/>
    <m/>
    <s v="L000013910"/>
    <s v="Move"/>
    <x v="0"/>
    <x v="1"/>
    <s v="LS"/>
    <s v="named/moved"/>
    <m/>
    <s v="Ruby Grace Garcia"/>
  </r>
  <r>
    <n v="1589"/>
    <s v="F0"/>
    <x v="65"/>
    <s v="L000006571"/>
    <m/>
    <s v="L000013914"/>
    <s v="Move"/>
    <x v="0"/>
    <x v="1"/>
    <s v="LS"/>
    <s v="named/moved"/>
    <m/>
    <s v="Ruby Grace Garcia"/>
  </r>
  <r>
    <n v="1590"/>
    <s v="F0"/>
    <x v="65"/>
    <s v="L000006572"/>
    <m/>
    <s v="L000013913"/>
    <s v="Move"/>
    <x v="0"/>
    <x v="1"/>
    <s v="LS"/>
    <s v="named/moved"/>
    <m/>
    <s v="Ruby Grace Garcia"/>
  </r>
  <r>
    <n v="1591"/>
    <s v="F0"/>
    <x v="65"/>
    <s v="L000006578"/>
    <m/>
    <s v="L000013915"/>
    <s v="Move"/>
    <x v="0"/>
    <x v="1"/>
    <s v="LS"/>
    <s v="named/moved"/>
    <m/>
    <s v="Ruby Grace Garcia"/>
  </r>
  <r>
    <n v="1592"/>
    <s v="F0"/>
    <x v="65"/>
    <s v="L000012682"/>
    <m/>
    <s v="L000013915"/>
    <s v="Move"/>
    <x v="0"/>
    <x v="1"/>
    <s v="LS"/>
    <s v="named/moved"/>
    <m/>
    <s v="Ruby Grace Garcia"/>
  </r>
  <r>
    <n v="1593"/>
    <s v="F0"/>
    <x v="65"/>
    <s v="L000005386"/>
    <m/>
    <s v="L000013680"/>
    <s v="Delete"/>
    <x v="0"/>
    <x v="1"/>
    <s v="LS"/>
    <s v="named/moved"/>
    <m/>
    <s v="Ruby Grace Garcia"/>
  </r>
  <r>
    <n v="1594"/>
    <s v="F0"/>
    <x v="65"/>
    <s v="L000005404"/>
    <m/>
    <s v="L000013680"/>
    <s v="Delete"/>
    <x v="0"/>
    <x v="1"/>
    <s v="LS"/>
    <s v="named/moved"/>
    <m/>
    <s v="Ruby Grace Garcia"/>
  </r>
  <r>
    <n v="1595"/>
    <s v="F0"/>
    <x v="65"/>
    <s v="L000011969"/>
    <m/>
    <s v="L000013680"/>
    <s v="Delete"/>
    <x v="0"/>
    <x v="1"/>
    <s v="LS"/>
    <s v="named/moved"/>
    <m/>
    <s v="Ruby Grace Garcia"/>
  </r>
  <r>
    <n v="1596"/>
    <s v="F0"/>
    <x v="65"/>
    <s v="L000012785"/>
    <m/>
    <s v="L000013680"/>
    <s v="Delete"/>
    <x v="0"/>
    <x v="1"/>
    <s v="LS"/>
    <s v="named/moved"/>
    <m/>
    <s v="Ruby Grace Garcia"/>
  </r>
  <r>
    <n v="1597"/>
    <s v="F0"/>
    <x v="65"/>
    <s v="L000005422"/>
    <m/>
    <s v="L000013680"/>
    <s v="Delete"/>
    <x v="0"/>
    <x v="1"/>
    <s v="LS"/>
    <s v="named/moved"/>
    <m/>
    <s v="Ruby Grace Garcia"/>
  </r>
  <r>
    <n v="1598"/>
    <s v="F0"/>
    <x v="65"/>
    <s v="L000012494"/>
    <m/>
    <s v="L000013680"/>
    <s v="Delete"/>
    <x v="0"/>
    <x v="1"/>
    <s v="LS"/>
    <s v="named/moved"/>
    <m/>
    <s v="Ruby Grace Garcia"/>
  </r>
  <r>
    <n v="1599"/>
    <s v="F0"/>
    <x v="65"/>
    <s v="L000005380"/>
    <m/>
    <s v="L000013680"/>
    <s v="Delete"/>
    <x v="0"/>
    <x v="1"/>
    <s v="LS"/>
    <s v="named/moved"/>
    <m/>
    <s v="Ruby Grace Garcia"/>
  </r>
  <r>
    <n v="1600"/>
    <s v="F0"/>
    <x v="65"/>
    <s v="L000005417"/>
    <m/>
    <s v="L000013680"/>
    <s v="Delete"/>
    <x v="0"/>
    <x v="1"/>
    <s v="LS"/>
    <s v="named/moved"/>
    <m/>
    <s v="Ruby Grace Garcia"/>
  </r>
  <r>
    <n v="1601"/>
    <s v="F0"/>
    <x v="65"/>
    <s v="L000011992"/>
    <m/>
    <s v="L000013680"/>
    <s v="Delete"/>
    <x v="0"/>
    <x v="1"/>
    <s v="LS"/>
    <s v="named/moved"/>
    <m/>
    <s v="Ruby Grace Garcia"/>
  </r>
  <r>
    <n v="1602"/>
    <s v="F0"/>
    <x v="65"/>
    <s v="L000013524"/>
    <m/>
    <s v="L000013679"/>
    <s v="Delete"/>
    <x v="0"/>
    <x v="1"/>
    <s v="LS"/>
    <s v="named/moved"/>
    <m/>
    <s v="Ruby Grace Garcia"/>
  </r>
  <r>
    <n v="1603"/>
    <s v="F0"/>
    <x v="65"/>
    <s v="L000013525"/>
    <m/>
    <s v="L000013679"/>
    <s v="Delete"/>
    <x v="0"/>
    <x v="1"/>
    <s v="LS"/>
    <s v="named/moved"/>
    <m/>
    <s v="Ruby Grace Garcia"/>
  </r>
  <r>
    <n v="1604"/>
    <s v="F0"/>
    <x v="65"/>
    <s v="L000012331"/>
    <m/>
    <s v="L000013679"/>
    <s v="Delete"/>
    <x v="0"/>
    <x v="1"/>
    <s v="LS"/>
    <s v="named/moved"/>
    <m/>
    <s v="Ruby Grace Garcia"/>
  </r>
  <r>
    <n v="1605"/>
    <s v="F0"/>
    <x v="65"/>
    <s v="L000006587"/>
    <m/>
    <s v="L000013679"/>
    <s v="Delete"/>
    <x v="0"/>
    <x v="1"/>
    <s v="LS"/>
    <s v="named/moved"/>
    <m/>
    <s v="Ruby Grace Garcia"/>
  </r>
  <r>
    <n v="1606"/>
    <s v="F0"/>
    <x v="65"/>
    <s v="L000006588"/>
    <m/>
    <s v="L000013679"/>
    <s v="Delete"/>
    <x v="0"/>
    <x v="1"/>
    <s v="LS"/>
    <s v="named/moved"/>
    <m/>
    <s v="Ruby Grace Garcia"/>
  </r>
  <r>
    <n v="1607"/>
    <s v="F0"/>
    <x v="65"/>
    <s v="L000006589"/>
    <m/>
    <s v="L000013679"/>
    <s v="Delete"/>
    <x v="0"/>
    <x v="1"/>
    <s v="LS"/>
    <s v="named/moved"/>
    <m/>
    <s v="Ruby Grace Garcia"/>
  </r>
  <r>
    <n v="1608"/>
    <s v="F0"/>
    <x v="65"/>
    <s v="L000006590"/>
    <m/>
    <s v="L000013679"/>
    <s v="Delete"/>
    <x v="0"/>
    <x v="1"/>
    <s v="LS"/>
    <s v="named/moved"/>
    <m/>
    <s v="Ruby Grace Garcia"/>
  </r>
  <r>
    <n v="1609"/>
    <s v="F0"/>
    <x v="65"/>
    <s v="L000006591"/>
    <m/>
    <s v="L000013679"/>
    <s v="Delete"/>
    <x v="0"/>
    <x v="1"/>
    <s v="LS"/>
    <s v="named/moved"/>
    <m/>
    <s v="Ruby Grace Garcia"/>
  </r>
  <r>
    <n v="1610"/>
    <s v="F0"/>
    <x v="65"/>
    <s v="L000007088"/>
    <m/>
    <s v="L000013679"/>
    <s v="Delete"/>
    <x v="0"/>
    <x v="1"/>
    <s v="LS"/>
    <s v="named/moved"/>
    <m/>
    <s v="Ruby Grace Garcia"/>
  </r>
  <r>
    <n v="1611"/>
    <s v="F0"/>
    <x v="65"/>
    <s v="L000007038"/>
    <m/>
    <s v="L000013679"/>
    <s v="Delete"/>
    <x v="0"/>
    <x v="1"/>
    <s v="LS"/>
    <s v="named/moved"/>
    <m/>
    <s v="Ruby Grace Garcia"/>
  </r>
  <r>
    <n v="1612"/>
    <s v="F0"/>
    <x v="65"/>
    <s v="L000011508"/>
    <m/>
    <s v="L000013679"/>
    <s v="Delete"/>
    <x v="0"/>
    <x v="1"/>
    <s v="LS"/>
    <s v="named/moved"/>
    <m/>
    <s v="Ruby Grace Garcia"/>
  </r>
  <r>
    <n v="1613"/>
    <s v="F0"/>
    <x v="65"/>
    <s v="L000011511"/>
    <m/>
    <s v="L000013679"/>
    <s v="Delete"/>
    <x v="0"/>
    <x v="1"/>
    <s v="LS"/>
    <s v="named/moved"/>
    <m/>
    <s v="Ruby Grace Garcia"/>
  </r>
  <r>
    <n v="1614"/>
    <s v="F0"/>
    <x v="65"/>
    <s v="L000011514"/>
    <m/>
    <s v="L000013679"/>
    <s v="Delete"/>
    <x v="0"/>
    <x v="1"/>
    <s v="LS"/>
    <s v="named/moved"/>
    <m/>
    <s v="Ruby Grace Garcia"/>
  </r>
  <r>
    <n v="1615"/>
    <s v="F0"/>
    <x v="65"/>
    <s v="L000012861"/>
    <m/>
    <s v="L000013679"/>
    <s v="Delete"/>
    <x v="0"/>
    <x v="1"/>
    <s v="LS"/>
    <s v="named/moved"/>
    <m/>
    <s v="Ruby Grace Garcia"/>
  </r>
  <r>
    <n v="1616"/>
    <s v="F0"/>
    <x v="65"/>
    <s v="L000013218"/>
    <m/>
    <s v="L000013679"/>
    <s v="Delete"/>
    <x v="0"/>
    <x v="1"/>
    <s v="LS"/>
    <s v="named/moved"/>
    <m/>
    <s v="Ruby Grace Garcia"/>
  </r>
  <r>
    <n v="1617"/>
    <s v="F0"/>
    <x v="65"/>
    <s v="L000006525"/>
    <m/>
    <s v="L000013679"/>
    <s v="Delete"/>
    <x v="0"/>
    <x v="1"/>
    <s v="LS"/>
    <s v="named/moved"/>
    <m/>
    <s v="Ruby Grace Garcia"/>
  </r>
  <r>
    <n v="1618"/>
    <s v="F0"/>
    <x v="65"/>
    <s v="L000006528"/>
    <m/>
    <s v="L000013679"/>
    <s v="Delete"/>
    <x v="0"/>
    <x v="1"/>
    <s v="LS"/>
    <s v="named/moved"/>
    <m/>
    <s v="Ruby Grace Garcia"/>
  </r>
  <r>
    <n v="1619"/>
    <s v="F0"/>
    <x v="65"/>
    <s v="L000006532"/>
    <m/>
    <s v="L000013679"/>
    <s v="Delete"/>
    <x v="0"/>
    <x v="1"/>
    <s v="LS"/>
    <s v="named/moved"/>
    <m/>
    <s v="Ruby Grace Garcia"/>
  </r>
  <r>
    <n v="1620"/>
    <s v="F0"/>
    <x v="66"/>
    <s v="IT09020100"/>
    <s v="EF-DS-SGA IT Audit &amp; Compliance"/>
    <s v="G000000785"/>
    <s v="New"/>
    <x v="0"/>
    <x v="1"/>
    <s v="LS"/>
    <s v="named/assigned"/>
    <e v="#N/A"/>
    <s v="Jay-R Lizardo"/>
  </r>
  <r>
    <n v="1621"/>
    <s v="F0"/>
    <x v="67"/>
    <s v="P000001335"/>
    <s v=" EL Insurance"/>
    <s v="P000000962"/>
    <s v="New"/>
    <x v="0"/>
    <x v="1"/>
    <s v="EL"/>
    <s v="named/assigned"/>
    <e v="#N/A"/>
    <s v="Roselle Delos Angeles"/>
  </r>
  <r>
    <n v="1622"/>
    <s v="F0"/>
    <x v="67"/>
    <s v="P000001336"/>
    <s v=" GoGlobal Trainee Program"/>
    <s v="P000000757"/>
    <s v="New"/>
    <x v="0"/>
    <x v="1"/>
    <s v="EL"/>
    <s v="named/assigned"/>
    <e v="#N/A"/>
    <s v="Roselle Delos Angeles"/>
  </r>
  <r>
    <n v="1623"/>
    <s v="F0"/>
    <x v="67"/>
    <s v="P000001337"/>
    <s v="EL-SC-DG Semiconductor"/>
    <s v="P000000494"/>
    <s v="New"/>
    <x v="0"/>
    <x v="1"/>
    <s v="EL"/>
    <s v="named/assigned"/>
    <e v="#N/A"/>
    <s v="Roselle Delos Angeles"/>
  </r>
  <r>
    <n v="1624"/>
    <s v="F0"/>
    <x v="67"/>
    <s v="P000001338"/>
    <s v="EL-SC-DU Service Lab"/>
    <s v="P000000494"/>
    <s v="New"/>
    <x v="0"/>
    <x v="1"/>
    <s v="EL"/>
    <s v="named/assigned"/>
    <e v="#N/A"/>
    <s v="Roselle Delos Angeles"/>
  </r>
  <r>
    <n v="1625"/>
    <s v="F0"/>
    <x v="67"/>
    <s v="P000001339"/>
    <s v="EL-BP-IR Electronics ERP"/>
    <s v="P000000758"/>
    <s v="New"/>
    <x v="0"/>
    <x v="1"/>
    <s v="EL"/>
    <s v="named/assigned"/>
    <e v="#N/A"/>
    <s v="Roselle Delos Angeles"/>
  </r>
  <r>
    <n v="1626"/>
    <s v="F0"/>
    <x v="67"/>
    <s v="P000001340"/>
    <s v="EL-BP-IQ Portfolio &amp; Strategy"/>
    <s v="P000001319 "/>
    <s v="New"/>
    <x v="0"/>
    <x v="1"/>
    <s v="EL"/>
    <s v="named/assigned"/>
    <e v="#N/A"/>
    <s v="Roselle Delos Angeles"/>
  </r>
  <r>
    <n v="1627"/>
    <s v="F0"/>
    <x v="67"/>
    <s v="P000001341"/>
    <s v="EL-BP-IEM Data Solutions"/>
    <s v="P000000765"/>
    <s v="New"/>
    <x v="0"/>
    <x v="1"/>
    <s v="EL"/>
    <s v="named/assigned"/>
    <e v="#N/A"/>
    <s v="Roselle Delos Angeles"/>
  </r>
  <r>
    <n v="1628"/>
    <s v="F0"/>
    <x v="67"/>
    <s v="P000001342"/>
    <s v="EL-BP-IE Electronics Processes TechOps"/>
    <s v="P000000758"/>
    <s v="New"/>
    <x v="0"/>
    <x v="1"/>
    <s v="EL"/>
    <s v="named/assigned"/>
    <e v="#N/A"/>
    <s v="Roselle Delos Angeles"/>
  </r>
  <r>
    <n v="1629"/>
    <s v="F0"/>
    <x v="67"/>
    <s v="P000001343"/>
    <s v="SPICE Capital Gains"/>
    <s v="P000001198"/>
    <s v="New"/>
    <x v="0"/>
    <x v="1"/>
    <s v="EL"/>
    <s v="named/assigned"/>
    <e v="#N/A"/>
    <s v="Roselle Delos Angeles"/>
  </r>
  <r>
    <n v="1630"/>
    <s v="F0"/>
    <x v="67"/>
    <s v="P000001344"/>
    <s v="CF Asia 1 Freight"/>
    <s v="P000000469"/>
    <s v="New"/>
    <x v="0"/>
    <x v="1"/>
    <s v="EL"/>
    <s v="named/assigned"/>
    <e v="#N/A"/>
    <s v="Roselle Delos Angeles"/>
  </r>
  <r>
    <n v="1631"/>
    <s v="F0"/>
    <x v="67"/>
    <s v="P000001345"/>
    <s v="CF Asia 1 Warehouse/Distribution"/>
    <s v="P000000469"/>
    <s v="New"/>
    <x v="0"/>
    <x v="1"/>
    <s v="EL"/>
    <s v="named/assigned"/>
    <e v="#N/A"/>
    <s v="Roselle Delos Angeles"/>
  </r>
  <r>
    <n v="1632"/>
    <s v="F0"/>
    <x v="67"/>
    <s v="P000001346"/>
    <s v="CF Asia 1 Warehouse "/>
    <s v="P000001345"/>
    <s v="New"/>
    <x v="0"/>
    <x v="1"/>
    <s v="EL"/>
    <s v="named/assigned"/>
    <e v="#N/A"/>
    <s v="Roselle Delos Angeles"/>
  </r>
  <r>
    <n v="1633"/>
    <s v="F0"/>
    <x v="67"/>
    <s v="P000001347"/>
    <s v="CF Asia 1 Admin/Overhead"/>
    <s v="P000001345"/>
    <s v="New"/>
    <x v="0"/>
    <x v="1"/>
    <s v="EL"/>
    <s v="named/assigned"/>
    <e v="#N/A"/>
    <s v="Roselle Delos Angeles"/>
  </r>
  <r>
    <n v="1634"/>
    <s v="F0"/>
    <x v="67"/>
    <s v="P000001348"/>
    <s v="CF Asia 1 Customs/Duties"/>
    <s v="P000000469"/>
    <s v="New"/>
    <x v="0"/>
    <x v="1"/>
    <s v="EL"/>
    <s v="named/assigned"/>
    <e v="#N/A"/>
    <s v="Roselle Delos Angeles"/>
  </r>
  <r>
    <n v="1635"/>
    <s v="F0"/>
    <x v="67"/>
    <s v="P000001349"/>
    <s v="CF Asia 1 Global Demand Plan/Cust Svc"/>
    <s v="P000000469"/>
    <s v="New"/>
    <x v="0"/>
    <x v="1"/>
    <s v="EL"/>
    <s v="named/assigned"/>
    <e v="#N/A"/>
    <s v="Roselle Delos Angeles"/>
  </r>
  <r>
    <n v="1636"/>
    <s v="F0"/>
    <x v="67"/>
    <s v="P000001350"/>
    <s v="CF Asia 2 Freight"/>
    <s v="P000000470"/>
    <s v="New"/>
    <x v="0"/>
    <x v="1"/>
    <s v="EL"/>
    <s v="named/assigned"/>
    <e v="#N/A"/>
    <s v="Roselle Delos Angeles"/>
  </r>
  <r>
    <n v="1637"/>
    <s v="F0"/>
    <x v="67"/>
    <s v="P000001351"/>
    <s v="CF Asia 2 Warehouse/Distribution"/>
    <s v="P000000470"/>
    <s v="New"/>
    <x v="0"/>
    <x v="1"/>
    <s v="EL"/>
    <s v="named/assigned"/>
    <e v="#N/A"/>
    <s v="Roselle Delos Angeles"/>
  </r>
  <r>
    <n v="1638"/>
    <s v="F0"/>
    <x v="67"/>
    <s v="P000001352"/>
    <s v="CF Asia 2 Warehouse "/>
    <s v="P000001351"/>
    <s v="New"/>
    <x v="0"/>
    <x v="1"/>
    <s v="EL"/>
    <s v="named/assigned"/>
    <e v="#N/A"/>
    <s v="Roselle Delos Angeles"/>
  </r>
  <r>
    <n v="1639"/>
    <s v="F0"/>
    <x v="67"/>
    <s v="P000001353"/>
    <s v="CF Asia 2 Admin/Overhead"/>
    <s v="P000001351"/>
    <s v="New"/>
    <x v="0"/>
    <x v="1"/>
    <s v="EL"/>
    <s v="named/assigned"/>
    <e v="#N/A"/>
    <s v="Roselle Delos Angeles"/>
  </r>
  <r>
    <n v="1640"/>
    <s v="F0"/>
    <x v="67"/>
    <s v="P000001354"/>
    <s v="CF Asia 2 Customs/Duties"/>
    <s v="P000000470"/>
    <s v="New"/>
    <x v="0"/>
    <x v="1"/>
    <s v="EL"/>
    <s v="named/assigned"/>
    <e v="#N/A"/>
    <s v="Roselle Delos Angeles"/>
  </r>
  <r>
    <n v="1641"/>
    <s v="F0"/>
    <x v="67"/>
    <s v="P000001355"/>
    <s v="CF Asia 2 Global Demand Plan/Cust Svc"/>
    <s v="P000000470"/>
    <s v="New"/>
    <x v="0"/>
    <x v="1"/>
    <s v="EL"/>
    <s v="named/assigned"/>
    <e v="#N/A"/>
    <s v="Roselle Delos Angeles"/>
  </r>
  <r>
    <n v="1642"/>
    <s v="F0"/>
    <x v="67"/>
    <s v="P000001356"/>
    <s v="CF US Freight"/>
    <s v="P000000475"/>
    <s v="New"/>
    <x v="0"/>
    <x v="1"/>
    <s v="EL"/>
    <s v="named/assigned"/>
    <e v="#N/A"/>
    <s v="Roselle Delos Angeles"/>
  </r>
  <r>
    <n v="1643"/>
    <s v="F0"/>
    <x v="67"/>
    <s v="P000001357"/>
    <s v="CF US Warehouse/Distribution"/>
    <s v="P000000475"/>
    <s v="New"/>
    <x v="0"/>
    <x v="1"/>
    <s v="EL"/>
    <s v="named/assigned"/>
    <e v="#N/A"/>
    <s v="Roselle Delos Angeles"/>
  </r>
  <r>
    <n v="1644"/>
    <s v="F0"/>
    <x v="67"/>
    <s v="P000001358"/>
    <s v="CF US Warehouse "/>
    <s v="P000001357"/>
    <s v="New"/>
    <x v="0"/>
    <x v="1"/>
    <s v="EL"/>
    <s v="named/assigned"/>
    <e v="#N/A"/>
    <s v="Roselle Delos Angeles"/>
  </r>
  <r>
    <n v="1645"/>
    <s v="F0"/>
    <x v="67"/>
    <s v="P000001359"/>
    <s v="CF US Admin/Overhead"/>
    <s v="P000001357"/>
    <s v="New"/>
    <x v="0"/>
    <x v="1"/>
    <s v="EL"/>
    <s v="named/assigned"/>
    <e v="#N/A"/>
    <s v="Roselle Delos Angeles"/>
  </r>
  <r>
    <n v="1646"/>
    <s v="F0"/>
    <x v="67"/>
    <s v="P000001360"/>
    <s v="CF US Customs/Duties"/>
    <s v="P000000475"/>
    <s v="New"/>
    <x v="0"/>
    <x v="1"/>
    <s v="EL"/>
    <s v="named/assigned"/>
    <e v="#N/A"/>
    <s v="Roselle Delos Angeles"/>
  </r>
  <r>
    <n v="1647"/>
    <s v="F0"/>
    <x v="67"/>
    <s v="P000001361"/>
    <s v="CF US Global Demand Plan/Cust Svc"/>
    <s v="P000000475"/>
    <s v="New"/>
    <x v="0"/>
    <x v="1"/>
    <s v="EL"/>
    <s v="named/assigned"/>
    <e v="#N/A"/>
    <s v="Roselle Delos Angeles"/>
  </r>
  <r>
    <n v="1648"/>
    <s v="F0"/>
    <x v="67"/>
    <s v="P000001362"/>
    <s v="CF EU Others"/>
    <s v="P000000472"/>
    <s v="New"/>
    <x v="0"/>
    <x v="1"/>
    <s v="EL"/>
    <s v="named/assigned"/>
    <e v="#N/A"/>
    <s v="Roselle Delos Angeles"/>
  </r>
  <r>
    <n v="1649"/>
    <s v="F0"/>
    <x v="67"/>
    <s v="P000001363"/>
    <s v="CF Asia 1 Others"/>
    <s v="P000000469"/>
    <s v="New"/>
    <x v="0"/>
    <x v="1"/>
    <s v="EL"/>
    <s v="named/assigned"/>
    <e v="#N/A"/>
    <s v="Roselle Delos Angeles"/>
  </r>
  <r>
    <n v="1650"/>
    <s v="F0"/>
    <x v="67"/>
    <s v="P000001364"/>
    <s v="CF Asia 2 Others"/>
    <s v="P000000470"/>
    <s v="New"/>
    <x v="0"/>
    <x v="1"/>
    <s v="EL"/>
    <s v="named/assigned"/>
    <e v="#N/A"/>
    <s v="Roselle Delos Angeles"/>
  </r>
  <r>
    <n v="1651"/>
    <s v="F0"/>
    <x v="67"/>
    <s v="P000001365"/>
    <s v="CF US Others"/>
    <s v="P000000475"/>
    <s v="New"/>
    <x v="0"/>
    <x v="1"/>
    <s v="EL"/>
    <s v="named/assigned"/>
    <e v="#N/A"/>
    <s v="Roselle Delos Angeles"/>
  </r>
  <r>
    <n v="1652"/>
    <s v="F0"/>
    <x v="67"/>
    <s v="P000001366"/>
    <s v="GrEx, THF-TW-KA2, Kaohsiung, Taiwan"/>
    <s v="P000000808"/>
    <s v="New"/>
    <x v="0"/>
    <x v="1"/>
    <s v="EL"/>
    <s v="named/assigned"/>
    <e v="#N/A"/>
    <s v="Roselle Delos Angeles"/>
  </r>
  <r>
    <n v="1653"/>
    <s v="F0"/>
    <x v="67"/>
    <s v="P000001367"/>
    <s v="Non-GrEx, THF-TW-KA2, Kaohsiung, Taiwan"/>
    <s v="P000000808"/>
    <s v="New"/>
    <x v="0"/>
    <x v="1"/>
    <s v="EL"/>
    <s v="named/assigned"/>
    <e v="#N/A"/>
    <s v="Roselle Delos Angeles"/>
  </r>
  <r>
    <n v="1654"/>
    <s v="F0"/>
    <x v="67"/>
    <s v="P000001368"/>
    <s v="THF-TW-KA2 Production (T1)"/>
    <s v="P000000808"/>
    <s v="New"/>
    <x v="0"/>
    <x v="1"/>
    <s v="EL"/>
    <s v="named/assigned"/>
    <e v="#N/A"/>
    <s v="Roselle Delos Angeles"/>
  </r>
  <r>
    <n v="1655"/>
    <s v="F0"/>
    <x v="67"/>
    <s v="P000001369"/>
    <s v="THF-TW-KA2 Analytics (T6c)"/>
    <s v="P000000808"/>
    <s v="New"/>
    <x v="0"/>
    <x v="1"/>
    <s v="EL"/>
    <s v="named/assigned"/>
    <e v="#N/A"/>
    <s v="Roselle Delos Angeles"/>
  </r>
  <r>
    <n v="1656"/>
    <s v="F0"/>
    <x v="67"/>
    <s v="P000001370"/>
    <s v="THF-TW-KA2 Maintenance/Engineering (T3)"/>
    <s v="P000000808"/>
    <s v="New"/>
    <x v="0"/>
    <x v="1"/>
    <s v="EL"/>
    <s v="named/assigned"/>
    <e v="#N/A"/>
    <s v="Roselle Delos Angeles"/>
  </r>
  <r>
    <n v="1657"/>
    <s v="F0"/>
    <x v="67"/>
    <s v="P000001371"/>
    <s v="THF-TW-KA2 Energies/Utilities(T4)"/>
    <s v="P000000808"/>
    <s v="New"/>
    <x v="0"/>
    <x v="1"/>
    <s v="EL"/>
    <s v="named/assigned"/>
    <e v="#N/A"/>
    <s v="Roselle Delos Angeles"/>
  </r>
  <r>
    <n v="1658"/>
    <s v="F0"/>
    <x v="67"/>
    <s v="P000001372"/>
    <s v="THF-TW-KA2 Environmental(T5)"/>
    <s v="P000000808"/>
    <s v="New"/>
    <x v="0"/>
    <x v="1"/>
    <s v="EL"/>
    <s v="named/assigned"/>
    <e v="#N/A"/>
    <s v="Roselle Delos Angeles"/>
  </r>
  <r>
    <n v="1659"/>
    <s v="F0"/>
    <x v="67"/>
    <s v="P000001373"/>
    <s v="THF-TW-KA2 Prod.infrast.&amp;non-off-buil."/>
    <s v="P000000808"/>
    <s v="New"/>
    <x v="0"/>
    <x v="1"/>
    <s v="EL"/>
    <s v="named/assigned"/>
    <e v="#N/A"/>
    <s v="Roselle Delos Angeles"/>
  </r>
  <r>
    <n v="1660"/>
    <s v="F0"/>
    <x v="67"/>
    <s v="P000001374"/>
    <s v="THF-TW-KA2 Incom. storage&amp;handling (T7)"/>
    <s v="P000000808"/>
    <s v="New"/>
    <x v="0"/>
    <x v="1"/>
    <s v="EL"/>
    <s v="named/assigned"/>
    <e v="#N/A"/>
    <s v="Roselle Delos Angeles"/>
  </r>
  <r>
    <n v="1661"/>
    <s v="F0"/>
    <x v="67"/>
    <s v="P000001375"/>
    <s v="THF-TW-KA2 Local Prod.Dev. &amp; Opt."/>
    <s v="P000000808"/>
    <s v="New"/>
    <x v="0"/>
    <x v="1"/>
    <s v="EL"/>
    <s v="named/assigned"/>
    <e v="#N/A"/>
    <s v="Roselle Delos Angeles"/>
  </r>
  <r>
    <n v="1662"/>
    <s v="F0"/>
    <x v="67"/>
    <s v="P000001376"/>
    <s v="THF-TW-KA2 Other"/>
    <s v="P000000808"/>
    <s v="New"/>
    <x v="0"/>
    <x v="1"/>
    <s v="EL"/>
    <s v="named/assigned"/>
    <e v="#N/A"/>
    <s v="Roselle Delos Angeles"/>
  </r>
  <r>
    <n v="1663"/>
    <s v="F0"/>
    <x v="67"/>
    <s v="P000001377"/>
    <s v="THF-TW-KA2  Local Quality "/>
    <s v="P000000808"/>
    <s v="New"/>
    <x v="0"/>
    <x v="1"/>
    <s v="EL"/>
    <s v="named/assigned"/>
    <e v="#N/A"/>
    <s v="Roselle Delos Angeles"/>
  </r>
  <r>
    <n v="1664"/>
    <s v="F0"/>
    <x v="67"/>
    <s v="P000001378"/>
    <s v="THF-TW-KA2  Warehouse"/>
    <s v="P000000808"/>
    <s v="New"/>
    <x v="0"/>
    <x v="1"/>
    <s v="EL"/>
    <s v="named/assigned"/>
    <e v="#N/A"/>
    <s v="Roselle Delos Angeles"/>
  </r>
  <r>
    <n v="1665"/>
    <s v="F0"/>
    <x v="67"/>
    <s v="P000001379"/>
    <s v="EL AP Accruals"/>
    <s v="P000000962"/>
    <s v="New"/>
    <x v="0"/>
    <x v="1"/>
    <s v="EL"/>
    <s v="named/assigned"/>
    <e v="#N/A"/>
    <s v="Roselle Delos Angeles"/>
  </r>
  <r>
    <n v="1666"/>
    <s v="F0"/>
    <x v="67"/>
    <s v="P000001380"/>
    <s v="EL-CN-S9 Customer Fulfillment China"/>
    <s v="P000000571"/>
    <s v="New"/>
    <x v="0"/>
    <x v="1"/>
    <s v="EL"/>
    <s v="named/assigned"/>
    <e v="#N/A"/>
    <s v="Roselle Delos Angeles"/>
  </r>
  <r>
    <n v="1667"/>
    <s v="F0"/>
    <x v="67"/>
    <s v="P000001166"/>
    <m/>
    <s v="P000000757"/>
    <s v="Move"/>
    <x v="0"/>
    <x v="1"/>
    <s v="EL"/>
    <s v="named/moved"/>
    <s v="P000000748"/>
    <s v="Roselle Delos Angeles"/>
  </r>
  <r>
    <n v="1668"/>
    <s v="F0"/>
    <x v="67"/>
    <s v="P000001178"/>
    <m/>
    <s v="P000000494"/>
    <s v="Move"/>
    <x v="0"/>
    <x v="1"/>
    <s v="EL"/>
    <s v="named/moved"/>
    <s v="P000000500"/>
    <s v="Roselle Delos Angeles"/>
  </r>
  <r>
    <n v="1669"/>
    <s v="F0"/>
    <x v="67"/>
    <s v="P000000759"/>
    <m/>
    <s v="P000001319 "/>
    <s v="Move"/>
    <x v="0"/>
    <x v="1"/>
    <s v="EL"/>
    <s v="named/moved"/>
    <s v="P000000758"/>
    <s v="Roselle Delos Angeles"/>
  </r>
  <r>
    <n v="1670"/>
    <s v="F0"/>
    <x v="67"/>
    <s v="P000000766"/>
    <m/>
    <s v="P000001319 "/>
    <s v="Move"/>
    <x v="0"/>
    <x v="1"/>
    <s v="EL"/>
    <s v="named/moved"/>
    <s v="P000000758"/>
    <s v="Roselle Delos Angeles"/>
  </r>
  <r>
    <n v="1671"/>
    <s v="F0"/>
    <x v="67"/>
    <s v="P000000767"/>
    <m/>
    <s v="P000001319 "/>
    <s v="Move"/>
    <x v="0"/>
    <x v="1"/>
    <s v="EL"/>
    <s v="named/moved"/>
    <s v="P000000758"/>
    <s v="Roselle Delos Angeles"/>
  </r>
  <r>
    <n v="1672"/>
    <s v="F0"/>
    <x v="67"/>
    <s v="P000000768"/>
    <m/>
    <s v="P000001319 "/>
    <s v="Move"/>
    <x v="0"/>
    <x v="1"/>
    <s v="EL"/>
    <s v="named/moved"/>
    <s v="P000000758"/>
    <s v="Roselle Delos Angeles"/>
  </r>
  <r>
    <n v="1673"/>
    <s v="F0"/>
    <x v="67"/>
    <s v="P000000760"/>
    <m/>
    <s v="P000001319 "/>
    <s v="Move"/>
    <x v="0"/>
    <x v="1"/>
    <s v="EL"/>
    <s v="named/moved"/>
    <s v="P000000758"/>
    <s v="Roselle Delos Angeles"/>
  </r>
  <r>
    <n v="1674"/>
    <s v="F0"/>
    <x v="67"/>
    <s v="P000000762"/>
    <m/>
    <s v="P000001319 "/>
    <s v="Move"/>
    <x v="0"/>
    <x v="1"/>
    <s v="EL"/>
    <s v="named/moved"/>
    <s v="P000000758"/>
    <s v="Roselle Delos Angeles"/>
  </r>
  <r>
    <n v="1675"/>
    <s v="F0"/>
    <x v="67"/>
    <s v="P000000765"/>
    <m/>
    <s v="P000001319 "/>
    <s v="Move"/>
    <x v="0"/>
    <x v="1"/>
    <s v="EL"/>
    <s v="named/moved"/>
    <s v="P000000758"/>
    <s v="Roselle Delos Angeles"/>
  </r>
  <r>
    <n v="1676"/>
    <s v="F0"/>
    <x v="67"/>
    <s v="P000000411"/>
    <m/>
    <s v="P000000962"/>
    <s v="Move"/>
    <x v="0"/>
    <x v="1"/>
    <s v="EL"/>
    <s v="named/moved"/>
    <s v="P000001159"/>
    <s v="Roselle Delos Angeles"/>
  </r>
  <r>
    <n v="1677"/>
    <s v="F0"/>
    <x v="67"/>
    <s v="P000000662"/>
    <m/>
    <s v="O000000009"/>
    <s v="Delete"/>
    <x v="0"/>
    <x v="1"/>
    <s v="EL"/>
    <s v="named/moved"/>
    <m/>
    <s v="Roselle Delos Angeles"/>
  </r>
  <r>
    <n v="1678"/>
    <s v="F0"/>
    <x v="67"/>
    <s v="P000000663"/>
    <m/>
    <s v="O000000009"/>
    <s v="Delete"/>
    <x v="0"/>
    <x v="1"/>
    <s v="EL"/>
    <s v="named/moved"/>
    <m/>
    <s v="Roselle Delos Angeles"/>
  </r>
  <r>
    <n v="1679"/>
    <s v="F0"/>
    <x v="67"/>
    <s v="P000000760"/>
    <s v="EL-BP-IO Business Partner Optronics"/>
    <m/>
    <s v="Rename"/>
    <x v="0"/>
    <x v="1"/>
    <s v="EL"/>
    <s v="named"/>
    <m/>
    <s v="Roselle Delos Angeles"/>
  </r>
  <r>
    <n v="1680"/>
    <s v="F0"/>
    <x v="67"/>
    <s v="P000000762"/>
    <s v="EL-BP-IA Architecture, Engineering &amp; Ops"/>
    <m/>
    <s v="Rename"/>
    <x v="0"/>
    <x v="1"/>
    <s v="EL"/>
    <s v="named"/>
    <m/>
    <s v="Roselle Delos Angeles"/>
  </r>
  <r>
    <n v="1681"/>
    <s v="F0"/>
    <x v="67"/>
    <s v="P000000765"/>
    <s v="EL-BP-IE Electronics Processes"/>
    <m/>
    <s v="Rename"/>
    <x v="0"/>
    <x v="1"/>
    <s v="EL"/>
    <s v="named"/>
    <m/>
    <s v="Roselle Delos Angeles"/>
  </r>
  <r>
    <n v="1682"/>
    <s v="F0"/>
    <x v="67"/>
    <s v="P000000763"/>
    <s v="EL-BP SPICE"/>
    <m/>
    <s v="Rename"/>
    <x v="0"/>
    <x v="1"/>
    <s v="EL"/>
    <s v="named"/>
    <m/>
    <s v="Roselle Delos Angeles"/>
  </r>
  <r>
    <n v="1683"/>
    <s v="F0"/>
    <x v="68"/>
    <s v="G000000317"/>
    <s v="EF-DS-E DDIT Enabling Functions"/>
    <s v="G000001375"/>
    <s v="Rename/Move"/>
    <x v="0"/>
    <x v="1"/>
    <s v="MGF"/>
    <s v="todo in 2026"/>
    <m/>
    <s v="Jay-R Lizardo"/>
  </r>
  <r>
    <n v="1684"/>
    <s v="F0"/>
    <x v="69"/>
    <s v="G000001457"/>
    <s v="EF-DS-SIA Integration &amp; Transformation A"/>
    <s v="G000001419"/>
    <s v="New"/>
    <x v="0"/>
    <x v="1"/>
    <s v="MGF"/>
    <s v="todo in 2026"/>
    <m/>
    <s v="Jay-R Lizardo"/>
  </r>
  <r>
    <n v="1685"/>
    <s v="F0"/>
    <x v="69"/>
    <s v="IT09030200"/>
    <s v="EF-DS-SIA Integration &amp; Transformation A"/>
    <s v="G000001457"/>
    <s v="Rename/Move"/>
    <x v="0"/>
    <x v="1"/>
    <s v="MGF"/>
    <s v="todo in 2026"/>
    <m/>
    <s v="Jay-R Lizardo"/>
  </r>
  <r>
    <n v="1686"/>
    <s v="F0"/>
    <x v="69"/>
    <s v="G000001458"/>
    <s v="EF-DS-SIE Integration &amp; Transformation E"/>
    <s v="G000001419"/>
    <s v="New"/>
    <x v="0"/>
    <x v="1"/>
    <s v="MGF"/>
    <s v="todo in 2026"/>
    <m/>
    <s v="Jay-R Lizardo"/>
  </r>
  <r>
    <n v="1687"/>
    <s v="F0"/>
    <x v="69"/>
    <s v="IT09030300"/>
    <s v="EF-DS-SIE Integration &amp; Transformation E"/>
    <s v="G000001458"/>
    <s v="Rename/Move"/>
    <x v="0"/>
    <x v="1"/>
    <s v="MGF"/>
    <s v="todo in 2026"/>
    <m/>
    <s v="Jay-R Lizardo"/>
  </r>
  <r>
    <n v="1688"/>
    <s v="F0"/>
    <x v="69"/>
    <s v="G000001459"/>
    <s v="EF-DS-SIP Integration &amp; Transformation P"/>
    <s v="G000001419"/>
    <s v="New"/>
    <x v="0"/>
    <x v="1"/>
    <s v="MGF"/>
    <s v="todo in 2026"/>
    <m/>
    <s v="Jay-R Lizardo"/>
  </r>
  <r>
    <n v="1689"/>
    <s v="F0"/>
    <x v="69"/>
    <s v="IT09030400"/>
    <s v="EF-DS-SIP Integration &amp; Transformation P"/>
    <s v="G000001459"/>
    <s v="Rename/Move"/>
    <x v="0"/>
    <x v="1"/>
    <s v="MGF"/>
    <s v="todo in 2026"/>
    <m/>
    <s v="Jay-R Lizardo"/>
  </r>
  <r>
    <n v="1690"/>
    <s v="F0"/>
    <x v="69"/>
    <s v="G000001460"/>
    <s v="EF-DS-SOM Performance Management"/>
    <s v="G000000789"/>
    <s v="New"/>
    <x v="0"/>
    <x v="1"/>
    <s v="MGF"/>
    <s v="todo in 2026"/>
    <m/>
    <s v="Jay-R Lizardo"/>
  </r>
  <r>
    <n v="1691"/>
    <s v="F0"/>
    <x v="69"/>
    <s v="IT09040400"/>
    <s v="EF-DS-SOM Performance Management"/>
    <s v="G000001460"/>
    <s v="Rename/Move"/>
    <x v="0"/>
    <x v="1"/>
    <s v="MGF"/>
    <s v="todo in 2026"/>
    <m/>
    <s v="Jay-R Lizardo"/>
  </r>
  <r>
    <n v="1692"/>
    <s v="F0"/>
    <x v="69"/>
    <s v="G000000318"/>
    <s v="EF-DS-E DDIT Enabling Functions"/>
    <m/>
    <s v="Rename"/>
    <x v="0"/>
    <x v="1"/>
    <s v="MGF"/>
    <s v="todo in 2026"/>
    <m/>
    <s v="Jay-R Lizardo"/>
  </r>
  <r>
    <n v="1693"/>
    <s v="F0"/>
    <x v="69"/>
    <s v="G000000324"/>
    <s v="EF-DS-ET Portfolio Mngmt &amp; Excellence"/>
    <m/>
    <s v="Rename"/>
    <x v="0"/>
    <x v="1"/>
    <s v="MGF"/>
    <s v="todo in 2026"/>
    <m/>
    <s v="Jay-R Lizardo"/>
  </r>
  <r>
    <n v="1694"/>
    <s v="F0"/>
    <x v="69"/>
    <s v="G000000325"/>
    <s v="EF-DS-EH Busi Partnering HR &amp; Various EF"/>
    <m/>
    <s v="Rename"/>
    <x v="0"/>
    <x v="1"/>
    <s v="MGF"/>
    <s v="todo in 2026"/>
    <m/>
    <s v="Jay-R Lizardo"/>
  </r>
  <r>
    <n v="1695"/>
    <s v="F0"/>
    <x v="69"/>
    <s v="G000000786"/>
    <s v="EF-DS-EF Business Partnering Finance"/>
    <m/>
    <s v="Rename"/>
    <x v="0"/>
    <x v="1"/>
    <s v="MGF"/>
    <s v="todo in 2026"/>
    <m/>
    <s v="Jay-R Lizardo"/>
  </r>
  <r>
    <n v="1696"/>
    <s v="F0"/>
    <x v="69"/>
    <s v="G000001123"/>
    <s v="EF-DS-ED Data &amp; AI Organization"/>
    <m/>
    <s v="Rename"/>
    <x v="0"/>
    <x v="1"/>
    <s v="MGF"/>
    <s v="todo in 2026"/>
    <m/>
    <s v="Jay-R Lizardo"/>
  </r>
  <r>
    <n v="1697"/>
    <s v="F0"/>
    <x v="69"/>
    <s v="G000001233"/>
    <s v="EF-DS-EA Group Solutions"/>
    <m/>
    <s v="Rename"/>
    <x v="0"/>
    <x v="1"/>
    <s v="MGF"/>
    <s v="todo in 2026"/>
    <m/>
    <s v="Jay-R Lizardo"/>
  </r>
  <r>
    <n v="1698"/>
    <s v="F0"/>
    <x v="69"/>
    <s v="G000001234"/>
    <s v="EF-DS-EI MITC Office"/>
    <m/>
    <s v="Rename"/>
    <x v="0"/>
    <x v="1"/>
    <s v="MGF"/>
    <s v="todo in 2026"/>
    <m/>
    <s v="Jay-R Lizardo"/>
  </r>
  <r>
    <n v="1699"/>
    <s v="F0"/>
    <x v="69"/>
    <s v="G000001276"/>
    <s v="EF-DS-EG Busi Partner Procurement&amp;GES"/>
    <m/>
    <s v="Rename"/>
    <x v="0"/>
    <x v="1"/>
    <s v="MGF"/>
    <s v="todo in 2026"/>
    <m/>
    <s v="Jay-R Lizardo"/>
  </r>
  <r>
    <n v="1700"/>
    <s v="F0"/>
    <x v="69"/>
    <s v="G000001277"/>
    <s v="EF-DS-EO Strategy &amp; Transformation"/>
    <m/>
    <s v="Rename"/>
    <x v="0"/>
    <x v="1"/>
    <s v="MGF"/>
    <s v="todo in 2026"/>
    <m/>
    <s v="Jay-R Lizardo"/>
  </r>
  <r>
    <n v="1701"/>
    <s v="F0"/>
    <x v="69"/>
    <s v="G000001278"/>
    <s v="EF-DS-EX Architecture &amp; Security"/>
    <m/>
    <s v="Rename"/>
    <x v="0"/>
    <x v="1"/>
    <s v="MGF"/>
    <s v="todo in 2026"/>
    <m/>
    <s v="Jay-R Lizardo"/>
  </r>
  <r>
    <n v="1702"/>
    <s v="F0"/>
    <x v="69"/>
    <s v="IT06070000"/>
    <s v="EF-DS-E DDIT Enabling Functions"/>
    <m/>
    <s v="Rename"/>
    <x v="0"/>
    <x v="1"/>
    <s v="MGF"/>
    <s v="todo in 2026"/>
    <m/>
    <s v="Jay-R Lizardo"/>
  </r>
  <r>
    <n v="1703"/>
    <s v="F0"/>
    <x v="69"/>
    <s v="IT06070600"/>
    <s v="EF-DS-ET Portfolio Mngmt &amp; Excellence"/>
    <m/>
    <s v="Rename"/>
    <x v="0"/>
    <x v="1"/>
    <s v="MGF"/>
    <s v="todo in 2026"/>
    <m/>
    <s v="Jay-R Lizardo"/>
  </r>
  <r>
    <n v="1704"/>
    <s v="F0"/>
    <x v="69"/>
    <s v="IT06070700"/>
    <s v="EF-DS-EH Busi Partnering HR &amp; Various EF"/>
    <m/>
    <s v="Rename"/>
    <x v="0"/>
    <x v="1"/>
    <s v="MGF"/>
    <s v="todo in 2026"/>
    <m/>
    <s v="Jay-R Lizardo"/>
  </r>
  <r>
    <n v="1705"/>
    <s v="F0"/>
    <x v="69"/>
    <s v="IT06071100"/>
    <s v="EF-DS-EF Business Partnering Finance"/>
    <m/>
    <s v="Rename"/>
    <x v="0"/>
    <x v="1"/>
    <s v="MGF"/>
    <s v="todo in 2026"/>
    <m/>
    <s v="Jay-R Lizardo"/>
  </r>
  <r>
    <n v="1706"/>
    <s v="F0"/>
    <x v="69"/>
    <s v="IT06071400"/>
    <s v="EF-DS-ED Data &amp; AI Organization"/>
    <m/>
    <s v="Rename"/>
    <x v="0"/>
    <x v="1"/>
    <s v="MGF"/>
    <s v="todo in 2026"/>
    <m/>
    <s v="Jay-R Lizardo"/>
  </r>
  <r>
    <n v="1707"/>
    <s v="F0"/>
    <x v="69"/>
    <s v="IT06071800"/>
    <s v="EF-DS-EA Group Solutions"/>
    <m/>
    <s v="Rename"/>
    <x v="0"/>
    <x v="1"/>
    <s v="MGF"/>
    <s v="todo in 2026"/>
    <m/>
    <s v="Jay-R Lizardo"/>
  </r>
  <r>
    <n v="1708"/>
    <s v="F0"/>
    <x v="69"/>
    <s v="IT06071900"/>
    <s v="EF-DS-EI MITC Office"/>
    <m/>
    <s v="Rename"/>
    <x v="0"/>
    <x v="1"/>
    <s v="MGF"/>
    <s v="todo in 2026"/>
    <m/>
    <s v="Jay-R Lizardo"/>
  </r>
  <r>
    <n v="1709"/>
    <s v="F0"/>
    <x v="69"/>
    <s v="IT06072000"/>
    <s v="EF-DS-EG Busi Partner Procurement&amp;GES"/>
    <m/>
    <s v="Rename"/>
    <x v="0"/>
    <x v="1"/>
    <s v="MGF"/>
    <s v="todo in 2026"/>
    <m/>
    <s v="Jay-R Lizardo"/>
  </r>
  <r>
    <n v="1710"/>
    <s v="F0"/>
    <x v="69"/>
    <s v="IT06072100"/>
    <s v="EF-DS-EO Strategy &amp; Transformation"/>
    <m/>
    <s v="Rename"/>
    <x v="0"/>
    <x v="1"/>
    <s v="MGF"/>
    <s v="todo in 2026"/>
    <m/>
    <s v="Jay-R Lizardo"/>
  </r>
  <r>
    <n v="1711"/>
    <s v="F0"/>
    <x v="69"/>
    <s v="IT06072200"/>
    <s v="EF-DS-EX Architecture &amp; Security"/>
    <m/>
    <s v="Rename"/>
    <x v="0"/>
    <x v="1"/>
    <s v="MGF"/>
    <s v="todo in 2026"/>
    <m/>
    <s v="Jay-R Lizard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3">
    <pivotField showAll="0"/>
    <pivotField showAll="0"/>
    <pivotField axis="axisRow" showAll="0">
      <items count="91">
        <item m="1" x="83"/>
        <item m="1" x="71"/>
        <item m="1" x="77"/>
        <item m="1" x="84"/>
        <item m="1" x="75"/>
        <item m="1" x="85"/>
        <item m="1" x="72"/>
        <item m="1" x="87"/>
        <item m="1" x="70"/>
        <item m="1" x="79"/>
        <item m="1" x="80"/>
        <item m="1" x="86"/>
        <item m="1" x="82"/>
        <item m="1" x="78"/>
        <item m="1" x="81"/>
        <item m="1" x="76"/>
        <item m="1" x="89"/>
        <item m="1" x="74"/>
        <item m="1" x="88"/>
        <item m="1"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1"/>
        <item x="22"/>
        <item x="23"/>
        <item x="20"/>
        <item x="24"/>
        <item x="25"/>
        <item x="26"/>
        <item x="27"/>
        <item x="29"/>
        <item x="28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m="1" x="1"/>
        <item h="1" x="0"/>
        <item m="1" x="2"/>
        <item t="default"/>
      </items>
    </pivotField>
    <pivotField axis="axisRow" showAll="0">
      <items count="8">
        <item x="0"/>
        <item m="1" x="5"/>
        <item m="1" x="3"/>
        <item m="1" x="6"/>
        <item m="1" x="2"/>
        <item m="1" x="4"/>
        <item x="1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"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53" totalsRowShown="0"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4"/>
  <sheetViews>
    <sheetView workbookViewId="0">
      <selection activeCell="E23" sqref="E23"/>
    </sheetView>
  </sheetViews>
  <sheetFormatPr defaultRowHeight="15" x14ac:dyDescent="0.25"/>
  <cols>
    <col min="1" max="1" width="13.140625" bestFit="1" customWidth="1"/>
    <col min="2" max="2" width="17.85546875" bestFit="1" customWidth="1"/>
  </cols>
  <sheetData>
    <row r="1" spans="1:2" x14ac:dyDescent="0.25">
      <c r="A1" s="45" t="s">
        <v>0</v>
      </c>
      <c r="B1" t="s">
        <v>7903</v>
      </c>
    </row>
    <row r="3" spans="1:2" x14ac:dyDescent="0.25">
      <c r="A3" s="45" t="s">
        <v>11</v>
      </c>
      <c r="B3" t="s">
        <v>6619</v>
      </c>
    </row>
    <row r="4" spans="1:2" x14ac:dyDescent="0.25">
      <c r="A4" s="32" t="s">
        <v>10</v>
      </c>
      <c r="B4" s="4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53"/>
  <sheetViews>
    <sheetView tabSelected="1" topLeftCell="A10" zoomScale="115" zoomScaleNormal="115" workbookViewId="0">
      <selection activeCell="A53" sqref="A53"/>
    </sheetView>
  </sheetViews>
  <sheetFormatPr defaultRowHeight="15" x14ac:dyDescent="0.25"/>
  <cols>
    <col min="1" max="1" width="8.42578125" style="6" bestFit="1" customWidth="1"/>
    <col min="2" max="2" width="11.7109375" style="9" bestFit="1" customWidth="1"/>
    <col min="3" max="3" width="13.7109375" style="9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2">
        <v>1</v>
      </c>
      <c r="B2" s="36" t="s">
        <v>4</v>
      </c>
      <c r="C2" s="9" t="s">
        <v>7908</v>
      </c>
      <c r="D2" s="9" t="s">
        <v>7904</v>
      </c>
      <c r="E2" s="38" t="s">
        <v>7910</v>
      </c>
      <c r="F2" s="54" t="s">
        <v>3707</v>
      </c>
      <c r="G2" s="9" t="s">
        <v>14</v>
      </c>
      <c r="H2" s="36">
        <f>IFERROR(VLOOKUP(Table2[[#This Row], [Ticket]],Okey!A:B,2,0),"")</f>
        <v>0</v>
      </c>
      <c r="I2" s="9" t="s">
        <v>7982</v>
      </c>
      <c r="J2" s="36" t="s">
        <v>17</v>
      </c>
      <c r="M2" s="9" t="s">
        <v>1230</v>
      </c>
    </row>
    <row r="3" spans="1:13" x14ac:dyDescent="0.25">
      <c r="A3" s="42">
        <f t="shared" ref="A3:A19" si="0">1+A2</f>
        <v>2</v>
      </c>
      <c r="B3" s="36" t="s">
        <v>4</v>
      </c>
      <c r="C3" s="36" t="s">
        <v>7908</v>
      </c>
      <c r="D3" s="9" t="s">
        <v>7863</v>
      </c>
      <c r="F3" s="9" t="s">
        <v>387</v>
      </c>
      <c r="G3" s="9" t="s">
        <v>13</v>
      </c>
      <c r="H3" s="36">
        <f>IFERROR(VLOOKUP(Table2[[#This Row], [Ticket]],Okey!A:B,2,0),"")</f>
        <v>0</v>
      </c>
      <c r="J3" s="36" t="s">
        <v>17</v>
      </c>
      <c r="K3" s="9" t="s">
        <v>7909</v>
      </c>
      <c r="M3" s="9" t="s">
        <v>4777</v>
      </c>
    </row>
    <row r="4" spans="1:13" x14ac:dyDescent="0.25">
      <c r="A4" s="42">
        <f t="shared" si="0"/>
        <v>3</v>
      </c>
      <c r="B4" s="36" t="s">
        <v>4</v>
      </c>
      <c r="C4" s="36" t="s">
        <v>7908</v>
      </c>
      <c r="D4" s="9" t="s">
        <v>7866</v>
      </c>
      <c r="E4" s="9" t="s">
        <v>7905</v>
      </c>
      <c r="F4" s="9" t="s">
        <v>5725</v>
      </c>
      <c r="G4" s="9" t="s">
        <v>16</v>
      </c>
      <c r="H4" s="36">
        <f>IFERROR(VLOOKUP(Table2[[#This Row], [Ticket]],Okey!A:B,2,0),"")</f>
        <v>0</v>
      </c>
      <c r="J4" s="36" t="s">
        <v>17</v>
      </c>
      <c r="K4" s="36" t="s">
        <v>7909</v>
      </c>
      <c r="M4" s="36" t="s">
        <v>4777</v>
      </c>
    </row>
    <row r="5" spans="1:13" x14ac:dyDescent="0.25">
      <c r="A5" s="42">
        <f t="shared" si="0"/>
        <v>4</v>
      </c>
      <c r="B5" s="36" t="s">
        <v>4</v>
      </c>
      <c r="C5" s="36" t="s">
        <v>7908</v>
      </c>
      <c r="D5" s="9" t="s">
        <v>7867</v>
      </c>
      <c r="E5" s="9" t="s">
        <v>7905</v>
      </c>
      <c r="F5" s="9" t="s">
        <v>5725</v>
      </c>
      <c r="G5" s="36" t="s">
        <v>16</v>
      </c>
      <c r="H5" s="36">
        <f>IFERROR(VLOOKUP(Table2[[#This Row], [Ticket]],Okey!A:B,2,0),"")</f>
        <v>0</v>
      </c>
      <c r="J5" s="36" t="s">
        <v>17</v>
      </c>
      <c r="K5" s="36" t="s">
        <v>7909</v>
      </c>
      <c r="M5" s="36" t="s">
        <v>4777</v>
      </c>
    </row>
    <row r="6" spans="1:13" x14ac:dyDescent="0.25">
      <c r="A6" s="42">
        <f t="shared" si="0"/>
        <v>5</v>
      </c>
      <c r="B6" s="36" t="s">
        <v>4</v>
      </c>
      <c r="C6" s="36" t="s">
        <v>7908</v>
      </c>
      <c r="D6" s="9" t="s">
        <v>7862</v>
      </c>
      <c r="E6" s="9" t="s">
        <v>7905</v>
      </c>
      <c r="F6" s="9" t="s">
        <v>5725</v>
      </c>
      <c r="G6" s="36" t="s">
        <v>16</v>
      </c>
      <c r="H6" s="36">
        <f>IFERROR(VLOOKUP(Table2[[#This Row], [Ticket]],Okey!A:B,2,0),"")</f>
        <v>0</v>
      </c>
      <c r="J6" s="36" t="s">
        <v>17</v>
      </c>
      <c r="K6" s="36" t="s">
        <v>7909</v>
      </c>
      <c r="M6" s="36" t="s">
        <v>4777</v>
      </c>
    </row>
    <row r="7" spans="1:13" x14ac:dyDescent="0.25">
      <c r="A7" s="42">
        <f t="shared" si="0"/>
        <v>6</v>
      </c>
      <c r="B7" s="36" t="s">
        <v>4</v>
      </c>
      <c r="C7" s="36" t="s">
        <v>7908</v>
      </c>
      <c r="D7" s="9" t="s">
        <v>7864</v>
      </c>
      <c r="E7" s="9" t="s">
        <v>7905</v>
      </c>
      <c r="F7" s="9" t="s">
        <v>5725</v>
      </c>
      <c r="G7" s="36" t="s">
        <v>16</v>
      </c>
      <c r="H7" s="36">
        <f>IFERROR(VLOOKUP(Table2[[#This Row], [Ticket]],Okey!A:B,2,0),"")</f>
        <v>0</v>
      </c>
      <c r="J7" s="36" t="s">
        <v>17</v>
      </c>
      <c r="K7" s="36" t="s">
        <v>7909</v>
      </c>
      <c r="M7" s="36" t="s">
        <v>4777</v>
      </c>
    </row>
    <row r="8" spans="1:13" x14ac:dyDescent="0.25">
      <c r="A8" s="42">
        <f t="shared" si="0"/>
        <v>7</v>
      </c>
      <c r="B8" s="36" t="s">
        <v>4</v>
      </c>
      <c r="C8" s="36" t="s">
        <v>7908</v>
      </c>
      <c r="D8" s="9" t="s">
        <v>7861</v>
      </c>
      <c r="E8" s="9" t="s">
        <v>7906</v>
      </c>
      <c r="G8" s="9" t="s">
        <v>15</v>
      </c>
      <c r="H8" s="36">
        <f>IFERROR(VLOOKUP(Table2[[#This Row], [Ticket]],Okey!A:B,2,0),"")</f>
        <v>0</v>
      </c>
      <c r="J8" s="36" t="s">
        <v>17</v>
      </c>
      <c r="K8" s="36" t="s">
        <v>7909</v>
      </c>
      <c r="M8" s="36" t="s">
        <v>4777</v>
      </c>
    </row>
    <row r="9" spans="1:13" x14ac:dyDescent="0.25">
      <c r="A9" s="42">
        <f t="shared" si="0"/>
        <v>8</v>
      </c>
      <c r="B9" s="36" t="s">
        <v>4</v>
      </c>
      <c r="C9" s="36" t="s">
        <v>7908</v>
      </c>
      <c r="D9" s="9" t="s">
        <v>7865</v>
      </c>
      <c r="E9" s="9" t="s">
        <v>7907</v>
      </c>
      <c r="G9" s="36" t="s">
        <v>15</v>
      </c>
      <c r="H9" s="36">
        <f>IFERROR(VLOOKUP(Table2[[#This Row], [Ticket]],Okey!A:B,2,0),"")</f>
        <v>0</v>
      </c>
      <c r="J9" s="36" t="s">
        <v>17</v>
      </c>
      <c r="K9" s="36" t="s">
        <v>7909</v>
      </c>
      <c r="M9" s="36" t="s">
        <v>4777</v>
      </c>
    </row>
    <row r="10" spans="1:13" x14ac:dyDescent="0.25">
      <c r="A10" s="42">
        <f t="shared" si="0"/>
        <v>9</v>
      </c>
      <c r="B10" s="36" t="s">
        <v>4</v>
      </c>
      <c r="C10" s="36" t="s">
        <v>7908</v>
      </c>
      <c r="D10" s="9" t="s">
        <v>7868</v>
      </c>
      <c r="E10" s="9" t="s">
        <v>7905</v>
      </c>
      <c r="G10" s="36" t="s">
        <v>15</v>
      </c>
      <c r="H10" s="36">
        <f>IFERROR(VLOOKUP(Table2[[#This Row], [Ticket]],Okey!A:B,2,0),"")</f>
        <v>0</v>
      </c>
      <c r="J10" s="36" t="s">
        <v>17</v>
      </c>
      <c r="K10" s="36" t="s">
        <v>7909</v>
      </c>
      <c r="M10" s="36" t="s">
        <v>4777</v>
      </c>
    </row>
    <row r="11" spans="1:13" x14ac:dyDescent="0.25">
      <c r="A11" s="42">
        <f t="shared" si="0"/>
        <v>10</v>
      </c>
      <c r="B11" s="36" t="s">
        <v>4</v>
      </c>
      <c r="C11" s="36" t="s">
        <v>7908</v>
      </c>
      <c r="D11" s="9" t="s">
        <v>7869</v>
      </c>
      <c r="E11" s="9" t="s">
        <v>7905</v>
      </c>
      <c r="G11" s="36" t="s">
        <v>15</v>
      </c>
      <c r="H11" s="36">
        <f>IFERROR(VLOOKUP(Table2[[#This Row], [Ticket]],Okey!A:B,2,0),"")</f>
        <v>0</v>
      </c>
      <c r="J11" s="36" t="s">
        <v>17</v>
      </c>
      <c r="K11" s="36" t="s">
        <v>7909</v>
      </c>
      <c r="M11" s="36" t="s">
        <v>4777</v>
      </c>
    </row>
    <row r="12" spans="1:13" x14ac:dyDescent="0.25">
      <c r="A12" s="42">
        <f t="shared" si="0"/>
        <v>11</v>
      </c>
      <c r="B12" s="36" t="s">
        <v>4</v>
      </c>
      <c r="C12" s="36" t="s">
        <v>7908</v>
      </c>
      <c r="D12" s="9" t="s">
        <v>7870</v>
      </c>
      <c r="E12" s="9" t="s">
        <v>7905</v>
      </c>
      <c r="G12" s="36" t="s">
        <v>15</v>
      </c>
      <c r="H12" s="36">
        <f>IFERROR(VLOOKUP(Table2[[#This Row], [Ticket]],Okey!A:B,2,0),"")</f>
        <v>0</v>
      </c>
      <c r="J12" s="36" t="s">
        <v>17</v>
      </c>
      <c r="K12" s="36" t="s">
        <v>7909</v>
      </c>
      <c r="M12" s="36" t="s">
        <v>4777</v>
      </c>
    </row>
    <row r="13" spans="1:13" x14ac:dyDescent="0.25">
      <c r="A13" s="42">
        <f t="shared" si="0"/>
        <v>12</v>
      </c>
      <c r="B13" s="36" t="s">
        <v>4</v>
      </c>
      <c r="C13" s="36" t="s">
        <v>7908</v>
      </c>
      <c r="D13" s="9" t="s">
        <v>7871</v>
      </c>
      <c r="E13" s="9" t="s">
        <v>7905</v>
      </c>
      <c r="G13" s="36" t="s">
        <v>15</v>
      </c>
      <c r="H13" s="36">
        <f>IFERROR(VLOOKUP(Table2[[#This Row], [Ticket]],Okey!A:B,2,0),"")</f>
        <v>0</v>
      </c>
      <c r="J13" s="36" t="s">
        <v>17</v>
      </c>
      <c r="K13" s="36" t="s">
        <v>7909</v>
      </c>
      <c r="M13" s="36" t="s">
        <v>4777</v>
      </c>
    </row>
    <row r="14" spans="1:13" x14ac:dyDescent="0.25">
      <c r="A14" s="42">
        <f t="shared" si="0"/>
        <v>13</v>
      </c>
      <c r="B14" s="36" t="s">
        <v>4</v>
      </c>
      <c r="C14" s="36" t="s">
        <v>7908</v>
      </c>
      <c r="D14" s="9" t="s">
        <v>7878</v>
      </c>
      <c r="E14" s="9" t="s">
        <v>7905</v>
      </c>
      <c r="G14" s="36" t="s">
        <v>15</v>
      </c>
      <c r="H14" s="36">
        <f>IFERROR(VLOOKUP(Table2[[#This Row], [Ticket]],Okey!A:B,2,0),"")</f>
        <v>0</v>
      </c>
      <c r="J14" s="36" t="s">
        <v>17</v>
      </c>
      <c r="K14" s="36" t="s">
        <v>7909</v>
      </c>
      <c r="M14" s="36" t="s">
        <v>4777</v>
      </c>
    </row>
    <row r="15" spans="1:13" x14ac:dyDescent="0.25">
      <c r="A15" s="42">
        <f t="shared" si="0"/>
        <v>14</v>
      </c>
      <c r="B15" s="36" t="s">
        <v>4</v>
      </c>
      <c r="C15" s="36" t="s">
        <v>7908</v>
      </c>
      <c r="D15" s="9" t="s">
        <v>7872</v>
      </c>
      <c r="E15" s="9" t="s">
        <v>7905</v>
      </c>
      <c r="G15" s="36" t="s">
        <v>15</v>
      </c>
      <c r="H15" s="36">
        <f>IFERROR(VLOOKUP(Table2[[#This Row], [Ticket]],Okey!A:B,2,0),"")</f>
        <v>0</v>
      </c>
      <c r="J15" s="36" t="s">
        <v>17</v>
      </c>
      <c r="K15" s="36" t="s">
        <v>7909</v>
      </c>
      <c r="M15" s="36" t="s">
        <v>4777</v>
      </c>
    </row>
    <row r="16" spans="1:13" x14ac:dyDescent="0.25">
      <c r="A16" s="42">
        <f t="shared" si="0"/>
        <v>15</v>
      </c>
      <c r="B16" s="36" t="s">
        <v>4</v>
      </c>
      <c r="C16" s="36" t="s">
        <v>7908</v>
      </c>
      <c r="D16" s="9" t="s">
        <v>7873</v>
      </c>
      <c r="E16" s="9" t="s">
        <v>7905</v>
      </c>
      <c r="G16" s="36" t="s">
        <v>15</v>
      </c>
      <c r="H16" s="36">
        <f>IFERROR(VLOOKUP(Table2[[#This Row], [Ticket]],Okey!A:B,2,0),"")</f>
        <v>0</v>
      </c>
      <c r="J16" s="36" t="s">
        <v>17</v>
      </c>
      <c r="K16" s="36" t="s">
        <v>7909</v>
      </c>
      <c r="M16" s="36" t="s">
        <v>4777</v>
      </c>
    </row>
    <row r="17" spans="1:13" x14ac:dyDescent="0.25">
      <c r="A17" s="42">
        <f t="shared" si="0"/>
        <v>16</v>
      </c>
      <c r="B17" s="36" t="s">
        <v>4</v>
      </c>
      <c r="C17" s="36" t="s">
        <v>7908</v>
      </c>
      <c r="D17" s="9" t="s">
        <v>7874</v>
      </c>
      <c r="E17" s="9" t="s">
        <v>7905</v>
      </c>
      <c r="G17" s="36" t="s">
        <v>15</v>
      </c>
      <c r="H17" s="36">
        <f>IFERROR(VLOOKUP(Table2[[#This Row], [Ticket]],Okey!A:B,2,0),"")</f>
        <v>0</v>
      </c>
      <c r="J17" s="36" t="s">
        <v>17</v>
      </c>
      <c r="K17" s="36" t="s">
        <v>7909</v>
      </c>
      <c r="M17" s="36" t="s">
        <v>4777</v>
      </c>
    </row>
    <row r="18" spans="1:13" x14ac:dyDescent="0.25">
      <c r="A18" s="42">
        <f t="shared" si="0"/>
        <v>17</v>
      </c>
      <c r="B18" s="36" t="s">
        <v>4</v>
      </c>
      <c r="C18" s="36" t="s">
        <v>7908</v>
      </c>
      <c r="D18" s="9" t="s">
        <v>7875</v>
      </c>
      <c r="E18" s="9" t="s">
        <v>7905</v>
      </c>
      <c r="G18" s="36" t="s">
        <v>15</v>
      </c>
      <c r="H18" s="36">
        <f>IFERROR(VLOOKUP(Table2[[#This Row], [Ticket]],Okey!A:B,2,0),"")</f>
        <v>0</v>
      </c>
      <c r="J18" s="36" t="s">
        <v>17</v>
      </c>
      <c r="K18" s="36" t="s">
        <v>7909</v>
      </c>
      <c r="M18" s="36" t="s">
        <v>4777</v>
      </c>
    </row>
    <row r="19" spans="1:13" x14ac:dyDescent="0.25">
      <c r="A19" s="42">
        <f t="shared" si="0"/>
        <v>18</v>
      </c>
      <c r="B19" s="36" t="s">
        <v>4</v>
      </c>
      <c r="C19" s="36" t="s">
        <v>7908</v>
      </c>
      <c r="D19" s="9" t="s">
        <v>7876</v>
      </c>
      <c r="E19" s="9" t="s">
        <v>7905</v>
      </c>
      <c r="G19" s="36" t="s">
        <v>15</v>
      </c>
      <c r="H19" s="36">
        <f>IFERROR(VLOOKUP(Table2[[#This Row], [Ticket]],Okey!A:B,2,0),"")</f>
        <v>0</v>
      </c>
      <c r="J19" s="36" t="s">
        <v>17</v>
      </c>
      <c r="K19" s="36" t="s">
        <v>7909</v>
      </c>
      <c r="M19" s="36" t="s">
        <v>4777</v>
      </c>
    </row>
    <row r="20" spans="1:13" x14ac:dyDescent="0.25">
      <c r="A20" s="42">
        <f t="shared" ref="A20:A53" si="1">1+A19</f>
        <v>19</v>
      </c>
      <c r="B20" s="36" t="s">
        <v>4</v>
      </c>
      <c r="C20" s="36" t="s">
        <v>7908</v>
      </c>
      <c r="D20" s="9" t="s">
        <v>7877</v>
      </c>
      <c r="E20" s="9" t="s">
        <v>7905</v>
      </c>
      <c r="G20" s="36" t="s">
        <v>15</v>
      </c>
      <c r="H20" s="36">
        <f>IFERROR(VLOOKUP(Table2[[#This Row], [Ticket]],Okey!A:B,2,0),"")</f>
        <v>0</v>
      </c>
      <c r="J20" s="36" t="s">
        <v>17</v>
      </c>
      <c r="K20" s="36" t="s">
        <v>7909</v>
      </c>
      <c r="M20" s="36" t="s">
        <v>4777</v>
      </c>
    </row>
    <row r="21" spans="1:13" x14ac:dyDescent="0.25">
      <c r="A21" s="42">
        <f t="shared" si="1"/>
        <v>20</v>
      </c>
      <c r="B21" s="36" t="s">
        <v>4</v>
      </c>
      <c r="C21" s="9" t="s">
        <v>7911</v>
      </c>
      <c r="D21" s="9" t="s">
        <v>7912</v>
      </c>
      <c r="F21" s="66" t="s">
        <v>6112</v>
      </c>
      <c r="G21" s="9" t="s">
        <v>13</v>
      </c>
      <c r="H21" s="36" t="str">
        <f>IFERROR(VLOOKUP(Table2[[#This Row], [Ticket]],Okey!A:B,2,0),"")</f>
        <v/>
      </c>
      <c r="I21" s="9" t="s">
        <v>7923</v>
      </c>
      <c r="J21" s="36" t="s">
        <v>17</v>
      </c>
      <c r="K21" s="36" t="s">
        <v>7909</v>
      </c>
      <c r="M21" s="9" t="s">
        <v>4782</v>
      </c>
    </row>
    <row r="22" spans="1:13" x14ac:dyDescent="0.25">
      <c r="A22" s="42">
        <f t="shared" si="1"/>
        <v>21</v>
      </c>
      <c r="B22" s="36" t="s">
        <v>4</v>
      </c>
      <c r="C22" s="9" t="s">
        <v>7913</v>
      </c>
      <c r="D22" s="36" t="s">
        <v>7920</v>
      </c>
      <c r="E22" s="36" t="s">
        <v>7914</v>
      </c>
      <c r="F22" s="9" t="s">
        <v>7915</v>
      </c>
      <c r="G22" s="9" t="s">
        <v>14</v>
      </c>
      <c r="H22" s="36" t="str">
        <f>IFERROR(VLOOKUP(Table2[[#This Row], [Ticket]],Okey!A:B,2,0),"")</f>
        <v/>
      </c>
      <c r="I22" s="9" t="s">
        <v>6455</v>
      </c>
      <c r="J22" s="36" t="s">
        <v>17</v>
      </c>
      <c r="K22" s="36" t="s">
        <v>7909</v>
      </c>
      <c r="M22" s="36" t="s">
        <v>4782</v>
      </c>
    </row>
    <row r="23" spans="1:13" x14ac:dyDescent="0.25">
      <c r="A23" s="42">
        <f t="shared" si="1"/>
        <v>22</v>
      </c>
      <c r="B23" s="36" t="s">
        <v>4</v>
      </c>
      <c r="C23" s="36" t="s">
        <v>7913</v>
      </c>
      <c r="D23" s="36" t="s">
        <v>7921</v>
      </c>
      <c r="E23" s="36" t="s">
        <v>7916</v>
      </c>
      <c r="F23" s="9" t="s">
        <v>7918</v>
      </c>
      <c r="G23" s="36" t="s">
        <v>14</v>
      </c>
      <c r="H23" s="36" t="str">
        <f>IFERROR(VLOOKUP(Table2[[#This Row], [Ticket]],Okey!A:B,2,0),"")</f>
        <v/>
      </c>
      <c r="I23" s="36" t="s">
        <v>6455</v>
      </c>
      <c r="J23" s="36" t="s">
        <v>17</v>
      </c>
      <c r="K23" s="36" t="s">
        <v>7909</v>
      </c>
      <c r="M23" s="36" t="s">
        <v>4782</v>
      </c>
    </row>
    <row r="24" spans="1:13" x14ac:dyDescent="0.25">
      <c r="A24" s="42">
        <f t="shared" si="1"/>
        <v>23</v>
      </c>
      <c r="B24" s="36" t="s">
        <v>4</v>
      </c>
      <c r="C24" s="36" t="s">
        <v>7913</v>
      </c>
      <c r="D24" s="36" t="s">
        <v>7922</v>
      </c>
      <c r="E24" s="36" t="s">
        <v>7917</v>
      </c>
      <c r="F24" s="9" t="s">
        <v>7918</v>
      </c>
      <c r="G24" s="36" t="s">
        <v>14</v>
      </c>
      <c r="H24" s="36" t="str">
        <f>IFERROR(VLOOKUP(Table2[[#This Row], [Ticket]],Okey!A:B,2,0),"")</f>
        <v/>
      </c>
      <c r="I24" s="36" t="s">
        <v>6455</v>
      </c>
      <c r="J24" s="36" t="s">
        <v>17</v>
      </c>
      <c r="K24" s="36" t="s">
        <v>7909</v>
      </c>
      <c r="M24" s="36" t="s">
        <v>4782</v>
      </c>
    </row>
    <row r="25" spans="1:13" x14ac:dyDescent="0.25">
      <c r="A25" s="42">
        <f t="shared" si="1"/>
        <v>24</v>
      </c>
      <c r="B25" s="36" t="s">
        <v>4</v>
      </c>
      <c r="C25" s="36" t="s">
        <v>7913</v>
      </c>
      <c r="D25" s="9" t="s">
        <v>7912</v>
      </c>
      <c r="F25" s="9" t="s">
        <v>6112</v>
      </c>
      <c r="G25" s="36" t="s">
        <v>13</v>
      </c>
      <c r="H25" s="36" t="str">
        <f>IFERROR(VLOOKUP(Table2[[#This Row], [Ticket]],Okey!A:B,2,0),"")</f>
        <v/>
      </c>
      <c r="I25" s="36" t="s">
        <v>7923</v>
      </c>
      <c r="J25" s="36" t="s">
        <v>17</v>
      </c>
      <c r="K25" s="36" t="s">
        <v>7909</v>
      </c>
      <c r="M25" s="36" t="s">
        <v>4782</v>
      </c>
    </row>
    <row r="26" spans="1:13" x14ac:dyDescent="0.25">
      <c r="A26" s="42">
        <f t="shared" si="1"/>
        <v>25</v>
      </c>
      <c r="B26" s="36" t="s">
        <v>4</v>
      </c>
      <c r="C26" s="9" t="s">
        <v>7950</v>
      </c>
      <c r="D26" s="9" t="s">
        <v>7954</v>
      </c>
      <c r="E26" s="9" t="s">
        <v>7924</v>
      </c>
      <c r="F26" s="9" t="s">
        <v>1125</v>
      </c>
      <c r="G26" s="36" t="s">
        <v>14</v>
      </c>
      <c r="H26" s="36" t="str">
        <f>IFERROR(VLOOKUP(Table2[[#This Row], [Ticket]],Okey!A:B,2,0),"")</f>
        <v/>
      </c>
      <c r="J26" s="36" t="s">
        <v>19</v>
      </c>
      <c r="K26" s="36" t="s">
        <v>7909</v>
      </c>
      <c r="M26" s="9" t="s">
        <v>7949</v>
      </c>
    </row>
    <row r="27" spans="1:13" x14ac:dyDescent="0.25">
      <c r="A27" s="42">
        <f t="shared" si="1"/>
        <v>26</v>
      </c>
      <c r="B27" s="36" t="s">
        <v>4</v>
      </c>
      <c r="C27" s="36" t="s">
        <v>7950</v>
      </c>
      <c r="D27" s="9" t="s">
        <v>7956</v>
      </c>
      <c r="E27" s="9" t="s">
        <v>7925</v>
      </c>
      <c r="F27" s="9" t="s">
        <v>7954</v>
      </c>
      <c r="G27" s="36" t="s">
        <v>14</v>
      </c>
      <c r="H27" s="36" t="str">
        <f>IFERROR(VLOOKUP(Table2[[#This Row], [Ticket]],Okey!A:B,2,0),"")</f>
        <v/>
      </c>
      <c r="J27" s="36" t="s">
        <v>19</v>
      </c>
      <c r="K27" s="36" t="s">
        <v>7909</v>
      </c>
      <c r="M27" s="36" t="s">
        <v>7949</v>
      </c>
    </row>
    <row r="28" spans="1:13" x14ac:dyDescent="0.25">
      <c r="A28" s="42">
        <f t="shared" si="1"/>
        <v>27</v>
      </c>
      <c r="B28" s="36" t="s">
        <v>4</v>
      </c>
      <c r="C28" s="36" t="s">
        <v>7950</v>
      </c>
      <c r="D28" s="9" t="s">
        <v>7957</v>
      </c>
      <c r="E28" s="9" t="s">
        <v>7926</v>
      </c>
      <c r="F28" s="9" t="s">
        <v>7954</v>
      </c>
      <c r="G28" s="36" t="s">
        <v>14</v>
      </c>
      <c r="H28" s="36" t="str">
        <f>IFERROR(VLOOKUP(Table2[[#This Row], [Ticket]],Okey!A:B,2,0),"")</f>
        <v/>
      </c>
      <c r="J28" s="36" t="s">
        <v>19</v>
      </c>
      <c r="K28" s="36" t="s">
        <v>7909</v>
      </c>
      <c r="M28" s="36" t="s">
        <v>7949</v>
      </c>
    </row>
    <row r="29" spans="1:13" x14ac:dyDescent="0.25">
      <c r="A29" s="42">
        <f t="shared" si="1"/>
        <v>28</v>
      </c>
      <c r="B29" s="36" t="s">
        <v>4</v>
      </c>
      <c r="C29" s="36" t="s">
        <v>7950</v>
      </c>
      <c r="D29" s="9" t="s">
        <v>7958</v>
      </c>
      <c r="E29" s="9" t="s">
        <v>7928</v>
      </c>
      <c r="F29" s="9" t="s">
        <v>7954</v>
      </c>
      <c r="G29" s="36" t="s">
        <v>14</v>
      </c>
      <c r="H29" s="36" t="str">
        <f>IFERROR(VLOOKUP(Table2[[#This Row], [Ticket]],Okey!A:B,2,0),"")</f>
        <v/>
      </c>
      <c r="J29" s="36" t="s">
        <v>19</v>
      </c>
      <c r="K29" s="36" t="s">
        <v>7909</v>
      </c>
      <c r="M29" s="36" t="s">
        <v>7949</v>
      </c>
    </row>
    <row r="30" spans="1:13" x14ac:dyDescent="0.25">
      <c r="A30" s="42">
        <f t="shared" si="1"/>
        <v>29</v>
      </c>
      <c r="B30" s="36" t="s">
        <v>4</v>
      </c>
      <c r="C30" s="36" t="s">
        <v>7950</v>
      </c>
      <c r="D30" s="9" t="s">
        <v>7959</v>
      </c>
      <c r="E30" s="9" t="s">
        <v>7929</v>
      </c>
      <c r="F30" s="9" t="s">
        <v>7954</v>
      </c>
      <c r="G30" s="36" t="s">
        <v>14</v>
      </c>
      <c r="H30" s="36" t="str">
        <f>IFERROR(VLOOKUP(Table2[[#This Row], [Ticket]],Okey!A:B,2,0),"")</f>
        <v/>
      </c>
      <c r="J30" s="36" t="s">
        <v>19</v>
      </c>
      <c r="K30" s="36" t="s">
        <v>7909</v>
      </c>
      <c r="M30" s="36" t="s">
        <v>7949</v>
      </c>
    </row>
    <row r="31" spans="1:13" x14ac:dyDescent="0.25">
      <c r="A31" s="42">
        <f t="shared" si="1"/>
        <v>30</v>
      </c>
      <c r="B31" s="36" t="s">
        <v>4</v>
      </c>
      <c r="C31" s="36" t="s">
        <v>7950</v>
      </c>
      <c r="D31" s="9" t="s">
        <v>7960</v>
      </c>
      <c r="E31" s="9" t="s">
        <v>7930</v>
      </c>
      <c r="F31" s="9" t="s">
        <v>7954</v>
      </c>
      <c r="G31" s="36" t="s">
        <v>14</v>
      </c>
      <c r="H31" s="36" t="str">
        <f>IFERROR(VLOOKUP(Table2[[#This Row], [Ticket]],Okey!A:B,2,0),"")</f>
        <v/>
      </c>
      <c r="J31" s="36" t="s">
        <v>19</v>
      </c>
      <c r="K31" s="36" t="s">
        <v>7909</v>
      </c>
      <c r="M31" s="36" t="s">
        <v>7949</v>
      </c>
    </row>
    <row r="32" spans="1:13" x14ac:dyDescent="0.25">
      <c r="A32" s="42">
        <f t="shared" si="1"/>
        <v>31</v>
      </c>
      <c r="B32" s="36" t="s">
        <v>4</v>
      </c>
      <c r="C32" s="36" t="s">
        <v>7950</v>
      </c>
      <c r="D32" s="9" t="s">
        <v>7961</v>
      </c>
      <c r="E32" s="9" t="s">
        <v>7932</v>
      </c>
      <c r="F32" s="9" t="s">
        <v>7956</v>
      </c>
      <c r="G32" s="36" t="s">
        <v>14</v>
      </c>
      <c r="H32" s="36" t="str">
        <f>IFERROR(VLOOKUP(Table2[[#This Row], [Ticket]],Okey!A:B,2,0),"")</f>
        <v/>
      </c>
      <c r="J32" s="36" t="s">
        <v>19</v>
      </c>
      <c r="K32" s="36" t="s">
        <v>7909</v>
      </c>
      <c r="M32" s="36" t="s">
        <v>7949</v>
      </c>
    </row>
    <row r="33" spans="1:13" x14ac:dyDescent="0.25">
      <c r="A33" s="42">
        <f t="shared" si="1"/>
        <v>32</v>
      </c>
      <c r="B33" s="36" t="s">
        <v>4</v>
      </c>
      <c r="C33" s="36" t="s">
        <v>7950</v>
      </c>
      <c r="D33" s="9" t="s">
        <v>7962</v>
      </c>
      <c r="E33" s="9" t="s">
        <v>7934</v>
      </c>
      <c r="F33" s="9" t="s">
        <v>7956</v>
      </c>
      <c r="G33" s="36" t="s">
        <v>14</v>
      </c>
      <c r="H33" s="36" t="str">
        <f>IFERROR(VLOOKUP(Table2[[#This Row], [Ticket]],Okey!A:B,2,0),"")</f>
        <v/>
      </c>
      <c r="J33" s="36" t="s">
        <v>19</v>
      </c>
      <c r="K33" s="36" t="s">
        <v>7909</v>
      </c>
      <c r="M33" s="36" t="s">
        <v>7949</v>
      </c>
    </row>
    <row r="34" spans="1:13" x14ac:dyDescent="0.25">
      <c r="A34" s="42">
        <f t="shared" si="1"/>
        <v>33</v>
      </c>
      <c r="B34" s="36" t="s">
        <v>4</v>
      </c>
      <c r="C34" s="36" t="s">
        <v>7950</v>
      </c>
      <c r="D34" s="9" t="s">
        <v>7963</v>
      </c>
      <c r="E34" s="9" t="s">
        <v>7935</v>
      </c>
      <c r="F34" s="9" t="s">
        <v>7957</v>
      </c>
      <c r="G34" s="36" t="s">
        <v>14</v>
      </c>
      <c r="H34" s="36" t="str">
        <f>IFERROR(VLOOKUP(Table2[[#This Row], [Ticket]],Okey!A:B,2,0),"")</f>
        <v/>
      </c>
      <c r="J34" s="36" t="s">
        <v>19</v>
      </c>
      <c r="K34" s="36" t="s">
        <v>7909</v>
      </c>
      <c r="M34" s="36" t="s">
        <v>7949</v>
      </c>
    </row>
    <row r="35" spans="1:13" x14ac:dyDescent="0.25">
      <c r="A35" s="42">
        <f t="shared" si="1"/>
        <v>34</v>
      </c>
      <c r="B35" s="36" t="s">
        <v>4</v>
      </c>
      <c r="C35" s="36" t="s">
        <v>7950</v>
      </c>
      <c r="D35" s="9" t="s">
        <v>7964</v>
      </c>
      <c r="E35" s="9" t="s">
        <v>7936</v>
      </c>
      <c r="F35" s="9" t="s">
        <v>7957</v>
      </c>
      <c r="G35" s="36" t="s">
        <v>14</v>
      </c>
      <c r="H35" s="36" t="str">
        <f>IFERROR(VLOOKUP(Table2[[#This Row], [Ticket]],Okey!A:B,2,0),"")</f>
        <v/>
      </c>
      <c r="J35" s="36" t="s">
        <v>19</v>
      </c>
      <c r="K35" s="36" t="s">
        <v>7909</v>
      </c>
      <c r="M35" s="36" t="s">
        <v>7949</v>
      </c>
    </row>
    <row r="36" spans="1:13" x14ac:dyDescent="0.25">
      <c r="A36" s="42">
        <f t="shared" si="1"/>
        <v>35</v>
      </c>
      <c r="B36" s="36" t="s">
        <v>4</v>
      </c>
      <c r="C36" s="36" t="s">
        <v>7950</v>
      </c>
      <c r="D36" s="9" t="s">
        <v>7965</v>
      </c>
      <c r="E36" s="9" t="s">
        <v>7937</v>
      </c>
      <c r="F36" s="9" t="s">
        <v>7957</v>
      </c>
      <c r="G36" s="36" t="s">
        <v>14</v>
      </c>
      <c r="H36" s="36" t="str">
        <f>IFERROR(VLOOKUP(Table2[[#This Row], [Ticket]],Okey!A:B,2,0),"")</f>
        <v/>
      </c>
      <c r="J36" s="36" t="s">
        <v>19</v>
      </c>
      <c r="K36" s="36" t="s">
        <v>7909</v>
      </c>
      <c r="M36" s="36" t="s">
        <v>7949</v>
      </c>
    </row>
    <row r="37" spans="1:13" x14ac:dyDescent="0.25">
      <c r="A37" s="42">
        <f t="shared" si="1"/>
        <v>36</v>
      </c>
      <c r="B37" s="36" t="s">
        <v>4</v>
      </c>
      <c r="C37" s="36" t="s">
        <v>7950</v>
      </c>
      <c r="D37" s="9" t="s">
        <v>7966</v>
      </c>
      <c r="E37" s="9" t="s">
        <v>7938</v>
      </c>
      <c r="F37" s="9" t="s">
        <v>7958</v>
      </c>
      <c r="G37" s="36" t="s">
        <v>14</v>
      </c>
      <c r="H37" s="36" t="str">
        <f>IFERROR(VLOOKUP(Table2[[#This Row], [Ticket]],Okey!A:B,2,0),"")</f>
        <v/>
      </c>
      <c r="J37" s="36" t="s">
        <v>19</v>
      </c>
      <c r="K37" s="36" t="s">
        <v>7909</v>
      </c>
      <c r="M37" s="36" t="s">
        <v>7949</v>
      </c>
    </row>
    <row r="38" spans="1:13" x14ac:dyDescent="0.25">
      <c r="A38" s="42">
        <f t="shared" si="1"/>
        <v>37</v>
      </c>
      <c r="B38" s="36" t="s">
        <v>4</v>
      </c>
      <c r="C38" s="36" t="s">
        <v>7950</v>
      </c>
      <c r="D38" s="9" t="s">
        <v>7967</v>
      </c>
      <c r="E38" s="9" t="s">
        <v>7939</v>
      </c>
      <c r="F38" s="9" t="s">
        <v>7958</v>
      </c>
      <c r="G38" s="36" t="s">
        <v>14</v>
      </c>
      <c r="H38" s="36" t="str">
        <f>IFERROR(VLOOKUP(Table2[[#This Row], [Ticket]],Okey!A:B,2,0),"")</f>
        <v/>
      </c>
      <c r="J38" s="36" t="s">
        <v>19</v>
      </c>
      <c r="K38" s="36" t="s">
        <v>7909</v>
      </c>
      <c r="M38" s="36" t="s">
        <v>7949</v>
      </c>
    </row>
    <row r="39" spans="1:13" x14ac:dyDescent="0.25">
      <c r="A39" s="42">
        <f t="shared" si="1"/>
        <v>38</v>
      </c>
      <c r="B39" s="36" t="s">
        <v>4</v>
      </c>
      <c r="C39" s="36" t="s">
        <v>7950</v>
      </c>
      <c r="D39" s="9" t="s">
        <v>7968</v>
      </c>
      <c r="E39" s="9" t="s">
        <v>7940</v>
      </c>
      <c r="F39" s="9" t="s">
        <v>7958</v>
      </c>
      <c r="G39" s="36" t="s">
        <v>14</v>
      </c>
      <c r="H39" s="36" t="str">
        <f>IFERROR(VLOOKUP(Table2[[#This Row], [Ticket]],Okey!A:B,2,0),"")</f>
        <v/>
      </c>
      <c r="J39" s="36" t="s">
        <v>19</v>
      </c>
      <c r="K39" s="36" t="s">
        <v>7909</v>
      </c>
      <c r="M39" s="36" t="s">
        <v>7949</v>
      </c>
    </row>
    <row r="40" spans="1:13" x14ac:dyDescent="0.25">
      <c r="A40" s="42">
        <f t="shared" si="1"/>
        <v>39</v>
      </c>
      <c r="B40" s="36" t="s">
        <v>4</v>
      </c>
      <c r="C40" s="36" t="s">
        <v>7950</v>
      </c>
      <c r="D40" s="9" t="s">
        <v>7969</v>
      </c>
      <c r="E40" s="9" t="s">
        <v>7941</v>
      </c>
      <c r="F40" s="9" t="s">
        <v>7958</v>
      </c>
      <c r="G40" s="36" t="s">
        <v>14</v>
      </c>
      <c r="H40" s="36" t="str">
        <f>IFERROR(VLOOKUP(Table2[[#This Row], [Ticket]],Okey!A:B,2,0),"")</f>
        <v/>
      </c>
      <c r="J40" s="36" t="s">
        <v>19</v>
      </c>
      <c r="K40" s="36" t="s">
        <v>7909</v>
      </c>
      <c r="M40" s="36" t="s">
        <v>7949</v>
      </c>
    </row>
    <row r="41" spans="1:13" x14ac:dyDescent="0.25">
      <c r="A41" s="42">
        <f t="shared" si="1"/>
        <v>40</v>
      </c>
      <c r="B41" s="36" t="s">
        <v>4</v>
      </c>
      <c r="C41" s="36" t="s">
        <v>7950</v>
      </c>
      <c r="D41" s="9" t="s">
        <v>7970</v>
      </c>
      <c r="E41" s="9" t="s">
        <v>7942</v>
      </c>
      <c r="F41" s="9" t="s">
        <v>7961</v>
      </c>
      <c r="G41" s="36" t="s">
        <v>14</v>
      </c>
      <c r="H41" s="36" t="str">
        <f>IFERROR(VLOOKUP(Table2[[#This Row], [Ticket]],Okey!A:B,2,0),"")</f>
        <v/>
      </c>
      <c r="J41" s="36" t="s">
        <v>19</v>
      </c>
      <c r="K41" s="36" t="s">
        <v>7909</v>
      </c>
      <c r="M41" s="36" t="s">
        <v>7949</v>
      </c>
    </row>
    <row r="42" spans="1:13" x14ac:dyDescent="0.25">
      <c r="A42" s="42">
        <f t="shared" si="1"/>
        <v>41</v>
      </c>
      <c r="B42" s="36" t="s">
        <v>4</v>
      </c>
      <c r="C42" s="36" t="s">
        <v>7950</v>
      </c>
      <c r="D42" s="9" t="s">
        <v>7971</v>
      </c>
      <c r="E42" s="9" t="s">
        <v>7943</v>
      </c>
      <c r="F42" s="9" t="s">
        <v>7962</v>
      </c>
      <c r="G42" s="36" t="s">
        <v>14</v>
      </c>
      <c r="H42" s="36" t="str">
        <f>IFERROR(VLOOKUP(Table2[[#This Row], [Ticket]],Okey!A:B,2,0),"")</f>
        <v/>
      </c>
      <c r="J42" s="36" t="s">
        <v>19</v>
      </c>
      <c r="K42" s="36" t="s">
        <v>7909</v>
      </c>
      <c r="M42" s="36" t="s">
        <v>7949</v>
      </c>
    </row>
    <row r="43" spans="1:13" x14ac:dyDescent="0.25">
      <c r="A43" s="42">
        <f t="shared" si="1"/>
        <v>42</v>
      </c>
      <c r="B43" s="36" t="s">
        <v>4</v>
      </c>
      <c r="C43" s="36" t="s">
        <v>7950</v>
      </c>
      <c r="D43" s="9" t="s">
        <v>7972</v>
      </c>
      <c r="E43" s="9" t="s">
        <v>7944</v>
      </c>
      <c r="F43" s="9" t="s">
        <v>7961</v>
      </c>
      <c r="G43" s="36" t="s">
        <v>14</v>
      </c>
      <c r="H43" s="36" t="str">
        <f>IFERROR(VLOOKUP(Table2[[#This Row], [Ticket]],Okey!A:B,2,0),"")</f>
        <v/>
      </c>
      <c r="J43" s="36" t="s">
        <v>19</v>
      </c>
      <c r="K43" s="36" t="s">
        <v>7909</v>
      </c>
      <c r="M43" s="36" t="s">
        <v>7949</v>
      </c>
    </row>
    <row r="44" spans="1:13" x14ac:dyDescent="0.25">
      <c r="A44" s="42">
        <f t="shared" si="1"/>
        <v>43</v>
      </c>
      <c r="B44" s="36" t="s">
        <v>4</v>
      </c>
      <c r="C44" s="36" t="s">
        <v>7950</v>
      </c>
      <c r="D44" s="9" t="s">
        <v>7973</v>
      </c>
      <c r="E44" s="9" t="s">
        <v>7945</v>
      </c>
      <c r="F44" s="9" t="s">
        <v>7961</v>
      </c>
      <c r="G44" s="36" t="s">
        <v>14</v>
      </c>
      <c r="H44" s="36" t="str">
        <f>IFERROR(VLOOKUP(Table2[[#This Row], [Ticket]],Okey!A:B,2,0),"")</f>
        <v/>
      </c>
      <c r="J44" s="36" t="s">
        <v>19</v>
      </c>
      <c r="K44" s="36" t="s">
        <v>7909</v>
      </c>
      <c r="M44" s="36" t="s">
        <v>7949</v>
      </c>
    </row>
    <row r="45" spans="1:13" x14ac:dyDescent="0.25">
      <c r="A45" s="42">
        <f t="shared" si="1"/>
        <v>44</v>
      </c>
      <c r="B45" s="36" t="s">
        <v>4</v>
      </c>
      <c r="C45" s="36" t="s">
        <v>7950</v>
      </c>
      <c r="D45" s="9" t="s">
        <v>7974</v>
      </c>
      <c r="E45" s="9" t="s">
        <v>7946</v>
      </c>
      <c r="F45" s="9" t="s">
        <v>7961</v>
      </c>
      <c r="G45" s="36" t="s">
        <v>14</v>
      </c>
      <c r="H45" s="36" t="str">
        <f>IFERROR(VLOOKUP(Table2[[#This Row], [Ticket]],Okey!A:B,2,0),"")</f>
        <v/>
      </c>
      <c r="J45" s="36" t="s">
        <v>19</v>
      </c>
      <c r="K45" s="36" t="s">
        <v>7909</v>
      </c>
      <c r="M45" s="36" t="s">
        <v>7949</v>
      </c>
    </row>
    <row r="46" spans="1:13" x14ac:dyDescent="0.25">
      <c r="A46" s="42">
        <f t="shared" si="1"/>
        <v>45</v>
      </c>
      <c r="B46" s="36" t="s">
        <v>4</v>
      </c>
      <c r="C46" s="36" t="s">
        <v>7950</v>
      </c>
      <c r="D46" s="9" t="s">
        <v>7975</v>
      </c>
      <c r="E46" s="9" t="s">
        <v>7947</v>
      </c>
      <c r="F46" s="9" t="s">
        <v>7961</v>
      </c>
      <c r="G46" s="36" t="s">
        <v>14</v>
      </c>
      <c r="H46" s="36" t="str">
        <f>IFERROR(VLOOKUP(Table2[[#This Row], [Ticket]],Okey!A:B,2,0),"")</f>
        <v/>
      </c>
      <c r="J46" s="36" t="s">
        <v>19</v>
      </c>
      <c r="K46" s="36" t="s">
        <v>7909</v>
      </c>
      <c r="M46" s="36" t="s">
        <v>7949</v>
      </c>
    </row>
    <row r="47" spans="1:13" x14ac:dyDescent="0.25">
      <c r="A47" s="42">
        <f t="shared" si="1"/>
        <v>46</v>
      </c>
      <c r="B47" s="36" t="s">
        <v>4</v>
      </c>
      <c r="C47" s="36" t="s">
        <v>7950</v>
      </c>
      <c r="D47" s="9" t="s">
        <v>7976</v>
      </c>
      <c r="E47" s="9" t="s">
        <v>7944</v>
      </c>
      <c r="F47" s="9" t="s">
        <v>7962</v>
      </c>
      <c r="G47" s="36" t="s">
        <v>14</v>
      </c>
      <c r="H47" s="36" t="str">
        <f>IFERROR(VLOOKUP(Table2[[#This Row], [Ticket]],Okey!A:B,2,0),"")</f>
        <v/>
      </c>
      <c r="J47" s="36" t="s">
        <v>19</v>
      </c>
      <c r="K47" s="36" t="s">
        <v>7909</v>
      </c>
      <c r="M47" s="36" t="s">
        <v>7949</v>
      </c>
    </row>
    <row r="48" spans="1:13" x14ac:dyDescent="0.25">
      <c r="A48" s="42">
        <f t="shared" si="1"/>
        <v>47</v>
      </c>
      <c r="B48" s="36" t="s">
        <v>4</v>
      </c>
      <c r="C48" s="36" t="s">
        <v>7950</v>
      </c>
      <c r="D48" s="9" t="s">
        <v>7977</v>
      </c>
      <c r="E48" s="9" t="s">
        <v>7945</v>
      </c>
      <c r="F48" s="9" t="s">
        <v>7962</v>
      </c>
      <c r="G48" s="36" t="s">
        <v>14</v>
      </c>
      <c r="H48" s="36" t="str">
        <f>IFERROR(VLOOKUP(Table2[[#This Row], [Ticket]],Okey!A:B,2,0),"")</f>
        <v/>
      </c>
      <c r="J48" s="36" t="s">
        <v>19</v>
      </c>
      <c r="K48" s="36" t="s">
        <v>7909</v>
      </c>
      <c r="M48" s="36" t="s">
        <v>7949</v>
      </c>
    </row>
    <row r="49" spans="1:13" x14ac:dyDescent="0.25">
      <c r="A49" s="42">
        <f t="shared" si="1"/>
        <v>48</v>
      </c>
      <c r="B49" s="36" t="s">
        <v>4</v>
      </c>
      <c r="C49" s="36" t="s">
        <v>7950</v>
      </c>
      <c r="D49" s="9" t="s">
        <v>7978</v>
      </c>
      <c r="E49" s="9" t="s">
        <v>7946</v>
      </c>
      <c r="F49" s="9" t="s">
        <v>7962</v>
      </c>
      <c r="G49" s="36" t="s">
        <v>14</v>
      </c>
      <c r="H49" s="36" t="str">
        <f>IFERROR(VLOOKUP(Table2[[#This Row], [Ticket]],Okey!A:B,2,0),"")</f>
        <v/>
      </c>
      <c r="J49" s="36" t="s">
        <v>19</v>
      </c>
      <c r="K49" s="36" t="s">
        <v>7909</v>
      </c>
      <c r="M49" s="36" t="s">
        <v>7949</v>
      </c>
    </row>
    <row r="50" spans="1:13" x14ac:dyDescent="0.25">
      <c r="A50" s="42">
        <f t="shared" si="1"/>
        <v>49</v>
      </c>
      <c r="B50" s="36" t="s">
        <v>4</v>
      </c>
      <c r="C50" s="36" t="s">
        <v>7950</v>
      </c>
      <c r="D50" s="9" t="s">
        <v>7979</v>
      </c>
      <c r="E50" s="9" t="s">
        <v>7947</v>
      </c>
      <c r="F50" s="9" t="s">
        <v>7962</v>
      </c>
      <c r="G50" s="36" t="s">
        <v>14</v>
      </c>
      <c r="H50" s="36" t="str">
        <f>IFERROR(VLOOKUP(Table2[[#This Row], [Ticket]],Okey!A:B,2,0),"")</f>
        <v/>
      </c>
      <c r="J50" s="36" t="s">
        <v>19</v>
      </c>
      <c r="K50" s="36" t="s">
        <v>7909</v>
      </c>
      <c r="M50" s="36" t="s">
        <v>7949</v>
      </c>
    </row>
    <row r="51" spans="1:13" x14ac:dyDescent="0.25">
      <c r="A51" s="42">
        <f t="shared" si="1"/>
        <v>50</v>
      </c>
      <c r="B51" s="36" t="s">
        <v>4</v>
      </c>
      <c r="C51" s="36" t="s">
        <v>7950</v>
      </c>
      <c r="D51" s="9" t="s">
        <v>7980</v>
      </c>
      <c r="E51" s="9" t="s">
        <v>7948</v>
      </c>
      <c r="F51" s="9" t="s">
        <v>1125</v>
      </c>
      <c r="G51" s="36" t="s">
        <v>14</v>
      </c>
      <c r="H51" s="36" t="str">
        <f>IFERROR(VLOOKUP(Table2[[#This Row], [Ticket]],Okey!A:B,2,0),"")</f>
        <v/>
      </c>
      <c r="J51" s="36" t="s">
        <v>19</v>
      </c>
      <c r="K51" s="36" t="s">
        <v>7909</v>
      </c>
      <c r="M51" s="36" t="s">
        <v>7949</v>
      </c>
    </row>
    <row r="52" spans="1:13" x14ac:dyDescent="0.25">
      <c r="A52" s="42">
        <f t="shared" si="1"/>
        <v>51</v>
      </c>
      <c r="B52" s="36" t="s">
        <v>4</v>
      </c>
      <c r="C52" s="9" t="s">
        <v>7953</v>
      </c>
      <c r="D52" s="36" t="s">
        <v>7981</v>
      </c>
      <c r="E52" s="9" t="s">
        <v>7951</v>
      </c>
      <c r="F52" s="9" t="s">
        <v>1534</v>
      </c>
      <c r="G52" s="36" t="s">
        <v>14</v>
      </c>
      <c r="H52" s="36" t="str">
        <f>IFERROR(VLOOKUP(Table2[[#This Row], [Ticket]],Okey!A:B,2,0),"")</f>
        <v/>
      </c>
      <c r="J52" s="36" t="s">
        <v>19</v>
      </c>
      <c r="K52" s="36" t="s">
        <v>7909</v>
      </c>
      <c r="M52" s="9" t="s">
        <v>6354</v>
      </c>
    </row>
    <row r="53" spans="1:13" x14ac:dyDescent="0.25">
      <c r="A53" s="42">
        <f t="shared" si="1"/>
        <v>52</v>
      </c>
      <c r="B53" s="36" t="s">
        <v>4</v>
      </c>
      <c r="C53" s="36" t="s">
        <v>7953</v>
      </c>
      <c r="D53" s="9" t="s">
        <v>7952</v>
      </c>
      <c r="E53" s="9" t="s">
        <v>7951</v>
      </c>
      <c r="F53" s="9" t="s">
        <v>7951</v>
      </c>
      <c r="G53" s="36" t="s">
        <v>14</v>
      </c>
      <c r="H53" s="36" t="str">
        <f>IFERROR(VLOOKUP(Table2[[#This Row], [Ticket]],Okey!A:B,2,0),"")</f>
        <v/>
      </c>
      <c r="J53" s="36" t="s">
        <v>19</v>
      </c>
      <c r="K53" s="36" t="s">
        <v>7909</v>
      </c>
      <c r="M53" s="9" t="s">
        <v>6354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D7D0F-EF2E-4984-96B8-325E87192E7F}">
  <dimension ref="A1:I26"/>
  <sheetViews>
    <sheetView workbookViewId="0">
      <selection activeCell="I26" sqref="I1:I26"/>
    </sheetView>
  </sheetViews>
  <sheetFormatPr defaultRowHeight="15" x14ac:dyDescent="0.25"/>
  <cols>
    <col min="1" max="1" width="11.28515625" bestFit="1" customWidth="1"/>
    <col min="2" max="2" width="40.28515625" bestFit="1" customWidth="1"/>
    <col min="3" max="3" width="40.28515625" customWidth="1"/>
    <col min="4" max="4" width="11.28515625" bestFit="1" customWidth="1"/>
    <col min="5" max="5" width="40.28515625" bestFit="1" customWidth="1"/>
  </cols>
  <sheetData>
    <row r="1" spans="1:9" x14ac:dyDescent="0.25">
      <c r="A1" t="s">
        <v>7954</v>
      </c>
      <c r="B1" t="s">
        <v>7924</v>
      </c>
      <c r="C1" t="str">
        <f>A1</f>
        <v>H000004866</v>
      </c>
      <c r="D1" t="s">
        <v>1125</v>
      </c>
      <c r="E1" t="e">
        <v>#N/A</v>
      </c>
      <c r="F1" s="47" t="s">
        <v>7955</v>
      </c>
      <c r="G1">
        <v>4866</v>
      </c>
      <c r="I1" t="s">
        <v>1125</v>
      </c>
    </row>
    <row r="2" spans="1:9" x14ac:dyDescent="0.25">
      <c r="A2" t="s">
        <v>7956</v>
      </c>
      <c r="B2" t="s">
        <v>7925</v>
      </c>
      <c r="C2" t="str">
        <f t="shared" ref="C2:C26" si="0">A2</f>
        <v>H000004867</v>
      </c>
      <c r="D2" t="s">
        <v>939</v>
      </c>
      <c r="E2" t="s">
        <v>7924</v>
      </c>
      <c r="F2" s="47" t="s">
        <v>7955</v>
      </c>
      <c r="G2">
        <f>+G1+1</f>
        <v>4867</v>
      </c>
      <c r="I2" t="str">
        <f>VLOOKUP(E2,B:C,2,0)</f>
        <v>H000004866</v>
      </c>
    </row>
    <row r="3" spans="1:9" x14ac:dyDescent="0.25">
      <c r="A3" t="s">
        <v>7957</v>
      </c>
      <c r="B3" t="s">
        <v>7926</v>
      </c>
      <c r="C3" t="str">
        <f t="shared" si="0"/>
        <v>H000004868</v>
      </c>
      <c r="D3" t="s">
        <v>939</v>
      </c>
      <c r="E3" t="s">
        <v>7924</v>
      </c>
      <c r="F3" s="47" t="s">
        <v>7955</v>
      </c>
      <c r="G3">
        <f t="shared" ref="G3:G26" si="1">+G2+1</f>
        <v>4868</v>
      </c>
      <c r="I3" t="str">
        <f t="shared" ref="I3:I25" si="2">VLOOKUP(E3,B:C,2,0)</f>
        <v>H000004866</v>
      </c>
    </row>
    <row r="4" spans="1:9" x14ac:dyDescent="0.25">
      <c r="A4" t="s">
        <v>7958</v>
      </c>
      <c r="B4" t="s">
        <v>7928</v>
      </c>
      <c r="C4" t="str">
        <f t="shared" si="0"/>
        <v>H000004869</v>
      </c>
      <c r="D4" t="s">
        <v>939</v>
      </c>
      <c r="E4" t="s">
        <v>7924</v>
      </c>
      <c r="F4" s="47" t="s">
        <v>7955</v>
      </c>
      <c r="G4">
        <f t="shared" si="1"/>
        <v>4869</v>
      </c>
      <c r="I4" t="str">
        <f t="shared" si="2"/>
        <v>H000004866</v>
      </c>
    </row>
    <row r="5" spans="1:9" x14ac:dyDescent="0.25">
      <c r="A5" t="s">
        <v>7959</v>
      </c>
      <c r="B5" t="s">
        <v>7929</v>
      </c>
      <c r="C5" t="str">
        <f t="shared" si="0"/>
        <v>H000004870</v>
      </c>
      <c r="D5" t="s">
        <v>939</v>
      </c>
      <c r="E5" t="s">
        <v>7924</v>
      </c>
      <c r="F5" s="47" t="s">
        <v>7955</v>
      </c>
      <c r="G5">
        <f t="shared" si="1"/>
        <v>4870</v>
      </c>
      <c r="I5" t="str">
        <f t="shared" si="2"/>
        <v>H000004866</v>
      </c>
    </row>
    <row r="6" spans="1:9" x14ac:dyDescent="0.25">
      <c r="A6" t="s">
        <v>7960</v>
      </c>
      <c r="B6" t="s">
        <v>7930</v>
      </c>
      <c r="C6" t="str">
        <f t="shared" si="0"/>
        <v>H000004871</v>
      </c>
      <c r="D6" t="s">
        <v>939</v>
      </c>
      <c r="E6" t="s">
        <v>7924</v>
      </c>
      <c r="F6" s="47" t="s">
        <v>7955</v>
      </c>
      <c r="G6">
        <f t="shared" si="1"/>
        <v>4871</v>
      </c>
      <c r="I6" t="str">
        <f t="shared" si="2"/>
        <v>H000004866</v>
      </c>
    </row>
    <row r="7" spans="1:9" x14ac:dyDescent="0.25">
      <c r="A7" t="s">
        <v>7961</v>
      </c>
      <c r="B7" t="s">
        <v>7932</v>
      </c>
      <c r="C7" t="str">
        <f t="shared" si="0"/>
        <v>H000004872</v>
      </c>
      <c r="D7" t="s">
        <v>941</v>
      </c>
      <c r="E7" t="s">
        <v>7925</v>
      </c>
      <c r="F7" s="47" t="s">
        <v>7955</v>
      </c>
      <c r="G7">
        <f t="shared" si="1"/>
        <v>4872</v>
      </c>
      <c r="I7" t="str">
        <f t="shared" si="2"/>
        <v>H000004867</v>
      </c>
    </row>
    <row r="8" spans="1:9" x14ac:dyDescent="0.25">
      <c r="A8" t="s">
        <v>7962</v>
      </c>
      <c r="B8" t="s">
        <v>7934</v>
      </c>
      <c r="C8" t="str">
        <f t="shared" si="0"/>
        <v>H000004873</v>
      </c>
      <c r="D8" t="s">
        <v>941</v>
      </c>
      <c r="E8" t="s">
        <v>7925</v>
      </c>
      <c r="F8" s="47" t="s">
        <v>7955</v>
      </c>
      <c r="G8">
        <f t="shared" si="1"/>
        <v>4873</v>
      </c>
      <c r="I8" t="str">
        <f t="shared" si="2"/>
        <v>H000004867</v>
      </c>
    </row>
    <row r="9" spans="1:9" x14ac:dyDescent="0.25">
      <c r="A9" t="s">
        <v>7963</v>
      </c>
      <c r="B9" t="s">
        <v>7935</v>
      </c>
      <c r="C9" t="str">
        <f t="shared" si="0"/>
        <v>H000004874</v>
      </c>
      <c r="D9" t="s">
        <v>943</v>
      </c>
      <c r="E9" t="s">
        <v>7926</v>
      </c>
      <c r="F9" s="47" t="s">
        <v>7955</v>
      </c>
      <c r="G9">
        <f t="shared" si="1"/>
        <v>4874</v>
      </c>
      <c r="I9" t="str">
        <f t="shared" si="2"/>
        <v>H000004868</v>
      </c>
    </row>
    <row r="10" spans="1:9" x14ac:dyDescent="0.25">
      <c r="A10" t="s">
        <v>7964</v>
      </c>
      <c r="B10" t="s">
        <v>7936</v>
      </c>
      <c r="C10" t="str">
        <f t="shared" si="0"/>
        <v>H000004875</v>
      </c>
      <c r="D10" t="s">
        <v>943</v>
      </c>
      <c r="E10" t="s">
        <v>7926</v>
      </c>
      <c r="F10" s="47" t="s">
        <v>7955</v>
      </c>
      <c r="G10">
        <f t="shared" si="1"/>
        <v>4875</v>
      </c>
      <c r="I10" t="str">
        <f t="shared" si="2"/>
        <v>H000004868</v>
      </c>
    </row>
    <row r="11" spans="1:9" x14ac:dyDescent="0.25">
      <c r="A11" t="s">
        <v>7965</v>
      </c>
      <c r="B11" t="s">
        <v>7937</v>
      </c>
      <c r="C11" t="str">
        <f t="shared" si="0"/>
        <v>H000004876</v>
      </c>
      <c r="D11" t="s">
        <v>943</v>
      </c>
      <c r="E11" t="s">
        <v>7926</v>
      </c>
      <c r="F11" s="47" t="s">
        <v>7955</v>
      </c>
      <c r="G11">
        <f t="shared" si="1"/>
        <v>4876</v>
      </c>
      <c r="I11" t="str">
        <f t="shared" si="2"/>
        <v>H000004868</v>
      </c>
    </row>
    <row r="12" spans="1:9" x14ac:dyDescent="0.25">
      <c r="A12" t="s">
        <v>7966</v>
      </c>
      <c r="B12" t="s">
        <v>7938</v>
      </c>
      <c r="C12" t="str">
        <f t="shared" si="0"/>
        <v>H000004877</v>
      </c>
      <c r="D12" t="s">
        <v>7927</v>
      </c>
      <c r="E12" t="s">
        <v>7928</v>
      </c>
      <c r="F12" s="47" t="s">
        <v>7955</v>
      </c>
      <c r="G12">
        <f t="shared" si="1"/>
        <v>4877</v>
      </c>
      <c r="I12" t="str">
        <f t="shared" si="2"/>
        <v>H000004869</v>
      </c>
    </row>
    <row r="13" spans="1:9" x14ac:dyDescent="0.25">
      <c r="A13" t="s">
        <v>7967</v>
      </c>
      <c r="B13" t="s">
        <v>7939</v>
      </c>
      <c r="C13" t="str">
        <f t="shared" si="0"/>
        <v>H000004878</v>
      </c>
      <c r="D13" t="s">
        <v>7927</v>
      </c>
      <c r="E13" t="s">
        <v>7928</v>
      </c>
      <c r="F13" s="47" t="s">
        <v>7955</v>
      </c>
      <c r="G13">
        <f t="shared" si="1"/>
        <v>4878</v>
      </c>
      <c r="I13" t="str">
        <f t="shared" si="2"/>
        <v>H000004869</v>
      </c>
    </row>
    <row r="14" spans="1:9" x14ac:dyDescent="0.25">
      <c r="A14" t="s">
        <v>7968</v>
      </c>
      <c r="B14" t="s">
        <v>7940</v>
      </c>
      <c r="C14" t="str">
        <f t="shared" si="0"/>
        <v>H000004879</v>
      </c>
      <c r="D14" t="s">
        <v>7927</v>
      </c>
      <c r="E14" t="s">
        <v>7928</v>
      </c>
      <c r="F14" s="47" t="s">
        <v>7955</v>
      </c>
      <c r="G14">
        <f t="shared" si="1"/>
        <v>4879</v>
      </c>
      <c r="I14" t="str">
        <f t="shared" si="2"/>
        <v>H000004869</v>
      </c>
    </row>
    <row r="15" spans="1:9" x14ac:dyDescent="0.25">
      <c r="A15" t="s">
        <v>7969</v>
      </c>
      <c r="B15" t="s">
        <v>7941</v>
      </c>
      <c r="C15" t="str">
        <f t="shared" si="0"/>
        <v>H000004880</v>
      </c>
      <c r="D15" t="s">
        <v>7927</v>
      </c>
      <c r="E15" t="s">
        <v>7928</v>
      </c>
      <c r="F15" s="47" t="s">
        <v>7955</v>
      </c>
      <c r="G15">
        <f t="shared" si="1"/>
        <v>4880</v>
      </c>
      <c r="I15" t="str">
        <f t="shared" si="2"/>
        <v>H000004869</v>
      </c>
    </row>
    <row r="16" spans="1:9" x14ac:dyDescent="0.25">
      <c r="A16" t="s">
        <v>7970</v>
      </c>
      <c r="B16" t="s">
        <v>7942</v>
      </c>
      <c r="C16" t="str">
        <f t="shared" si="0"/>
        <v>H000004881</v>
      </c>
      <c r="D16" t="s">
        <v>7931</v>
      </c>
      <c r="E16" t="s">
        <v>7932</v>
      </c>
      <c r="F16" s="47" t="s">
        <v>7955</v>
      </c>
      <c r="G16">
        <f t="shared" si="1"/>
        <v>4881</v>
      </c>
      <c r="I16" t="str">
        <f t="shared" si="2"/>
        <v>H000004872</v>
      </c>
    </row>
    <row r="17" spans="1:9" x14ac:dyDescent="0.25">
      <c r="A17" t="s">
        <v>7971</v>
      </c>
      <c r="B17" t="s">
        <v>7943</v>
      </c>
      <c r="C17" t="str">
        <f t="shared" si="0"/>
        <v>H000004882</v>
      </c>
      <c r="D17" t="s">
        <v>7933</v>
      </c>
      <c r="E17" t="s">
        <v>7934</v>
      </c>
      <c r="F17" s="47" t="s">
        <v>7955</v>
      </c>
      <c r="G17">
        <f t="shared" si="1"/>
        <v>4882</v>
      </c>
      <c r="I17" t="str">
        <f t="shared" si="2"/>
        <v>H000004873</v>
      </c>
    </row>
    <row r="18" spans="1:9" x14ac:dyDescent="0.25">
      <c r="A18" t="s">
        <v>7972</v>
      </c>
      <c r="B18" t="s">
        <v>7944</v>
      </c>
      <c r="C18" t="str">
        <f t="shared" si="0"/>
        <v>H000004883</v>
      </c>
      <c r="D18" t="s">
        <v>7931</v>
      </c>
      <c r="E18" t="s">
        <v>7932</v>
      </c>
      <c r="F18" s="47" t="s">
        <v>7955</v>
      </c>
      <c r="G18">
        <f t="shared" si="1"/>
        <v>4883</v>
      </c>
      <c r="I18" t="str">
        <f t="shared" si="2"/>
        <v>H000004872</v>
      </c>
    </row>
    <row r="19" spans="1:9" x14ac:dyDescent="0.25">
      <c r="A19" t="s">
        <v>7973</v>
      </c>
      <c r="B19" t="s">
        <v>7945</v>
      </c>
      <c r="C19" t="str">
        <f t="shared" si="0"/>
        <v>H000004884</v>
      </c>
      <c r="D19" t="s">
        <v>7931</v>
      </c>
      <c r="E19" t="s">
        <v>7932</v>
      </c>
      <c r="F19" s="47" t="s">
        <v>7955</v>
      </c>
      <c r="G19">
        <f t="shared" si="1"/>
        <v>4884</v>
      </c>
      <c r="I19" t="str">
        <f t="shared" si="2"/>
        <v>H000004872</v>
      </c>
    </row>
    <row r="20" spans="1:9" x14ac:dyDescent="0.25">
      <c r="A20" t="s">
        <v>7974</v>
      </c>
      <c r="B20" t="s">
        <v>7946</v>
      </c>
      <c r="C20" t="str">
        <f t="shared" si="0"/>
        <v>H000004885</v>
      </c>
      <c r="D20" t="s">
        <v>7931</v>
      </c>
      <c r="E20" t="s">
        <v>7932</v>
      </c>
      <c r="F20" s="47" t="s">
        <v>7955</v>
      </c>
      <c r="G20">
        <f t="shared" si="1"/>
        <v>4885</v>
      </c>
      <c r="I20" t="str">
        <f t="shared" si="2"/>
        <v>H000004872</v>
      </c>
    </row>
    <row r="21" spans="1:9" x14ac:dyDescent="0.25">
      <c r="A21" t="s">
        <v>7975</v>
      </c>
      <c r="B21" t="s">
        <v>7947</v>
      </c>
      <c r="C21" t="str">
        <f t="shared" si="0"/>
        <v>H000004886</v>
      </c>
      <c r="D21" t="s">
        <v>7931</v>
      </c>
      <c r="E21" t="s">
        <v>7932</v>
      </c>
      <c r="F21" s="47" t="s">
        <v>7955</v>
      </c>
      <c r="G21">
        <f t="shared" si="1"/>
        <v>4886</v>
      </c>
      <c r="I21" t="str">
        <f t="shared" si="2"/>
        <v>H000004872</v>
      </c>
    </row>
    <row r="22" spans="1:9" x14ac:dyDescent="0.25">
      <c r="A22" t="s">
        <v>7976</v>
      </c>
      <c r="B22" t="s">
        <v>7944</v>
      </c>
      <c r="C22" t="str">
        <f t="shared" si="0"/>
        <v>H000004887</v>
      </c>
      <c r="D22" t="s">
        <v>7933</v>
      </c>
      <c r="E22" t="s">
        <v>7934</v>
      </c>
      <c r="F22" s="47" t="s">
        <v>7955</v>
      </c>
      <c r="G22">
        <f t="shared" si="1"/>
        <v>4887</v>
      </c>
      <c r="I22" t="str">
        <f t="shared" si="2"/>
        <v>H000004873</v>
      </c>
    </row>
    <row r="23" spans="1:9" x14ac:dyDescent="0.25">
      <c r="A23" t="s">
        <v>7977</v>
      </c>
      <c r="B23" t="s">
        <v>7945</v>
      </c>
      <c r="C23" t="str">
        <f t="shared" si="0"/>
        <v>H000004888</v>
      </c>
      <c r="D23" t="s">
        <v>7933</v>
      </c>
      <c r="E23" t="s">
        <v>7934</v>
      </c>
      <c r="F23" s="47" t="s">
        <v>7955</v>
      </c>
      <c r="G23">
        <f t="shared" si="1"/>
        <v>4888</v>
      </c>
      <c r="I23" t="str">
        <f t="shared" si="2"/>
        <v>H000004873</v>
      </c>
    </row>
    <row r="24" spans="1:9" x14ac:dyDescent="0.25">
      <c r="A24" t="s">
        <v>7978</v>
      </c>
      <c r="B24" t="s">
        <v>7946</v>
      </c>
      <c r="C24" t="str">
        <f t="shared" si="0"/>
        <v>H000004889</v>
      </c>
      <c r="D24" t="s">
        <v>7933</v>
      </c>
      <c r="E24" t="s">
        <v>7934</v>
      </c>
      <c r="F24" s="47" t="s">
        <v>7955</v>
      </c>
      <c r="G24">
        <f t="shared" si="1"/>
        <v>4889</v>
      </c>
      <c r="I24" t="str">
        <f t="shared" si="2"/>
        <v>H000004873</v>
      </c>
    </row>
    <row r="25" spans="1:9" x14ac:dyDescent="0.25">
      <c r="A25" t="s">
        <v>7979</v>
      </c>
      <c r="B25" t="s">
        <v>7947</v>
      </c>
      <c r="C25" t="str">
        <f t="shared" si="0"/>
        <v>H000004890</v>
      </c>
      <c r="D25" t="s">
        <v>7933</v>
      </c>
      <c r="E25" t="s">
        <v>7934</v>
      </c>
      <c r="F25" s="47" t="s">
        <v>7955</v>
      </c>
      <c r="G25">
        <f t="shared" si="1"/>
        <v>4890</v>
      </c>
      <c r="I25" t="str">
        <f t="shared" si="2"/>
        <v>H000004873</v>
      </c>
    </row>
    <row r="26" spans="1:9" x14ac:dyDescent="0.25">
      <c r="A26" t="s">
        <v>7980</v>
      </c>
      <c r="B26" t="s">
        <v>7948</v>
      </c>
      <c r="C26" t="str">
        <f t="shared" si="0"/>
        <v>H000004891</v>
      </c>
      <c r="D26" t="s">
        <v>1125</v>
      </c>
      <c r="E26" t="e">
        <v>#N/A</v>
      </c>
      <c r="F26" s="47" t="s">
        <v>7955</v>
      </c>
      <c r="G26">
        <f t="shared" si="1"/>
        <v>4891</v>
      </c>
      <c r="I26" t="s">
        <v>1125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53E43-8612-43E9-B38C-9DD6AD087995}">
  <dimension ref="A1:G11"/>
  <sheetViews>
    <sheetView workbookViewId="0">
      <selection activeCell="O40" sqref="O40"/>
    </sheetView>
  </sheetViews>
  <sheetFormatPr defaultRowHeight="15" x14ac:dyDescent="0.25"/>
  <cols>
    <col min="1" max="1" width="16.42578125" bestFit="1" customWidth="1"/>
  </cols>
  <sheetData>
    <row r="1" spans="1:7" x14ac:dyDescent="0.25">
      <c r="A1">
        <v>1000</v>
      </c>
      <c r="B1" t="s">
        <v>7919</v>
      </c>
    </row>
    <row r="2" spans="1:7" x14ac:dyDescent="0.25">
      <c r="A2" t="s">
        <v>7920</v>
      </c>
      <c r="B2" t="s">
        <v>7914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7921</v>
      </c>
      <c r="B3" t="s">
        <v>7916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7922</v>
      </c>
      <c r="B4" t="s">
        <v>7917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8" spans="1:7" x14ac:dyDescent="0.25">
      <c r="A8">
        <v>1000</v>
      </c>
      <c r="B8" t="s">
        <v>7919</v>
      </c>
    </row>
    <row r="9" spans="1:7" x14ac:dyDescent="0.25">
      <c r="A9" t="s">
        <v>7915</v>
      </c>
      <c r="B9" t="s">
        <v>7920</v>
      </c>
    </row>
    <row r="10" spans="1:7" x14ac:dyDescent="0.25">
      <c r="A10" t="s">
        <v>7918</v>
      </c>
      <c r="B10" t="s">
        <v>7921</v>
      </c>
    </row>
    <row r="11" spans="1:7" x14ac:dyDescent="0.25">
      <c r="A11" t="s">
        <v>7918</v>
      </c>
      <c r="B11" t="s">
        <v>7922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F1052-6D10-4101-8000-C2734EC0542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B15" sqref="B15"/>
    </sheetView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6110</v>
      </c>
      <c r="B50" s="36" t="s">
        <v>20</v>
      </c>
    </row>
    <row r="51" spans="1:2" x14ac:dyDescent="0.25">
      <c r="A51" s="5" t="s">
        <v>6116</v>
      </c>
      <c r="B51" s="36" t="s">
        <v>19</v>
      </c>
    </row>
    <row r="52" spans="1:2" x14ac:dyDescent="0.25">
      <c r="A52" s="40" t="s">
        <v>6121</v>
      </c>
      <c r="B52" s="41" t="s">
        <v>17</v>
      </c>
    </row>
    <row r="53" spans="1:2" x14ac:dyDescent="0.25">
      <c r="A53" s="5" t="s">
        <v>6354</v>
      </c>
      <c r="B53" s="36" t="s">
        <v>18</v>
      </c>
    </row>
    <row r="54" spans="1:2" x14ac:dyDescent="0.25">
      <c r="A54" s="43" t="s">
        <v>6593</v>
      </c>
      <c r="B54" s="36" t="s">
        <v>18</v>
      </c>
    </row>
    <row r="55" spans="1:2" x14ac:dyDescent="0.25">
      <c r="A55" s="5" t="s">
        <v>6730</v>
      </c>
      <c r="B55" s="36" t="s">
        <v>18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>
        <f>IFERROR(VLOOKUP(Table2[[#This Row], [Ticket]],Okey!A:B,2,0),"")</f>
        <v>0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>
        <f>IFERROR(VLOOKUP(Table2[[#This Row], [Ticket]],Okey!A:B,2,0),"")</f>
        <v>0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>
        <f>IFERROR(VLOOKUP(Table2[[#This Row], [Ticket]],Okey!A:B,2,0),"")</f>
        <v>0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>
        <f>IFERROR(VLOOKUP(Table2[[#This Row], [Ticket]],Okey!A:B,2,0),"")</f>
        <v>0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>
        <f>IFERROR(VLOOKUP(Table2[[#This Row], [Ticket]],Okey!A:B,2,0),"")</f>
        <v>0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>
        <f>IFERROR(VLOOKUP(Table2[[#This Row], [Ticket]],Okey!A:B,2,0),"")</f>
        <v>0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>
        <f>IFERROR(VLOOKUP(Table2[[#This Row], [Ticket]],Okey!A:B,2,0),"")</f>
        <v>0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>
        <f>IFERROR(VLOOKUP(Table2[[#This Row], [Ticket]],Okey!A:B,2,0),"")</f>
        <v>0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>
        <f>IFERROR(VLOOKUP(Table2[[#This Row], [Ticket]],Okey!A:B,2,0),"")</f>
        <v>0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>
        <f>IFERROR(VLOOKUP(Table2[[#This Row], [Ticket]],Okey!A:B,2,0),"")</f>
        <v>0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>
        <f>IFERROR(VLOOKUP(Table2[[#This Row], [Ticket]],Okey!A:B,2,0),"")</f>
        <v>0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>
        <f>IFERROR(VLOOKUP(Table2[[#This Row], [Ticket]],Okey!A:B,2,0),"")</f>
        <v>0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>
        <f>IFERROR(VLOOKUP(Table2[[#This Row], [Ticket]],Okey!A:B,2,0),"")</f>
        <v>0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>
        <f>IFERROR(VLOOKUP(Table2[[#This Row], [Ticket]],Okey!A:B,2,0),"")</f>
        <v>0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>
        <f>IFERROR(VLOOKUP(Table2[[#This Row], [Ticket]],Okey!A:B,2,0),"")</f>
        <v>0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>
        <f>IFERROR(VLOOKUP(Table2[[#This Row], [Ticket]],Okey!A:B,2,0),"")</f>
        <v>0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>
        <f>IFERROR(VLOOKUP(Table2[[#This Row], [Ticket]],Okey!A:B,2,0),"")</f>
        <v>0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>
        <f>IFERROR(VLOOKUP(Table2[[#This Row], [Ticket]],Okey!A:B,2,0),"")</f>
        <v>0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>
        <f>IFERROR(VLOOKUP(Table2[[#This Row], [Ticket]],Okey!A:B,2,0),"")</f>
        <v>0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/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/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/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/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/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/>
      </c>
      <c r="I26" s="11" t="s">
        <v>276</v>
      </c>
      <c r="J26" s="19" t="e">
        <f>VLOOKUP(Table2[[#This Row], [Author]],People!A:B,2,0)</f>
        <v>#N/A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/>
      </c>
      <c r="I27" s="13" t="s">
        <v>276</v>
      </c>
      <c r="J27" s="22" t="e">
        <f>VLOOKUP(Table2[[#This Row], [Author]],People!A:B,2,0)</f>
        <v>#N/A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/>
      </c>
      <c r="I28" s="11" t="s">
        <v>276</v>
      </c>
      <c r="J28" s="19" t="e">
        <f>VLOOKUP(Table2[[#This Row], [Author]],People!A:B,2,0)</f>
        <v>#N/A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/>
      </c>
      <c r="I29" s="13" t="s">
        <v>276</v>
      </c>
      <c r="J29" s="22" t="e">
        <f>VLOOKUP(Table2[[#This Row], [Author]],People!A:B,2,0)</f>
        <v>#N/A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/>
      </c>
      <c r="I30" s="11" t="s">
        <v>276</v>
      </c>
      <c r="J30" s="19" t="e">
        <f>VLOOKUP(Table2[[#This Row], [Author]],People!A:B,2,0)</f>
        <v>#N/A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/>
      </c>
      <c r="I31" s="13" t="s">
        <v>276</v>
      </c>
      <c r="J31" s="22" t="e">
        <f>VLOOKUP(Table2[[#This Row], [Author]],People!A:B,2,0)</f>
        <v>#N/A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/>
      </c>
      <c r="I32" s="11" t="s">
        <v>276</v>
      </c>
      <c r="J32" s="19" t="e">
        <f>VLOOKUP(Table2[[#This Row], [Author]],People!A:B,2,0)</f>
        <v>#N/A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/>
      </c>
      <c r="I33" s="13" t="s">
        <v>276</v>
      </c>
      <c r="J33" s="22" t="e">
        <f>VLOOKUP(Table2[[#This Row], [Author]],People!A:B,2,0)</f>
        <v>#N/A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/>
      </c>
      <c r="I34" s="11" t="s">
        <v>276</v>
      </c>
      <c r="J34" s="19" t="e">
        <f>VLOOKUP(Table2[[#This Row], [Author]],People!A:B,2,0)</f>
        <v>#N/A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/>
      </c>
      <c r="I35" s="13" t="s">
        <v>276</v>
      </c>
      <c r="J35" s="22" t="e">
        <f>VLOOKUP(Table2[[#This Row], [Author]],People!A:B,2,0)</f>
        <v>#N/A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/>
      </c>
      <c r="I36" s="11" t="s">
        <v>276</v>
      </c>
      <c r="J36" s="19" t="e">
        <f>VLOOKUP(Table2[[#This Row], [Author]],People!A:B,2,0)</f>
        <v>#N/A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/>
      </c>
      <c r="I37" s="13" t="s">
        <v>276</v>
      </c>
      <c r="J37" s="22" t="e">
        <f>VLOOKUP(Table2[[#This Row], [Author]],People!A:B,2,0)</f>
        <v>#N/A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/>
      </c>
      <c r="I38" s="11" t="s">
        <v>276</v>
      </c>
      <c r="J38" s="19" t="e">
        <f>VLOOKUP(Table2[[#This Row], [Author]],People!A:B,2,0)</f>
        <v>#N/A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/>
      </c>
      <c r="I39" s="13" t="s">
        <v>276</v>
      </c>
      <c r="J39" s="22" t="e">
        <f>VLOOKUP(Table2[[#This Row], [Author]],People!A:B,2,0)</f>
        <v>#N/A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/>
      </c>
      <c r="I40" s="11" t="s">
        <v>276</v>
      </c>
      <c r="J40" s="19" t="e">
        <f>VLOOKUP(Table2[[#This Row], [Author]],People!A:B,2,0)</f>
        <v>#N/A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/>
      </c>
      <c r="I41" s="13" t="s">
        <v>276</v>
      </c>
      <c r="J41" s="22" t="e">
        <f>VLOOKUP(Table2[[#This Row], [Author]],People!A:B,2,0)</f>
        <v>#N/A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/>
      </c>
      <c r="I42" s="11" t="s">
        <v>276</v>
      </c>
      <c r="J42" s="19" t="e">
        <f>VLOOKUP(Table2[[#This Row], [Author]],People!A:B,2,0)</f>
        <v>#N/A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/>
      </c>
      <c r="I43" s="13" t="s">
        <v>276</v>
      </c>
      <c r="J43" s="22" t="e">
        <f>VLOOKUP(Table2[[#This Row], [Author]],People!A:B,2,0)</f>
        <v>#N/A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/>
      </c>
      <c r="I44" s="11" t="s">
        <v>276</v>
      </c>
      <c r="J44" s="19" t="e">
        <f>VLOOKUP(Table2[[#This Row], [Author]],People!A:B,2,0)</f>
        <v>#N/A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/>
      </c>
      <c r="I45" s="13" t="s">
        <v>276</v>
      </c>
      <c r="J45" s="22" t="e">
        <f>VLOOKUP(Table2[[#This Row], [Author]],People!A:B,2,0)</f>
        <v>#N/A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/>
      </c>
      <c r="I46" s="11" t="s">
        <v>276</v>
      </c>
      <c r="J46" s="19" t="e">
        <f>VLOOKUP(Table2[[#This Row], [Author]],People!A:B,2,0)</f>
        <v>#N/A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/>
      </c>
      <c r="I47" s="13" t="s">
        <v>276</v>
      </c>
      <c r="J47" s="22" t="e">
        <f>VLOOKUP(Table2[[#This Row], [Author]],People!A:B,2,0)</f>
        <v>#N/A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/>
      </c>
      <c r="I48" s="11" t="s">
        <v>276</v>
      </c>
      <c r="J48" s="19" t="e">
        <f>VLOOKUP(Table2[[#This Row], [Author]],People!A:B,2,0)</f>
        <v>#N/A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/>
      </c>
      <c r="I49" s="13" t="s">
        <v>276</v>
      </c>
      <c r="J49" s="22" t="e">
        <f>VLOOKUP(Table2[[#This Row], [Author]],People!A:B,2,0)</f>
        <v>#N/A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/>
      </c>
      <c r="I50" s="11" t="s">
        <v>276</v>
      </c>
      <c r="J50" s="19" t="e">
        <f>VLOOKUP(Table2[[#This Row], [Author]],People!A:B,2,0)</f>
        <v>#N/A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/>
      </c>
      <c r="I51" s="13" t="s">
        <v>276</v>
      </c>
      <c r="J51" s="22" t="e">
        <f>VLOOKUP(Table2[[#This Row], [Author]],People!A:B,2,0)</f>
        <v>#N/A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/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/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/>
      </c>
      <c r="I54" s="11" t="s">
        <v>276</v>
      </c>
      <c r="J54" s="19" t="e">
        <f>VLOOKUP(Table2[[#This Row], [Author]],People!A:B,2,0)</f>
        <v>#VALUE!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/>
      </c>
      <c r="I55" s="13" t="s">
        <v>276</v>
      </c>
      <c r="J55" s="22" t="e">
        <f>VLOOKUP(Table2[[#This Row], [Author]],People!A:B,2,0)</f>
        <v>#VALUE!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/>
      </c>
      <c r="I56" s="11" t="s">
        <v>276</v>
      </c>
      <c r="J56" s="19" t="e">
        <f>VLOOKUP(Table2[[#This Row], [Author]],People!A:B,2,0)</f>
        <v>#VALUE!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/>
      </c>
      <c r="I57" s="13" t="s">
        <v>276</v>
      </c>
      <c r="J57" s="22" t="e">
        <f>VLOOKUP(Table2[[#This Row], [Author]],People!A:B,2,0)</f>
        <v>#VALUE!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/>
      </c>
      <c r="I58" s="11" t="s">
        <v>276</v>
      </c>
      <c r="J58" s="19" t="e">
        <f>VLOOKUP(Table2[[#This Row], [Author]],People!A:B,2,0)</f>
        <v>#VALUE!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/>
      </c>
      <c r="I59" s="13" t="s">
        <v>276</v>
      </c>
      <c r="J59" s="22" t="e">
        <f>VLOOKUP(Table2[[#This Row], [Author]],People!A:B,2,0)</f>
        <v>#VALUE!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/>
      </c>
      <c r="I60" s="11" t="s">
        <v>276</v>
      </c>
      <c r="J60" s="19" t="e">
        <f>VLOOKUP(Table2[[#This Row], [Author]],People!A:B,2,0)</f>
        <v>#VALUE!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/>
      </c>
      <c r="I61" s="13" t="s">
        <v>276</v>
      </c>
      <c r="J61" s="22" t="e">
        <f>VLOOKUP(Table2[[#This Row], [Author]],People!A:B,2,0)</f>
        <v>#VALUE!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/>
      </c>
      <c r="I62" s="11" t="s">
        <v>276</v>
      </c>
      <c r="J62" s="19" t="e">
        <f>VLOOKUP(Table2[[#This Row], [Author]],People!A:B,2,0)</f>
        <v>#VALUE!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/>
      </c>
      <c r="I63" s="13" t="s">
        <v>276</v>
      </c>
      <c r="J63" s="22" t="e">
        <f>VLOOKUP(Table2[[#This Row], [Author]],People!A:B,2,0)</f>
        <v>#VALUE!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/>
      </c>
      <c r="I64" s="11" t="s">
        <v>276</v>
      </c>
      <c r="J64" s="19" t="e">
        <f>VLOOKUP(Table2[[#This Row], [Author]],People!A:B,2,0)</f>
        <v>#VALUE!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/>
      </c>
      <c r="I65" s="13" t="s">
        <v>276</v>
      </c>
      <c r="J65" s="22" t="e">
        <f>VLOOKUP(Table2[[#This Row], [Author]],People!A:B,2,0)</f>
        <v>#VALUE!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/>
      </c>
      <c r="I66" s="11" t="s">
        <v>276</v>
      </c>
      <c r="J66" s="19" t="e">
        <f>VLOOKUP(Table2[[#This Row], [Author]],People!A:B,2,0)</f>
        <v>#VALUE!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/>
      </c>
      <c r="I67" s="13" t="s">
        <v>276</v>
      </c>
      <c r="J67" s="22" t="e">
        <f>VLOOKUP(Table2[[#This Row], [Author]],People!A:B,2,0)</f>
        <v>#VALUE!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/>
      </c>
      <c r="I68" s="11" t="s">
        <v>276</v>
      </c>
      <c r="J68" s="19" t="e">
        <f>VLOOKUP(Table2[[#This Row], [Author]],People!A:B,2,0)</f>
        <v>#VALUE!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/>
      </c>
      <c r="I69" s="13" t="s">
        <v>276</v>
      </c>
      <c r="J69" s="22" t="e">
        <f>VLOOKUP(Table2[[#This Row], [Author]],People!A:B,2,0)</f>
        <v>#VALUE!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/>
      </c>
      <c r="I70" s="11" t="s">
        <v>276</v>
      </c>
      <c r="J70" s="19" t="e">
        <f>VLOOKUP(Table2[[#This Row], [Author]],People!A:B,2,0)</f>
        <v>#VALUE!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/>
      </c>
      <c r="I71" s="13" t="s">
        <v>276</v>
      </c>
      <c r="J71" s="22" t="e">
        <f>VLOOKUP(Table2[[#This Row], [Author]],People!A:B,2,0)</f>
        <v>#VALUE!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/>
      </c>
      <c r="I72" s="11" t="s">
        <v>276</v>
      </c>
      <c r="J72" s="19" t="e">
        <f>VLOOKUP(Table2[[#This Row], [Author]],People!A:B,2,0)</f>
        <v>#VALUE!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/>
      </c>
      <c r="I73" s="13" t="s">
        <v>276</v>
      </c>
      <c r="J73" s="22" t="e">
        <f>VLOOKUP(Table2[[#This Row], [Author]],People!A:B,2,0)</f>
        <v>#VALUE!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/>
      </c>
      <c r="I74" s="11" t="s">
        <v>276</v>
      </c>
      <c r="J74" s="19" t="e">
        <f>VLOOKUP(Table2[[#This Row], [Author]],People!A:B,2,0)</f>
        <v>#VALUE!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/>
      </c>
      <c r="I75" s="13" t="s">
        <v>276</v>
      </c>
      <c r="J75" s="22" t="e">
        <f>VLOOKUP(Table2[[#This Row], [Author]],People!A:B,2,0)</f>
        <v>#VALUE!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/>
      </c>
      <c r="I76" s="11" t="s">
        <v>276</v>
      </c>
      <c r="J76" s="19" t="e">
        <f>VLOOKUP(Table2[[#This Row], [Author]],People!A:B,2,0)</f>
        <v>#VALUE!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/>
      </c>
      <c r="I77" s="13" t="s">
        <v>276</v>
      </c>
      <c r="J77" s="22" t="e">
        <f>VLOOKUP(Table2[[#This Row], [Author]],People!A:B,2,0)</f>
        <v>#VALUE!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/>
      </c>
      <c r="I78" s="11" t="s">
        <v>276</v>
      </c>
      <c r="J78" s="19" t="e">
        <f>VLOOKUP(Table2[[#This Row], [Author]],People!A:B,2,0)</f>
        <v>#VALUE!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/>
      </c>
      <c r="I79" s="13" t="s">
        <v>276</v>
      </c>
      <c r="J79" s="22" t="e">
        <f>VLOOKUP(Table2[[#This Row], [Author]],People!A:B,2,0)</f>
        <v>#VALUE!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/>
      </c>
      <c r="I80" s="11" t="s">
        <v>276</v>
      </c>
      <c r="J80" s="19" t="e">
        <f>VLOOKUP(Table2[[#This Row], [Author]],People!A:B,2,0)</f>
        <v>#VALUE!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/>
      </c>
      <c r="I81" s="13" t="s">
        <v>276</v>
      </c>
      <c r="J81" s="22" t="e">
        <f>VLOOKUP(Table2[[#This Row], [Author]],People!A:B,2,0)</f>
        <v>#VALUE!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/>
      </c>
      <c r="I82" s="11" t="s">
        <v>276</v>
      </c>
      <c r="J82" s="19" t="e">
        <f>VLOOKUP(Table2[[#This Row], [Author]],People!A:B,2,0)</f>
        <v>#VALUE!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/>
      </c>
      <c r="I83" s="13" t="s">
        <v>276</v>
      </c>
      <c r="J83" s="22" t="e">
        <f>VLOOKUP(Table2[[#This Row], [Author]],People!A:B,2,0)</f>
        <v>#VALUE!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/>
      </c>
      <c r="I84" s="11" t="s">
        <v>276</v>
      </c>
      <c r="J84" s="19" t="e">
        <f>VLOOKUP(Table2[[#This Row], [Author]],People!A:B,2,0)</f>
        <v>#VALUE!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/>
      </c>
      <c r="I85" s="13" t="s">
        <v>276</v>
      </c>
      <c r="J85" s="22" t="e">
        <f>VLOOKUP(Table2[[#This Row], [Author]],People!A:B,2,0)</f>
        <v>#VALUE!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/>
      </c>
      <c r="I86" s="11" t="s">
        <v>276</v>
      </c>
      <c r="J86" s="19" t="e">
        <f>VLOOKUP(Table2[[#This Row], [Author]],People!A:B,2,0)</f>
        <v>#VALUE!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/>
      </c>
      <c r="I87" s="13" t="s">
        <v>276</v>
      </c>
      <c r="J87" s="22" t="e">
        <f>VLOOKUP(Table2[[#This Row], [Author]],People!A:B,2,0)</f>
        <v>#VALUE!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/>
      </c>
      <c r="I88" s="11" t="s">
        <v>276</v>
      </c>
      <c r="J88" s="19" t="e">
        <f>VLOOKUP(Table2[[#This Row], [Author]],People!A:B,2,0)</f>
        <v>#VALUE!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/>
      </c>
      <c r="I89" s="13" t="s">
        <v>276</v>
      </c>
      <c r="J89" s="22" t="e">
        <f>VLOOKUP(Table2[[#This Row], [Author]],People!A:B,2,0)</f>
        <v>#VALUE!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/>
      </c>
      <c r="I90" s="11" t="s">
        <v>276</v>
      </c>
      <c r="J90" s="19" t="e">
        <f>VLOOKUP(Table2[[#This Row], [Author]],People!A:B,2,0)</f>
        <v>#VALUE!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/>
      </c>
      <c r="I91" s="13" t="s">
        <v>276</v>
      </c>
      <c r="J91" s="22" t="e">
        <f>VLOOKUP(Table2[[#This Row], [Author]],People!A:B,2,0)</f>
        <v>#VALUE!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/>
      </c>
      <c r="I92" s="11" t="s">
        <v>276</v>
      </c>
      <c r="J92" s="19" t="e">
        <f>VLOOKUP(Table2[[#This Row], [Author]],People!A:B,2,0)</f>
        <v>#VALUE!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/>
      </c>
      <c r="I93" s="13" t="s">
        <v>276</v>
      </c>
      <c r="J93" s="22" t="e">
        <f>VLOOKUP(Table2[[#This Row], [Author]],People!A:B,2,0)</f>
        <v>#VALUE!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/>
      </c>
      <c r="I94" s="11" t="s">
        <v>276</v>
      </c>
      <c r="J94" s="19" t="e">
        <f>VLOOKUP(Table2[[#This Row], [Author]],People!A:B,2,0)</f>
        <v>#VALUE!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/>
      </c>
      <c r="I95" s="13" t="s">
        <v>276</v>
      </c>
      <c r="J95" s="22" t="e">
        <f>VLOOKUP(Table2[[#This Row], [Author]],People!A:B,2,0)</f>
        <v>#VALUE!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/>
      </c>
      <c r="I96" s="11" t="s">
        <v>276</v>
      </c>
      <c r="J96" s="19" t="e">
        <f>VLOOKUP(Table2[[#This Row], [Author]],People!A:B,2,0)</f>
        <v>#VALUE!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/>
      </c>
      <c r="I97" s="13" t="s">
        <v>276</v>
      </c>
      <c r="J97" s="22" t="e">
        <f>VLOOKUP(Table2[[#This Row], [Author]],People!A:B,2,0)</f>
        <v>#VALUE!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/>
      </c>
      <c r="I98" s="11" t="s">
        <v>276</v>
      </c>
      <c r="J98" s="19" t="e">
        <f>VLOOKUP(Table2[[#This Row], [Author]],People!A:B,2,0)</f>
        <v>#VALUE!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/>
      </c>
      <c r="I99" s="13" t="s">
        <v>276</v>
      </c>
      <c r="J99" s="22" t="e">
        <f>VLOOKUP(Table2[[#This Row], [Author]],People!A:B,2,0)</f>
        <v>#VALUE!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/>
      </c>
      <c r="I100" s="11" t="s">
        <v>276</v>
      </c>
      <c r="J100" s="19" t="e">
        <f>VLOOKUP(Table2[[#This Row], [Author]],People!A:B,2,0)</f>
        <v>#VALUE!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/>
      </c>
      <c r="I101" s="13" t="s">
        <v>276</v>
      </c>
      <c r="J101" s="22" t="e">
        <f>VLOOKUP(Table2[[#This Row], [Author]],People!A:B,2,0)</f>
        <v>#VALUE!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/>
      </c>
      <c r="I102" s="11" t="s">
        <v>276</v>
      </c>
      <c r="J102" s="19" t="e">
        <f>VLOOKUP(Table2[[#This Row], [Author]],People!A:B,2,0)</f>
        <v>#VALUE!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/>
      </c>
      <c r="I103" s="13" t="s">
        <v>276</v>
      </c>
      <c r="J103" s="22" t="e">
        <f>VLOOKUP(Table2[[#This Row], [Author]],People!A:B,2,0)</f>
        <v>#VALUE!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/>
      </c>
      <c r="I104" s="11" t="s">
        <v>276</v>
      </c>
      <c r="J104" s="19" t="e">
        <f>VLOOKUP(Table2[[#This Row], [Author]],People!A:B,2,0)</f>
        <v>#VALUE!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/>
      </c>
      <c r="I105" s="13" t="s">
        <v>276</v>
      </c>
      <c r="J105" s="22" t="e">
        <f>VLOOKUP(Table2[[#This Row], [Author]],People!A:B,2,0)</f>
        <v>#VALUE!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/>
      </c>
      <c r="I106" s="11" t="s">
        <v>276</v>
      </c>
      <c r="J106" s="19" t="e">
        <f>VLOOKUP(Table2[[#This Row], [Author]],People!A:B,2,0)</f>
        <v>#VALUE!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/>
      </c>
      <c r="I107" s="13" t="s">
        <v>276</v>
      </c>
      <c r="J107" s="22" t="e">
        <f>VLOOKUP(Table2[[#This Row], [Author]],People!A:B,2,0)</f>
        <v>#VALUE!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/>
      </c>
      <c r="I108" s="11" t="s">
        <v>276</v>
      </c>
      <c r="J108" s="19" t="e">
        <f>VLOOKUP(Table2[[#This Row], [Author]],People!A:B,2,0)</f>
        <v>#VALUE!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/>
      </c>
      <c r="I109" s="13" t="s">
        <v>276</v>
      </c>
      <c r="J109" s="22" t="e">
        <f>VLOOKUP(Table2[[#This Row], [Author]],People!A:B,2,0)</f>
        <v>#VALUE!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/>
      </c>
      <c r="I110" s="11" t="s">
        <v>276</v>
      </c>
      <c r="J110" s="19" t="e">
        <f>VLOOKUP(Table2[[#This Row], [Author]],People!A:B,2,0)</f>
        <v>#VALUE!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/>
      </c>
      <c r="I111" s="13" t="s">
        <v>276</v>
      </c>
      <c r="J111" s="22" t="e">
        <f>VLOOKUP(Table2[[#This Row], [Author]],People!A:B,2,0)</f>
        <v>#VALUE!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/>
      </c>
      <c r="I112" s="11" t="s">
        <v>276</v>
      </c>
      <c r="J112" s="19" t="e">
        <f>VLOOKUP(Table2[[#This Row], [Author]],People!A:B,2,0)</f>
        <v>#VALUE!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/>
      </c>
      <c r="I113" s="13" t="s">
        <v>276</v>
      </c>
      <c r="J113" s="22" t="e">
        <f>VLOOKUP(Table2[[#This Row], [Author]],People!A:B,2,0)</f>
        <v>#VALUE!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/>
      </c>
      <c r="I114" s="11" t="s">
        <v>276</v>
      </c>
      <c r="J114" s="19" t="e">
        <f>VLOOKUP(Table2[[#This Row], [Author]],People!A:B,2,0)</f>
        <v>#VALUE!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/>
      </c>
      <c r="I115" s="13" t="s">
        <v>276</v>
      </c>
      <c r="J115" s="22" t="e">
        <f>VLOOKUP(Table2[[#This Row], [Author]],People!A:B,2,0)</f>
        <v>#VALUE!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/>
      </c>
      <c r="I116" s="11" t="s">
        <v>276</v>
      </c>
      <c r="J116" s="19" t="e">
        <f>VLOOKUP(Table2[[#This Row], [Author]],People!A:B,2,0)</f>
        <v>#VALUE!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/>
      </c>
      <c r="I117" s="13" t="s">
        <v>276</v>
      </c>
      <c r="J117" s="22" t="e">
        <f>VLOOKUP(Table2[[#This Row], [Author]],People!A:B,2,0)</f>
        <v>#VALUE!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/>
      </c>
      <c r="I118" s="11" t="s">
        <v>276</v>
      </c>
      <c r="J118" s="19" t="e">
        <f>VLOOKUP(Table2[[#This Row], [Author]],People!A:B,2,0)</f>
        <v>#VALUE!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/>
      </c>
      <c r="I119" s="13" t="s">
        <v>276</v>
      </c>
      <c r="J119" s="22" t="e">
        <f>VLOOKUP(Table2[[#This Row], [Author]],People!A:B,2,0)</f>
        <v>#VALUE!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/>
      </c>
      <c r="I120" s="11" t="s">
        <v>276</v>
      </c>
      <c r="J120" s="19" t="e">
        <f>VLOOKUP(Table2[[#This Row], [Author]],People!A:B,2,0)</f>
        <v>#VALUE!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/>
      </c>
      <c r="I121" s="13" t="s">
        <v>276</v>
      </c>
      <c r="J121" s="22" t="e">
        <f>VLOOKUP(Table2[[#This Row], [Author]],People!A:B,2,0)</f>
        <v>#VALUE!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/>
      </c>
      <c r="I122" s="11" t="s">
        <v>276</v>
      </c>
      <c r="J122" s="19" t="e">
        <f>VLOOKUP(Table2[[#This Row], [Author]],People!A:B,2,0)</f>
        <v>#VALUE!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/>
      </c>
      <c r="I123" s="13" t="s">
        <v>276</v>
      </c>
      <c r="J123" s="22" t="e">
        <f>VLOOKUP(Table2[[#This Row], [Author]],People!A:B,2,0)</f>
        <v>#VALUE!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/>
      </c>
      <c r="I124" s="11" t="s">
        <v>276</v>
      </c>
      <c r="J124" s="19" t="e">
        <f>VLOOKUP(Table2[[#This Row], [Author]],People!A:B,2,0)</f>
        <v>#VALUE!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/>
      </c>
      <c r="I125" s="13" t="s">
        <v>276</v>
      </c>
      <c r="J125" s="22" t="e">
        <f>VLOOKUP(Table2[[#This Row], [Author]],People!A:B,2,0)</f>
        <v>#VALUE!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/>
      </c>
      <c r="I126" s="11" t="s">
        <v>276</v>
      </c>
      <c r="J126" s="19" t="e">
        <f>VLOOKUP(Table2[[#This Row], [Author]],People!A:B,2,0)</f>
        <v>#VALUE!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/>
      </c>
      <c r="I127" s="13" t="s">
        <v>276</v>
      </c>
      <c r="J127" s="22" t="e">
        <f>VLOOKUP(Table2[[#This Row], [Author]],People!A:B,2,0)</f>
        <v>#VALUE!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/>
      </c>
      <c r="I128" s="11" t="s">
        <v>276</v>
      </c>
      <c r="J128" s="19" t="e">
        <f>VLOOKUP(Table2[[#This Row], [Author]],People!A:B,2,0)</f>
        <v>#VALUE!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/>
      </c>
      <c r="I129" s="13" t="s">
        <v>276</v>
      </c>
      <c r="J129" s="22" t="e">
        <f>VLOOKUP(Table2[[#This Row], [Author]],People!A:B,2,0)</f>
        <v>#VALUE!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/>
      </c>
      <c r="I130" s="11" t="s">
        <v>276</v>
      </c>
      <c r="J130" s="19" t="e">
        <f>VLOOKUP(Table2[[#This Row], [Author]],People!A:B,2,0)</f>
        <v>#VALUE!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/>
      </c>
      <c r="I131" s="13" t="s">
        <v>276</v>
      </c>
      <c r="J131" s="22" t="e">
        <f>VLOOKUP(Table2[[#This Row], [Author]],People!A:B,2,0)</f>
        <v>#VALUE!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/>
      </c>
      <c r="I132" s="11" t="s">
        <v>276</v>
      </c>
      <c r="J132" s="19" t="e">
        <f>VLOOKUP(Table2[[#This Row], [Author]],People!A:B,2,0)</f>
        <v>#VALUE!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/>
      </c>
      <c r="I133" s="13" t="s">
        <v>276</v>
      </c>
      <c r="J133" s="22" t="e">
        <f>VLOOKUP(Table2[[#This Row], [Author]],People!A:B,2,0)</f>
        <v>#VALUE!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/>
      </c>
      <c r="I134" s="11" t="s">
        <v>276</v>
      </c>
      <c r="J134" s="19" t="e">
        <f>VLOOKUP(Table2[[#This Row], [Author]],People!A:B,2,0)</f>
        <v>#VALUE!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/>
      </c>
      <c r="I135" s="13" t="s">
        <v>276</v>
      </c>
      <c r="J135" s="22" t="e">
        <f>VLOOKUP(Table2[[#This Row], [Author]],People!A:B,2,0)</f>
        <v>#VALUE!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/>
      </c>
      <c r="I136" s="11" t="s">
        <v>276</v>
      </c>
      <c r="J136" s="19" t="e">
        <f>VLOOKUP(Table2[[#This Row], [Author]],People!A:B,2,0)</f>
        <v>#VALUE!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/>
      </c>
      <c r="I137" s="13" t="s">
        <v>276</v>
      </c>
      <c r="J137" s="22" t="e">
        <f>VLOOKUP(Table2[[#This Row], [Author]],People!A:B,2,0)</f>
        <v>#VALUE!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/>
      </c>
      <c r="I138" s="11" t="s">
        <v>276</v>
      </c>
      <c r="J138" s="19" t="e">
        <f>VLOOKUP(Table2[[#This Row], [Author]],People!A:B,2,0)</f>
        <v>#VALUE!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/>
      </c>
      <c r="I139" s="13" t="s">
        <v>276</v>
      </c>
      <c r="J139" s="22" t="e">
        <f>VLOOKUP(Table2[[#This Row], [Author]],People!A:B,2,0)</f>
        <v>#VALUE!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/>
      </c>
      <c r="I140" s="11" t="s">
        <v>276</v>
      </c>
      <c r="J140" s="19" t="e">
        <f>VLOOKUP(Table2[[#This Row], [Author]],People!A:B,2,0)</f>
        <v>#VALUE!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/>
      </c>
      <c r="I141" s="13" t="s">
        <v>276</v>
      </c>
      <c r="J141" s="22" t="e">
        <f>VLOOKUP(Table2[[#This Row], [Author]],People!A:B,2,0)</f>
        <v>#VALUE!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/>
      </c>
      <c r="I142" s="11" t="s">
        <v>276</v>
      </c>
      <c r="J142" s="19" t="e">
        <f>VLOOKUP(Table2[[#This Row], [Author]],People!A:B,2,0)</f>
        <v>#VALUE!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/>
      </c>
      <c r="I143" s="13" t="s">
        <v>276</v>
      </c>
      <c r="J143" s="22" t="e">
        <f>VLOOKUP(Table2[[#This Row], [Author]],People!A:B,2,0)</f>
        <v>#VALUE!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/>
      </c>
      <c r="I144" s="11" t="s">
        <v>276</v>
      </c>
      <c r="J144" s="19" t="e">
        <f>VLOOKUP(Table2[[#This Row], [Author]],People!A:B,2,0)</f>
        <v>#VALUE!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/>
      </c>
      <c r="I145" s="13" t="s">
        <v>276</v>
      </c>
      <c r="J145" s="22" t="e">
        <f>VLOOKUP(Table2[[#This Row], [Author]],People!A:B,2,0)</f>
        <v>#VALUE!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/>
      </c>
      <c r="I146" s="11" t="s">
        <v>276</v>
      </c>
      <c r="J146" s="19" t="e">
        <f>VLOOKUP(Table2[[#This Row], [Author]],People!A:B,2,0)</f>
        <v>#VALUE!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/>
      </c>
      <c r="I147" s="13" t="s">
        <v>276</v>
      </c>
      <c r="J147" s="22" t="e">
        <f>VLOOKUP(Table2[[#This Row], [Author]],People!A:B,2,0)</f>
        <v>#VALUE!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/>
      </c>
      <c r="I148" s="11" t="s">
        <v>276</v>
      </c>
      <c r="J148" s="19" t="e">
        <f>VLOOKUP(Table2[[#This Row], [Author]],People!A:B,2,0)</f>
        <v>#VALUE!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/>
      </c>
      <c r="I149" s="13" t="s">
        <v>276</v>
      </c>
      <c r="J149" s="22" t="e">
        <f>VLOOKUP(Table2[[#This Row], [Author]],People!A:B,2,0)</f>
        <v>#VALUE!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/>
      </c>
      <c r="I150" s="11" t="s">
        <v>276</v>
      </c>
      <c r="J150" s="19" t="e">
        <f>VLOOKUP(Table2[[#This Row], [Author]],People!A:B,2,0)</f>
        <v>#VALUE!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/>
      </c>
      <c r="I151" s="13" t="s">
        <v>276</v>
      </c>
      <c r="J151" s="22" t="e">
        <f>VLOOKUP(Table2[[#This Row], [Author]],People!A:B,2,0)</f>
        <v>#VALUE!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/>
      </c>
      <c r="I152" s="11" t="s">
        <v>276</v>
      </c>
      <c r="J152" s="19" t="e">
        <f>VLOOKUP(Table2[[#This Row], [Author]],People!A:B,2,0)</f>
        <v>#VALUE!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/>
      </c>
      <c r="I153" s="13" t="s">
        <v>276</v>
      </c>
      <c r="J153" s="22" t="e">
        <f>VLOOKUP(Table2[[#This Row], [Author]],People!A:B,2,0)</f>
        <v>#VALUE!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/>
      </c>
      <c r="I154" s="11" t="s">
        <v>276</v>
      </c>
      <c r="J154" s="19" t="e">
        <f>VLOOKUP(Table2[[#This Row], [Author]],People!A:B,2,0)</f>
        <v>#VALUE!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/>
      </c>
      <c r="I155" s="13" t="s">
        <v>276</v>
      </c>
      <c r="J155" s="22" t="e">
        <f>VLOOKUP(Table2[[#This Row], [Author]],People!A:B,2,0)</f>
        <v>#VALUE!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/>
      </c>
      <c r="I156" s="11" t="s">
        <v>276</v>
      </c>
      <c r="J156" s="19" t="e">
        <f>VLOOKUP(Table2[[#This Row], [Author]],People!A:B,2,0)</f>
        <v>#VALUE!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/>
      </c>
      <c r="I157" s="13" t="s">
        <v>276</v>
      </c>
      <c r="J157" s="22" t="e">
        <f>VLOOKUP(Table2[[#This Row], [Author]],People!A:B,2,0)</f>
        <v>#VALUE!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/>
      </c>
      <c r="I158" s="11" t="s">
        <v>276</v>
      </c>
      <c r="J158" s="19" t="e">
        <f>VLOOKUP(Table2[[#This Row], [Author]],People!A:B,2,0)</f>
        <v>#VALUE!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/>
      </c>
      <c r="I159" s="13" t="s">
        <v>276</v>
      </c>
      <c r="J159" s="22" t="e">
        <f>VLOOKUP(Table2[[#This Row], [Author]],People!A:B,2,0)</f>
        <v>#VALUE!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/>
      </c>
      <c r="I160" s="11" t="s">
        <v>276</v>
      </c>
      <c r="J160" s="19" t="e">
        <f>VLOOKUP(Table2[[#This Row], [Author]],People!A:B,2,0)</f>
        <v>#VALUE!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/>
      </c>
      <c r="I161" s="13" t="s">
        <v>276</v>
      </c>
      <c r="J161" s="22" t="e">
        <f>VLOOKUP(Table2[[#This Row], [Author]],People!A:B,2,0)</f>
        <v>#VALUE!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/>
      </c>
      <c r="I162" s="11" t="s">
        <v>276</v>
      </c>
      <c r="J162" s="19" t="e">
        <f>VLOOKUP(Table2[[#This Row], [Author]],People!A:B,2,0)</f>
        <v>#VALUE!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/>
      </c>
      <c r="I163" s="13" t="s">
        <v>276</v>
      </c>
      <c r="J163" s="22" t="e">
        <f>VLOOKUP(Table2[[#This Row], [Author]],People!A:B,2,0)</f>
        <v>#VALUE!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/>
      </c>
      <c r="I164" s="11" t="s">
        <v>276</v>
      </c>
      <c r="J164" s="19" t="e">
        <f>VLOOKUP(Table2[[#This Row], [Author]],People!A:B,2,0)</f>
        <v>#VALUE!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/>
      </c>
      <c r="I165" s="13" t="s">
        <v>276</v>
      </c>
      <c r="J165" s="22" t="e">
        <f>VLOOKUP(Table2[[#This Row], [Author]],People!A:B,2,0)</f>
        <v>#VALUE!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/>
      </c>
      <c r="I166" s="11" t="s">
        <v>276</v>
      </c>
      <c r="J166" s="19" t="e">
        <f>VLOOKUP(Table2[[#This Row], [Author]],People!A:B,2,0)</f>
        <v>#VALUE!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/>
      </c>
      <c r="I167" s="13" t="s">
        <v>276</v>
      </c>
      <c r="J167" s="22" t="e">
        <f>VLOOKUP(Table2[[#This Row], [Author]],People!A:B,2,0)</f>
        <v>#VALUE!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/>
      </c>
      <c r="I168" s="11" t="s">
        <v>276</v>
      </c>
      <c r="J168" s="19" t="e">
        <f>VLOOKUP(Table2[[#This Row], [Author]],People!A:B,2,0)</f>
        <v>#VALUE!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/>
      </c>
      <c r="I169" s="13" t="s">
        <v>276</v>
      </c>
      <c r="J169" s="22" t="e">
        <f>VLOOKUP(Table2[[#This Row], [Author]],People!A:B,2,0)</f>
        <v>#VALUE!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/>
      </c>
      <c r="I170" s="11" t="s">
        <v>276</v>
      </c>
      <c r="J170" s="19" t="e">
        <f>VLOOKUP(Table2[[#This Row], [Author]],People!A:B,2,0)</f>
        <v>#VALUE!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/>
      </c>
      <c r="I171" s="13" t="s">
        <v>276</v>
      </c>
      <c r="J171" s="22" t="e">
        <f>VLOOKUP(Table2[[#This Row], [Author]],People!A:B,2,0)</f>
        <v>#VALUE!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/>
      </c>
      <c r="I172" s="11" t="s">
        <v>276</v>
      </c>
      <c r="J172" s="19" t="e">
        <f>VLOOKUP(Table2[[#This Row], [Author]],People!A:B,2,0)</f>
        <v>#VALUE!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/>
      </c>
      <c r="I173" s="13" t="s">
        <v>276</v>
      </c>
      <c r="J173" s="22" t="e">
        <f>VLOOKUP(Table2[[#This Row], [Author]],People!A:B,2,0)</f>
        <v>#VALUE!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/>
      </c>
      <c r="I174" s="11" t="s">
        <v>276</v>
      </c>
      <c r="J174" s="19" t="e">
        <f>VLOOKUP(Table2[[#This Row], [Author]],People!A:B,2,0)</f>
        <v>#VALUE!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/>
      </c>
      <c r="I175" s="13" t="s">
        <v>276</v>
      </c>
      <c r="J175" s="22" t="e">
        <f>VLOOKUP(Table2[[#This Row], [Author]],People!A:B,2,0)</f>
        <v>#VALUE!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/>
      </c>
      <c r="I176" s="11" t="s">
        <v>276</v>
      </c>
      <c r="J176" s="19" t="e">
        <f>VLOOKUP(Table2[[#This Row], [Author]],People!A:B,2,0)</f>
        <v>#VALUE!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/>
      </c>
      <c r="I177" s="13" t="s">
        <v>276</v>
      </c>
      <c r="J177" s="22" t="e">
        <f>VLOOKUP(Table2[[#This Row], [Author]],People!A:B,2,0)</f>
        <v>#VALUE!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/>
      </c>
      <c r="I178" s="11" t="s">
        <v>276</v>
      </c>
      <c r="J178" s="19" t="e">
        <f>VLOOKUP(Table2[[#This Row], [Author]],People!A:B,2,0)</f>
        <v>#VALUE!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/>
      </c>
      <c r="I179" s="13" t="s">
        <v>276</v>
      </c>
      <c r="J179" s="22" t="e">
        <f>VLOOKUP(Table2[[#This Row], [Author]],People!A:B,2,0)</f>
        <v>#VALUE!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/>
      </c>
      <c r="I180" s="11" t="s">
        <v>276</v>
      </c>
      <c r="J180" s="19" t="e">
        <f>VLOOKUP(Table2[[#This Row], [Author]],People!A:B,2,0)</f>
        <v>#VALUE!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/>
      </c>
      <c r="I181" s="13" t="s">
        <v>276</v>
      </c>
      <c r="J181" s="22" t="e">
        <f>VLOOKUP(Table2[[#This Row], [Author]],People!A:B,2,0)</f>
        <v>#VALUE!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/>
      </c>
      <c r="I182" s="11" t="s">
        <v>276</v>
      </c>
      <c r="J182" s="19" t="e">
        <f>VLOOKUP(Table2[[#This Row], [Author]],People!A:B,2,0)</f>
        <v>#VALUE!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/>
      </c>
      <c r="I183" s="13" t="s">
        <v>276</v>
      </c>
      <c r="J183" s="22" t="e">
        <f>VLOOKUP(Table2[[#This Row], [Author]],People!A:B,2,0)</f>
        <v>#VALUE!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/>
      </c>
      <c r="I184" s="11" t="s">
        <v>276</v>
      </c>
      <c r="J184" s="19" t="e">
        <f>VLOOKUP(Table2[[#This Row], [Author]],People!A:B,2,0)</f>
        <v>#VALUE!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/>
      </c>
      <c r="I185" s="13" t="s">
        <v>276</v>
      </c>
      <c r="J185" s="22" t="e">
        <f>VLOOKUP(Table2[[#This Row], [Author]],People!A:B,2,0)</f>
        <v>#VALUE!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/>
      </c>
      <c r="I186" s="11" t="s">
        <v>276</v>
      </c>
      <c r="J186" s="19" t="e">
        <f>VLOOKUP(Table2[[#This Row], [Author]],People!A:B,2,0)</f>
        <v>#VALUE!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/>
      </c>
      <c r="I187" s="13" t="s">
        <v>276</v>
      </c>
      <c r="J187" s="22" t="e">
        <f>VLOOKUP(Table2[[#This Row], [Author]],People!A:B,2,0)</f>
        <v>#VALUE!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/>
      </c>
      <c r="I188" s="11" t="s">
        <v>276</v>
      </c>
      <c r="J188" s="19" t="e">
        <f>VLOOKUP(Table2[[#This Row], [Author]],People!A:B,2,0)</f>
        <v>#VALUE!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/>
      </c>
      <c r="I189" s="13" t="s">
        <v>276</v>
      </c>
      <c r="J189" s="22" t="e">
        <f>VLOOKUP(Table2[[#This Row], [Author]],People!A:B,2,0)</f>
        <v>#VALUE!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/>
      </c>
      <c r="I190" s="11" t="s">
        <v>276</v>
      </c>
      <c r="J190" s="19" t="e">
        <f>VLOOKUP(Table2[[#This Row], [Author]],People!A:B,2,0)</f>
        <v>#VALUE!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/>
      </c>
      <c r="I191" s="13" t="s">
        <v>276</v>
      </c>
      <c r="J191" s="22" t="e">
        <f>VLOOKUP(Table2[[#This Row], [Author]],People!A:B,2,0)</f>
        <v>#VALUE!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/>
      </c>
      <c r="I192" s="11" t="s">
        <v>276</v>
      </c>
      <c r="J192" s="19" t="e">
        <f>VLOOKUP(Table2[[#This Row], [Author]],People!A:B,2,0)</f>
        <v>#VALUE!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/>
      </c>
      <c r="I193" s="13" t="s">
        <v>276</v>
      </c>
      <c r="J193" s="22" t="e">
        <f>VLOOKUP(Table2[[#This Row], [Author]],People!A:B,2,0)</f>
        <v>#VALUE!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/>
      </c>
      <c r="I194" s="11" t="s">
        <v>276</v>
      </c>
      <c r="J194" s="19" t="e">
        <f>VLOOKUP(Table2[[#This Row], [Author]],People!A:B,2,0)</f>
        <v>#VALUE!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/>
      </c>
      <c r="I195" s="13" t="s">
        <v>276</v>
      </c>
      <c r="J195" s="22" t="e">
        <f>VLOOKUP(Table2[[#This Row], [Author]],People!A:B,2,0)</f>
        <v>#VALUE!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/>
      </c>
      <c r="I196" s="11" t="s">
        <v>276</v>
      </c>
      <c r="J196" s="19" t="e">
        <f>VLOOKUP(Table2[[#This Row], [Author]],People!A:B,2,0)</f>
        <v>#VALUE!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/>
      </c>
      <c r="I197" s="13" t="s">
        <v>276</v>
      </c>
      <c r="J197" s="22" t="e">
        <f>VLOOKUP(Table2[[#This Row], [Author]],People!A:B,2,0)</f>
        <v>#VALUE!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/>
      </c>
      <c r="I198" s="11" t="s">
        <v>276</v>
      </c>
      <c r="J198" s="19" t="e">
        <f>VLOOKUP(Table2[[#This Row], [Author]],People!A:B,2,0)</f>
        <v>#VALUE!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/>
      </c>
      <c r="I199" s="13" t="s">
        <v>276</v>
      </c>
      <c r="J199" s="22" t="e">
        <f>VLOOKUP(Table2[[#This Row], [Author]],People!A:B,2,0)</f>
        <v>#VALUE!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/>
      </c>
      <c r="I200" s="11" t="s">
        <v>276</v>
      </c>
      <c r="J200" s="19" t="e">
        <f>VLOOKUP(Table2[[#This Row], [Author]],People!A:B,2,0)</f>
        <v>#VALUE!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/>
      </c>
      <c r="I201" s="13" t="s">
        <v>276</v>
      </c>
      <c r="J201" s="22" t="e">
        <f>VLOOKUP(Table2[[#This Row], [Author]],People!A:B,2,0)</f>
        <v>#VALUE!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/>
      </c>
      <c r="I202" s="11" t="s">
        <v>276</v>
      </c>
      <c r="J202" s="19" t="e">
        <f>VLOOKUP(Table2[[#This Row], [Author]],People!A:B,2,0)</f>
        <v>#VALUE!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/>
      </c>
      <c r="I203" s="13" t="s">
        <v>276</v>
      </c>
      <c r="J203" s="22" t="e">
        <f>VLOOKUP(Table2[[#This Row], [Author]],People!A:B,2,0)</f>
        <v>#VALUE!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/>
      </c>
      <c r="I204" s="11" t="s">
        <v>276</v>
      </c>
      <c r="J204" s="19" t="e">
        <f>VLOOKUP(Table2[[#This Row], [Author]],People!A:B,2,0)</f>
        <v>#VALUE!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/>
      </c>
      <c r="I205" s="13" t="s">
        <v>276</v>
      </c>
      <c r="J205" s="22" t="e">
        <f>VLOOKUP(Table2[[#This Row], [Author]],People!A:B,2,0)</f>
        <v>#VALUE!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/>
      </c>
      <c r="I206" s="11" t="s">
        <v>276</v>
      </c>
      <c r="J206" s="19" t="e">
        <f>VLOOKUP(Table2[[#This Row], [Author]],People!A:B,2,0)</f>
        <v>#VALUE!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/>
      </c>
      <c r="I207" s="13" t="s">
        <v>276</v>
      </c>
      <c r="J207" s="22" t="e">
        <f>VLOOKUP(Table2[[#This Row], [Author]],People!A:B,2,0)</f>
        <v>#VALUE!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/>
      </c>
      <c r="I208" s="11" t="s">
        <v>276</v>
      </c>
      <c r="J208" s="19" t="e">
        <f>VLOOKUP(Table2[[#This Row], [Author]],People!A:B,2,0)</f>
        <v>#VALUE!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/>
      </c>
      <c r="I209" s="13" t="s">
        <v>276</v>
      </c>
      <c r="J209" s="22" t="e">
        <f>VLOOKUP(Table2[[#This Row], [Author]],People!A:B,2,0)</f>
        <v>#VALUE!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/>
      </c>
      <c r="I210" s="11" t="s">
        <v>276</v>
      </c>
      <c r="J210" s="19" t="e">
        <f>VLOOKUP(Table2[[#This Row], [Author]],People!A:B,2,0)</f>
        <v>#VALUE!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/>
      </c>
      <c r="I211" s="13" t="s">
        <v>276</v>
      </c>
      <c r="J211" s="22" t="e">
        <f>VLOOKUP(Table2[[#This Row], [Author]],People!A:B,2,0)</f>
        <v>#VALUE!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/>
      </c>
      <c r="I212" s="11" t="s">
        <v>276</v>
      </c>
      <c r="J212" s="19" t="e">
        <f>VLOOKUP(Table2[[#This Row], [Author]],People!A:B,2,0)</f>
        <v>#VALUE!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/>
      </c>
      <c r="I213" s="13" t="s">
        <v>276</v>
      </c>
      <c r="J213" s="22" t="e">
        <f>VLOOKUP(Table2[[#This Row], [Author]],People!A:B,2,0)</f>
        <v>#VALUE!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/>
      </c>
      <c r="I214" s="11" t="s">
        <v>276</v>
      </c>
      <c r="J214" s="19" t="e">
        <f>VLOOKUP(Table2[[#This Row], [Author]],People!A:B,2,0)</f>
        <v>#VALUE!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/>
      </c>
      <c r="I215" s="13" t="s">
        <v>276</v>
      </c>
      <c r="J215" s="22" t="e">
        <f>VLOOKUP(Table2[[#This Row], [Author]],People!A:B,2,0)</f>
        <v>#VALUE!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/>
      </c>
      <c r="I216" s="11" t="s">
        <v>276</v>
      </c>
      <c r="J216" s="19" t="e">
        <f>VLOOKUP(Table2[[#This Row], [Author]],People!A:B,2,0)</f>
        <v>#VALUE!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/>
      </c>
      <c r="I217" s="13" t="s">
        <v>276</v>
      </c>
      <c r="J217" s="22" t="e">
        <f>VLOOKUP(Table2[[#This Row], [Author]],People!A:B,2,0)</f>
        <v>#VALUE!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/>
      </c>
      <c r="I218" s="11" t="s">
        <v>276</v>
      </c>
      <c r="J218" s="19" t="e">
        <f>VLOOKUP(Table2[[#This Row], [Author]],People!A:B,2,0)</f>
        <v>#VALUE!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/>
      </c>
      <c r="I219" s="13" t="s">
        <v>276</v>
      </c>
      <c r="J219" s="22" t="e">
        <f>VLOOKUP(Table2[[#This Row], [Author]],People!A:B,2,0)</f>
        <v>#VALUE!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/>
      </c>
      <c r="I220" s="11" t="s">
        <v>276</v>
      </c>
      <c r="J220" s="19" t="e">
        <f>VLOOKUP(Table2[[#This Row], [Author]],People!A:B,2,0)</f>
        <v>#VALUE!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/>
      </c>
      <c r="I221" s="13" t="s">
        <v>276</v>
      </c>
      <c r="J221" s="22" t="e">
        <f>VLOOKUP(Table2[[#This Row], [Author]],People!A:B,2,0)</f>
        <v>#VALUE!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/>
      </c>
      <c r="I222" s="11" t="s">
        <v>276</v>
      </c>
      <c r="J222" s="19" t="e">
        <f>VLOOKUP(Table2[[#This Row], [Author]],People!A:B,2,0)</f>
        <v>#VALUE!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/>
      </c>
      <c r="I223" s="13" t="s">
        <v>276</v>
      </c>
      <c r="J223" s="22" t="e">
        <f>VLOOKUP(Table2[[#This Row], [Author]],People!A:B,2,0)</f>
        <v>#VALUE!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/>
      </c>
      <c r="I224" s="11" t="s">
        <v>276</v>
      </c>
      <c r="J224" s="19" t="e">
        <f>VLOOKUP(Table2[[#This Row], [Author]],People!A:B,2,0)</f>
        <v>#VALUE!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/>
      </c>
      <c r="I225" s="13" t="s">
        <v>276</v>
      </c>
      <c r="J225" s="22" t="e">
        <f>VLOOKUP(Table2[[#This Row], [Author]],People!A:B,2,0)</f>
        <v>#VALUE!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/>
      </c>
      <c r="I226" s="11" t="s">
        <v>276</v>
      </c>
      <c r="J226" s="19" t="e">
        <f>VLOOKUP(Table2[[#This Row], [Author]],People!A:B,2,0)</f>
        <v>#VALUE!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/>
      </c>
      <c r="I227" s="13" t="s">
        <v>276</v>
      </c>
      <c r="J227" s="22" t="e">
        <f>VLOOKUP(Table2[[#This Row], [Author]],People!A:B,2,0)</f>
        <v>#VALUE!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/>
      </c>
      <c r="I228" s="11" t="s">
        <v>276</v>
      </c>
      <c r="J228" s="19" t="e">
        <f>VLOOKUP(Table2[[#This Row], [Author]],People!A:B,2,0)</f>
        <v>#VALUE!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/>
      </c>
      <c r="I229" s="13" t="s">
        <v>276</v>
      </c>
      <c r="J229" s="22" t="e">
        <f>VLOOKUP(Table2[[#This Row], [Author]],People!A:B,2,0)</f>
        <v>#VALUE!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/>
      </c>
      <c r="I230" s="11" t="s">
        <v>276</v>
      </c>
      <c r="J230" s="19" t="e">
        <f>VLOOKUP(Table2[[#This Row], [Author]],People!A:B,2,0)</f>
        <v>#VALUE!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/>
      </c>
      <c r="I231" s="13" t="s">
        <v>276</v>
      </c>
      <c r="J231" s="22" t="e">
        <f>VLOOKUP(Table2[[#This Row], [Author]],People!A:B,2,0)</f>
        <v>#VALUE!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/>
      </c>
      <c r="I232" s="11" t="s">
        <v>276</v>
      </c>
      <c r="J232" s="19" t="e">
        <f>VLOOKUP(Table2[[#This Row], [Author]],People!A:B,2,0)</f>
        <v>#VALUE!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/>
      </c>
      <c r="I233" s="13" t="s">
        <v>276</v>
      </c>
      <c r="J233" s="22" t="e">
        <f>VLOOKUP(Table2[[#This Row], [Author]],People!A:B,2,0)</f>
        <v>#VALUE!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/>
      </c>
      <c r="I234" s="11" t="s">
        <v>276</v>
      </c>
      <c r="J234" s="19" t="e">
        <f>VLOOKUP(Table2[[#This Row], [Author]],People!A:B,2,0)</f>
        <v>#VALUE!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/>
      </c>
      <c r="I235" s="13" t="s">
        <v>276</v>
      </c>
      <c r="J235" s="22" t="e">
        <f>VLOOKUP(Table2[[#This Row], [Author]],People!A:B,2,0)</f>
        <v>#VALUE!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/>
      </c>
      <c r="I236" s="11" t="s">
        <v>276</v>
      </c>
      <c r="J236" s="19" t="e">
        <f>VLOOKUP(Table2[[#This Row], [Author]],People!A:B,2,0)</f>
        <v>#VALUE!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/>
      </c>
      <c r="I237" s="13" t="s">
        <v>276</v>
      </c>
      <c r="J237" s="22" t="e">
        <f>VLOOKUP(Table2[[#This Row], [Author]],People!A:B,2,0)</f>
        <v>#VALUE!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/>
      </c>
      <c r="I238" s="11" t="s">
        <v>276</v>
      </c>
      <c r="J238" s="19" t="e">
        <f>VLOOKUP(Table2[[#This Row], [Author]],People!A:B,2,0)</f>
        <v>#VALUE!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/>
      </c>
      <c r="I239" s="13" t="s">
        <v>276</v>
      </c>
      <c r="J239" s="22" t="e">
        <f>VLOOKUP(Table2[[#This Row], [Author]],People!A:B,2,0)</f>
        <v>#VALUE!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/>
      </c>
      <c r="I240" s="11" t="s">
        <v>276</v>
      </c>
      <c r="J240" s="19" t="e">
        <f>VLOOKUP(Table2[[#This Row], [Author]],People!A:B,2,0)</f>
        <v>#VALUE!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/>
      </c>
      <c r="I241" s="13" t="s">
        <v>276</v>
      </c>
      <c r="J241" s="22" t="e">
        <f>VLOOKUP(Table2[[#This Row], [Author]],People!A:B,2,0)</f>
        <v>#VALUE!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/>
      </c>
      <c r="I242" s="11" t="s">
        <v>276</v>
      </c>
      <c r="J242" s="19" t="e">
        <f>VLOOKUP(Table2[[#This Row], [Author]],People!A:B,2,0)</f>
        <v>#VALUE!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/>
      </c>
      <c r="I243" s="13" t="s">
        <v>276</v>
      </c>
      <c r="J243" s="22" t="e">
        <f>VLOOKUP(Table2[[#This Row], [Author]],People!A:B,2,0)</f>
        <v>#VALUE!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/>
      </c>
      <c r="I244" s="11" t="s">
        <v>276</v>
      </c>
      <c r="J244" s="19" t="e">
        <f>VLOOKUP(Table2[[#This Row], [Author]],People!A:B,2,0)</f>
        <v>#VALUE!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/>
      </c>
      <c r="I245" s="13" t="s">
        <v>276</v>
      </c>
      <c r="J245" s="22" t="e">
        <f>VLOOKUP(Table2[[#This Row], [Author]],People!A:B,2,0)</f>
        <v>#VALUE!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/>
      </c>
      <c r="I246" s="11" t="s">
        <v>276</v>
      </c>
      <c r="J246" s="19" t="e">
        <f>VLOOKUP(Table2[[#This Row], [Author]],People!A:B,2,0)</f>
        <v>#VALUE!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/>
      </c>
      <c r="I247" s="13" t="s">
        <v>276</v>
      </c>
      <c r="J247" s="22" t="e">
        <f>VLOOKUP(Table2[[#This Row], [Author]],People!A:B,2,0)</f>
        <v>#VALUE!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/>
      </c>
      <c r="I248" s="11" t="s">
        <v>276</v>
      </c>
      <c r="J248" s="19" t="e">
        <f>VLOOKUP(Table2[[#This Row], [Author]],People!A:B,2,0)</f>
        <v>#VALUE!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/>
      </c>
      <c r="I249" s="13" t="s">
        <v>276</v>
      </c>
      <c r="J249" s="22" t="e">
        <f>VLOOKUP(Table2[[#This Row], [Author]],People!A:B,2,0)</f>
        <v>#VALUE!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/>
      </c>
      <c r="I250" s="11" t="s">
        <v>276</v>
      </c>
      <c r="J250" s="19" t="e">
        <f>VLOOKUP(Table2[[#This Row], [Author]],People!A:B,2,0)</f>
        <v>#VALUE!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/>
      </c>
      <c r="I251" s="13" t="s">
        <v>276</v>
      </c>
      <c r="J251" s="22" t="e">
        <f>VLOOKUP(Table2[[#This Row], [Author]],People!A:B,2,0)</f>
        <v>#VALUE!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/>
      </c>
      <c r="I252" s="11" t="s">
        <v>276</v>
      </c>
      <c r="J252" s="19" t="e">
        <f>VLOOKUP(Table2[[#This Row], [Author]],People!A:B,2,0)</f>
        <v>#VALUE!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/>
      </c>
      <c r="I253" s="13" t="s">
        <v>276</v>
      </c>
      <c r="J253" s="22" t="e">
        <f>VLOOKUP(Table2[[#This Row], [Author]],People!A:B,2,0)</f>
        <v>#VALUE!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/>
      </c>
      <c r="I254" s="11" t="s">
        <v>276</v>
      </c>
      <c r="J254" s="19" t="e">
        <f>VLOOKUP(Table2[[#This Row], [Author]],People!A:B,2,0)</f>
        <v>#VALUE!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/>
      </c>
      <c r="I255" s="13" t="s">
        <v>276</v>
      </c>
      <c r="J255" s="22" t="e">
        <f>VLOOKUP(Table2[[#This Row], [Author]],People!A:B,2,0)</f>
        <v>#VALUE!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/>
      </c>
      <c r="I256" s="11" t="s">
        <v>276</v>
      </c>
      <c r="J256" s="19" t="e">
        <f>VLOOKUP(Table2[[#This Row], [Author]],People!A:B,2,0)</f>
        <v>#VALUE!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/>
      </c>
      <c r="I257" s="13" t="s">
        <v>276</v>
      </c>
      <c r="J257" s="22" t="e">
        <f>VLOOKUP(Table2[[#This Row], [Author]],People!A:B,2,0)</f>
        <v>#VALUE!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/>
      </c>
      <c r="I258" s="11" t="s">
        <v>276</v>
      </c>
      <c r="J258" s="19" t="e">
        <f>VLOOKUP(Table2[[#This Row], [Author]],People!A:B,2,0)</f>
        <v>#VALUE!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/>
      </c>
      <c r="I259" s="13" t="s">
        <v>276</v>
      </c>
      <c r="J259" s="22" t="e">
        <f>VLOOKUP(Table2[[#This Row], [Author]],People!A:B,2,0)</f>
        <v>#VALUE!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/>
      </c>
      <c r="I260" s="11" t="s">
        <v>276</v>
      </c>
      <c r="J260" s="19" t="e">
        <f>VLOOKUP(Table2[[#This Row], [Author]],People!A:B,2,0)</f>
        <v>#VALUE!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/>
      </c>
      <c r="I261" s="13" t="s">
        <v>276</v>
      </c>
      <c r="J261" s="22" t="e">
        <f>VLOOKUP(Table2[[#This Row], [Author]],People!A:B,2,0)</f>
        <v>#VALUE!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/>
      </c>
      <c r="I262" s="11" t="s">
        <v>276</v>
      </c>
      <c r="J262" s="19" t="e">
        <f>VLOOKUP(Table2[[#This Row], [Author]],People!A:B,2,0)</f>
        <v>#VALUE!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/>
      </c>
      <c r="I263" s="13" t="s">
        <v>276</v>
      </c>
      <c r="J263" s="22" t="e">
        <f>VLOOKUP(Table2[[#This Row], [Author]],People!A:B,2,0)</f>
        <v>#VALUE!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/>
      </c>
      <c r="I264" s="11" t="s">
        <v>276</v>
      </c>
      <c r="J264" s="19" t="e">
        <f>VLOOKUP(Table2[[#This Row], [Author]],People!A:B,2,0)</f>
        <v>#VALUE!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/>
      </c>
      <c r="I265" s="13" t="s">
        <v>276</v>
      </c>
      <c r="J265" s="22" t="e">
        <f>VLOOKUP(Table2[[#This Row], [Author]],People!A:B,2,0)</f>
        <v>#VALUE!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/>
      </c>
      <c r="I266" s="11" t="s">
        <v>276</v>
      </c>
      <c r="J266" s="19" t="e">
        <f>VLOOKUP(Table2[[#This Row], [Author]],People!A:B,2,0)</f>
        <v>#VALUE!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/>
      </c>
      <c r="I267" s="13" t="s">
        <v>276</v>
      </c>
      <c r="J267" s="22" t="e">
        <f>VLOOKUP(Table2[[#This Row], [Author]],People!A:B,2,0)</f>
        <v>#VALUE!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/>
      </c>
      <c r="I268" s="11" t="s">
        <v>276</v>
      </c>
      <c r="J268" s="19" t="e">
        <f>VLOOKUP(Table2[[#This Row], [Author]],People!A:B,2,0)</f>
        <v>#VALUE!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/>
      </c>
      <c r="I269" s="13" t="s">
        <v>276</v>
      </c>
      <c r="J269" s="22" t="e">
        <f>VLOOKUP(Table2[[#This Row], [Author]],People!A:B,2,0)</f>
        <v>#VALUE!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/>
      </c>
      <c r="I270" s="11" t="s">
        <v>276</v>
      </c>
      <c r="J270" s="19" t="e">
        <f>VLOOKUP(Table2[[#This Row], [Author]],People!A:B,2,0)</f>
        <v>#VALUE!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/>
      </c>
      <c r="I271" s="13" t="s">
        <v>276</v>
      </c>
      <c r="J271" s="22" t="e">
        <f>VLOOKUP(Table2[[#This Row], [Author]],People!A:B,2,0)</f>
        <v>#VALUE!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/>
      </c>
      <c r="I272" s="11" t="s">
        <v>276</v>
      </c>
      <c r="J272" s="19" t="e">
        <f>VLOOKUP(Table2[[#This Row], [Author]],People!A:B,2,0)</f>
        <v>#VALUE!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/>
      </c>
      <c r="I273" s="13" t="s">
        <v>276</v>
      </c>
      <c r="J273" s="22" t="e">
        <f>VLOOKUP(Table2[[#This Row], [Author]],People!A:B,2,0)</f>
        <v>#VALUE!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/>
      </c>
      <c r="I274" s="11" t="s">
        <v>276</v>
      </c>
      <c r="J274" s="19" t="e">
        <f>VLOOKUP(Table2[[#This Row], [Author]],People!A:B,2,0)</f>
        <v>#VALUE!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/>
      </c>
      <c r="I275" s="13" t="s">
        <v>276</v>
      </c>
      <c r="J275" s="22" t="e">
        <f>VLOOKUP(Table2[[#This Row], [Author]],People!A:B,2,0)</f>
        <v>#VALUE!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/>
      </c>
      <c r="I276" s="11" t="s">
        <v>276</v>
      </c>
      <c r="J276" s="19" t="e">
        <f>VLOOKUP(Table2[[#This Row], [Author]],People!A:B,2,0)</f>
        <v>#VALUE!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/>
      </c>
      <c r="I277" s="13" t="s">
        <v>276</v>
      </c>
      <c r="J277" s="22" t="e">
        <f>VLOOKUP(Table2[[#This Row], [Author]],People!A:B,2,0)</f>
        <v>#VALUE!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/>
      </c>
      <c r="I278" s="11" t="s">
        <v>276</v>
      </c>
      <c r="J278" s="19" t="e">
        <f>VLOOKUP(Table2[[#This Row], [Author]],People!A:B,2,0)</f>
        <v>#VALUE!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/>
      </c>
      <c r="I279" s="13" t="s">
        <v>276</v>
      </c>
      <c r="J279" s="22" t="e">
        <f>VLOOKUP(Table2[[#This Row], [Author]],People!A:B,2,0)</f>
        <v>#VALUE!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/>
      </c>
      <c r="I280" s="11" t="s">
        <v>276</v>
      </c>
      <c r="J280" s="19" t="e">
        <f>VLOOKUP(Table2[[#This Row], [Author]],People!A:B,2,0)</f>
        <v>#VALUE!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/>
      </c>
      <c r="I281" s="13" t="s">
        <v>276</v>
      </c>
      <c r="J281" s="22" t="e">
        <f>VLOOKUP(Table2[[#This Row], [Author]],People!A:B,2,0)</f>
        <v>#VALUE!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/>
      </c>
      <c r="I282" s="11" t="s">
        <v>276</v>
      </c>
      <c r="J282" s="19" t="e">
        <f>VLOOKUP(Table2[[#This Row], [Author]],People!A:B,2,0)</f>
        <v>#VALUE!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/>
      </c>
      <c r="I283" s="13" t="s">
        <v>276</v>
      </c>
      <c r="J283" s="22" t="e">
        <f>VLOOKUP(Table2[[#This Row], [Author]],People!A:B,2,0)</f>
        <v>#VALUE!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/>
      </c>
      <c r="I284" s="11" t="s">
        <v>276</v>
      </c>
      <c r="J284" s="19" t="e">
        <f>VLOOKUP(Table2[[#This Row], [Author]],People!A:B,2,0)</f>
        <v>#VALUE!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/>
      </c>
      <c r="I285" s="13" t="s">
        <v>276</v>
      </c>
      <c r="J285" s="22" t="e">
        <f>VLOOKUP(Table2[[#This Row], [Author]],People!A:B,2,0)</f>
        <v>#VALUE!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/>
      </c>
      <c r="I286" s="11" t="s">
        <v>276</v>
      </c>
      <c r="J286" s="19" t="e">
        <f>VLOOKUP(Table2[[#This Row], [Author]],People!A:B,2,0)</f>
        <v>#VALUE!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/>
      </c>
      <c r="I287" s="13" t="s">
        <v>276</v>
      </c>
      <c r="J287" s="22" t="e">
        <f>VLOOKUP(Table2[[#This Row], [Author]],People!A:B,2,0)</f>
        <v>#VALUE!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/>
      </c>
      <c r="I288" s="11" t="s">
        <v>276</v>
      </c>
      <c r="J288" s="19" t="e">
        <f>VLOOKUP(Table2[[#This Row], [Author]],People!A:B,2,0)</f>
        <v>#VALUE!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/>
      </c>
      <c r="I289" s="13" t="s">
        <v>276</v>
      </c>
      <c r="J289" s="22" t="e">
        <f>VLOOKUP(Table2[[#This Row], [Author]],People!A:B,2,0)</f>
        <v>#VALUE!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/>
      </c>
      <c r="I290" s="11" t="s">
        <v>276</v>
      </c>
      <c r="J290" s="19" t="e">
        <f>VLOOKUP(Table2[[#This Row], [Author]],People!A:B,2,0)</f>
        <v>#VALUE!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/>
      </c>
      <c r="I291" s="13" t="s">
        <v>276</v>
      </c>
      <c r="J291" s="22" t="e">
        <f>VLOOKUP(Table2[[#This Row], [Author]],People!A:B,2,0)</f>
        <v>#VALUE!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/>
      </c>
      <c r="I292" s="11" t="s">
        <v>276</v>
      </c>
      <c r="J292" s="19" t="e">
        <f>VLOOKUP(Table2[[#This Row], [Author]],People!A:B,2,0)</f>
        <v>#VALUE!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/>
      </c>
      <c r="I293" s="13" t="s">
        <v>276</v>
      </c>
      <c r="J293" s="22" t="e">
        <f>VLOOKUP(Table2[[#This Row], [Author]],People!A:B,2,0)</f>
        <v>#VALUE!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/>
      </c>
      <c r="I294" s="11" t="s">
        <v>276</v>
      </c>
      <c r="J294" s="19" t="e">
        <f>VLOOKUP(Table2[[#This Row], [Author]],People!A:B,2,0)</f>
        <v>#VALUE!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/>
      </c>
      <c r="I295" s="13" t="s">
        <v>276</v>
      </c>
      <c r="J295" s="22" t="e">
        <f>VLOOKUP(Table2[[#This Row], [Author]],People!A:B,2,0)</f>
        <v>#VALUE!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/>
      </c>
      <c r="I296" s="11" t="s">
        <v>276</v>
      </c>
      <c r="J296" s="19" t="e">
        <f>VLOOKUP(Table2[[#This Row], [Author]],People!A:B,2,0)</f>
        <v>#VALUE!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/>
      </c>
      <c r="I297" s="13" t="s">
        <v>276</v>
      </c>
      <c r="J297" s="22" t="e">
        <f>VLOOKUP(Table2[[#This Row], [Author]],People!A:B,2,0)</f>
        <v>#VALUE!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/>
      </c>
      <c r="I298" s="11" t="s">
        <v>276</v>
      </c>
      <c r="J298" s="19" t="e">
        <f>VLOOKUP(Table2[[#This Row], [Author]],People!A:B,2,0)</f>
        <v>#VALUE!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/>
      </c>
      <c r="I299" s="13" t="s">
        <v>276</v>
      </c>
      <c r="J299" s="22" t="e">
        <f>VLOOKUP(Table2[[#This Row], [Author]],People!A:B,2,0)</f>
        <v>#VALUE!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/>
      </c>
      <c r="I300" s="11" t="s">
        <v>276</v>
      </c>
      <c r="J300" s="19" t="e">
        <f>VLOOKUP(Table2[[#This Row], [Author]],People!A:B,2,0)</f>
        <v>#VALUE!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/>
      </c>
      <c r="I301" s="13" t="s">
        <v>276</v>
      </c>
      <c r="J301" s="22" t="e">
        <f>VLOOKUP(Table2[[#This Row], [Author]],People!A:B,2,0)</f>
        <v>#VALUE!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/>
      </c>
      <c r="I302" s="11" t="s">
        <v>276</v>
      </c>
      <c r="J302" s="19" t="e">
        <f>VLOOKUP(Table2[[#This Row], [Author]],People!A:B,2,0)</f>
        <v>#VALUE!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/>
      </c>
      <c r="I303" s="13" t="s">
        <v>276</v>
      </c>
      <c r="J303" s="22" t="e">
        <f>VLOOKUP(Table2[[#This Row], [Author]],People!A:B,2,0)</f>
        <v>#VALUE!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/>
      </c>
      <c r="I304" s="11" t="s">
        <v>276</v>
      </c>
      <c r="J304" s="19" t="e">
        <f>VLOOKUP(Table2[[#This Row], [Author]],People!A:B,2,0)</f>
        <v>#VALUE!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/>
      </c>
      <c r="I305" s="13" t="s">
        <v>276</v>
      </c>
      <c r="J305" s="22" t="e">
        <f>VLOOKUP(Table2[[#This Row], [Author]],People!A:B,2,0)</f>
        <v>#VALUE!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/>
      </c>
      <c r="I306" s="11" t="s">
        <v>276</v>
      </c>
      <c r="J306" s="19" t="e">
        <f>VLOOKUP(Table2[[#This Row], [Author]],People!A:B,2,0)</f>
        <v>#VALUE!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/>
      </c>
      <c r="I307" s="13" t="s">
        <v>276</v>
      </c>
      <c r="J307" s="22" t="e">
        <f>VLOOKUP(Table2[[#This Row], [Author]],People!A:B,2,0)</f>
        <v>#VALUE!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/>
      </c>
      <c r="I308" s="11" t="s">
        <v>276</v>
      </c>
      <c r="J308" s="19" t="e">
        <f>VLOOKUP(Table2[[#This Row], [Author]],People!A:B,2,0)</f>
        <v>#VALUE!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/>
      </c>
      <c r="I309" s="13" t="s">
        <v>276</v>
      </c>
      <c r="J309" s="22" t="e">
        <f>VLOOKUP(Table2[[#This Row], [Author]],People!A:B,2,0)</f>
        <v>#VALUE!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/>
      </c>
      <c r="I310" s="11" t="s">
        <v>276</v>
      </c>
      <c r="J310" s="19" t="e">
        <f>VLOOKUP(Table2[[#This Row], [Author]],People!A:B,2,0)</f>
        <v>#VALUE!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/>
      </c>
      <c r="I311" s="13" t="s">
        <v>276</v>
      </c>
      <c r="J311" s="22" t="e">
        <f>VLOOKUP(Table2[[#This Row], [Author]],People!A:B,2,0)</f>
        <v>#VALUE!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/>
      </c>
      <c r="I312" s="11" t="s">
        <v>276</v>
      </c>
      <c r="J312" s="19" t="e">
        <f>VLOOKUP(Table2[[#This Row], [Author]],People!A:B,2,0)</f>
        <v>#VALUE!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/>
      </c>
      <c r="I313" s="13" t="s">
        <v>276</v>
      </c>
      <c r="J313" s="22" t="e">
        <f>VLOOKUP(Table2[[#This Row], [Author]],People!A:B,2,0)</f>
        <v>#VALUE!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/>
      </c>
      <c r="I314" s="11" t="s">
        <v>276</v>
      </c>
      <c r="J314" s="19" t="e">
        <f>VLOOKUP(Table2[[#This Row], [Author]],People!A:B,2,0)</f>
        <v>#VALUE!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/>
      </c>
      <c r="I315" s="13" t="s">
        <v>276</v>
      </c>
      <c r="J315" s="22" t="e">
        <f>VLOOKUP(Table2[[#This Row], [Author]],People!A:B,2,0)</f>
        <v>#VALUE!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/>
      </c>
      <c r="I316" s="11" t="s">
        <v>276</v>
      </c>
      <c r="J316" s="19" t="e">
        <f>VLOOKUP(Table2[[#This Row], [Author]],People!A:B,2,0)</f>
        <v>#VALUE!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/>
      </c>
      <c r="I317" s="13" t="s">
        <v>276</v>
      </c>
      <c r="J317" s="22" t="e">
        <f>VLOOKUP(Table2[[#This Row], [Author]],People!A:B,2,0)</f>
        <v>#VALUE!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/>
      </c>
      <c r="I318" s="11" t="s">
        <v>276</v>
      </c>
      <c r="J318" s="19" t="e">
        <f>VLOOKUP(Table2[[#This Row], [Author]],People!A:B,2,0)</f>
        <v>#VALUE!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/>
      </c>
      <c r="I319" s="13" t="s">
        <v>276</v>
      </c>
      <c r="J319" s="22" t="e">
        <f>VLOOKUP(Table2[[#This Row], [Author]],People!A:B,2,0)</f>
        <v>#VALUE!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/>
      </c>
      <c r="I320" s="11" t="s">
        <v>276</v>
      </c>
      <c r="J320" s="19" t="e">
        <f>VLOOKUP(Table2[[#This Row], [Author]],People!A:B,2,0)</f>
        <v>#VALUE!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/>
      </c>
      <c r="I321" s="13" t="s">
        <v>276</v>
      </c>
      <c r="J321" s="22" t="e">
        <f>VLOOKUP(Table2[[#This Row], [Author]],People!A:B,2,0)</f>
        <v>#VALUE!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/>
      </c>
      <c r="I322" s="11" t="s">
        <v>276</v>
      </c>
      <c r="J322" s="19" t="e">
        <f>VLOOKUP(Table2[[#This Row], [Author]],People!A:B,2,0)</f>
        <v>#VALUE!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/>
      </c>
      <c r="I323" s="13" t="s">
        <v>276</v>
      </c>
      <c r="J323" s="22" t="e">
        <f>VLOOKUP(Table2[[#This Row], [Author]],People!A:B,2,0)</f>
        <v>#VALUE!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/>
      </c>
      <c r="I324" s="11" t="s">
        <v>276</v>
      </c>
      <c r="J324" s="19" t="e">
        <f>VLOOKUP(Table2[[#This Row], [Author]],People!A:B,2,0)</f>
        <v>#VALUE!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/>
      </c>
      <c r="I325" s="13" t="s">
        <v>276</v>
      </c>
      <c r="J325" s="22" t="e">
        <f>VLOOKUP(Table2[[#This Row], [Author]],People!A:B,2,0)</f>
        <v>#VALUE!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/>
      </c>
      <c r="I326" s="11" t="s">
        <v>276</v>
      </c>
      <c r="J326" s="19" t="e">
        <f>VLOOKUP(Table2[[#This Row], [Author]],People!A:B,2,0)</f>
        <v>#VALUE!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/>
      </c>
      <c r="I327" s="13" t="s">
        <v>276</v>
      </c>
      <c r="J327" s="22" t="e">
        <f>VLOOKUP(Table2[[#This Row], [Author]],People!A:B,2,0)</f>
        <v>#VALUE!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/>
      </c>
      <c r="I328" s="11" t="s">
        <v>276</v>
      </c>
      <c r="J328" s="19" t="e">
        <f>VLOOKUP(Table2[[#This Row], [Author]],People!A:B,2,0)</f>
        <v>#VALUE!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/>
      </c>
      <c r="I329" s="13" t="s">
        <v>276</v>
      </c>
      <c r="J329" s="22" t="e">
        <f>VLOOKUP(Table2[[#This Row], [Author]],People!A:B,2,0)</f>
        <v>#VALUE!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/>
      </c>
      <c r="I330" s="11" t="s">
        <v>276</v>
      </c>
      <c r="J330" s="19" t="e">
        <f>VLOOKUP(Table2[[#This Row], [Author]],People!A:B,2,0)</f>
        <v>#VALUE!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/>
      </c>
      <c r="I331" s="13" t="s">
        <v>276</v>
      </c>
      <c r="J331" s="22" t="e">
        <f>VLOOKUP(Table2[[#This Row], [Author]],People!A:B,2,0)</f>
        <v>#VALUE!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/>
      </c>
      <c r="I332" s="11" t="s">
        <v>276</v>
      </c>
      <c r="J332" s="19" t="e">
        <f>VLOOKUP(Table2[[#This Row], [Author]],People!A:B,2,0)</f>
        <v>#VALUE!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/>
      </c>
      <c r="I333" s="13" t="s">
        <v>276</v>
      </c>
      <c r="J333" s="22" t="e">
        <f>VLOOKUP(Table2[[#This Row], [Author]],People!A:B,2,0)</f>
        <v>#VALUE!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/>
      </c>
      <c r="I334" s="11" t="s">
        <v>276</v>
      </c>
      <c r="J334" s="19" t="e">
        <f>VLOOKUP(Table2[[#This Row], [Author]],People!A:B,2,0)</f>
        <v>#VALUE!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/>
      </c>
      <c r="I335" s="13" t="s">
        <v>276</v>
      </c>
      <c r="J335" s="22" t="e">
        <f>VLOOKUP(Table2[[#This Row], [Author]],People!A:B,2,0)</f>
        <v>#VALUE!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/>
      </c>
      <c r="I336" s="11" t="s">
        <v>276</v>
      </c>
      <c r="J336" s="19" t="e">
        <f>VLOOKUP(Table2[[#This Row], [Author]],People!A:B,2,0)</f>
        <v>#VALUE!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/>
      </c>
      <c r="I337" s="13" t="s">
        <v>276</v>
      </c>
      <c r="J337" s="22" t="e">
        <f>VLOOKUP(Table2[[#This Row], [Author]],People!A:B,2,0)</f>
        <v>#VALUE!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/>
      </c>
      <c r="I338" s="11" t="s">
        <v>276</v>
      </c>
      <c r="J338" s="19" t="e">
        <f>VLOOKUP(Table2[[#This Row], [Author]],People!A:B,2,0)</f>
        <v>#VALUE!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/>
      </c>
      <c r="I339" s="13" t="s">
        <v>276</v>
      </c>
      <c r="J339" s="22" t="e">
        <f>VLOOKUP(Table2[[#This Row], [Author]],People!A:B,2,0)</f>
        <v>#VALUE!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/>
      </c>
      <c r="I340" s="11" t="s">
        <v>276</v>
      </c>
      <c r="J340" s="19" t="e">
        <f>VLOOKUP(Table2[[#This Row], [Author]],People!A:B,2,0)</f>
        <v>#VALUE!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/>
      </c>
      <c r="I341" s="13" t="s">
        <v>276</v>
      </c>
      <c r="J341" s="22" t="e">
        <f>VLOOKUP(Table2[[#This Row], [Author]],People!A:B,2,0)</f>
        <v>#VALUE!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/>
      </c>
      <c r="I342" s="11" t="s">
        <v>276</v>
      </c>
      <c r="J342" s="19" t="e">
        <f>VLOOKUP(Table2[[#This Row], [Author]],People!A:B,2,0)</f>
        <v>#VALUE!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/>
      </c>
      <c r="I343" s="13" t="s">
        <v>276</v>
      </c>
      <c r="J343" s="22" t="e">
        <f>VLOOKUP(Table2[[#This Row], [Author]],People!A:B,2,0)</f>
        <v>#VALUE!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/>
      </c>
      <c r="I344" s="11" t="s">
        <v>276</v>
      </c>
      <c r="J344" s="19" t="e">
        <f>VLOOKUP(Table2[[#This Row], [Author]],People!A:B,2,0)</f>
        <v>#VALUE!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/>
      </c>
      <c r="I345" s="13" t="s">
        <v>276</v>
      </c>
      <c r="J345" s="22" t="e">
        <f>VLOOKUP(Table2[[#This Row], [Author]],People!A:B,2,0)</f>
        <v>#VALUE!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/>
      </c>
      <c r="I346" s="11" t="s">
        <v>276</v>
      </c>
      <c r="J346" s="19" t="e">
        <f>VLOOKUP(Table2[[#This Row], [Author]],People!A:B,2,0)</f>
        <v>#VALUE!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/>
      </c>
      <c r="I347" s="13" t="s">
        <v>276</v>
      </c>
      <c r="J347" s="22" t="e">
        <f>VLOOKUP(Table2[[#This Row], [Author]],People!A:B,2,0)</f>
        <v>#VALUE!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/>
      </c>
      <c r="I348" s="11" t="s">
        <v>276</v>
      </c>
      <c r="J348" s="19" t="e">
        <f>VLOOKUP(Table2[[#This Row], [Author]],People!A:B,2,0)</f>
        <v>#VALUE!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/>
      </c>
      <c r="I349" s="13" t="s">
        <v>276</v>
      </c>
      <c r="J349" s="22" t="e">
        <f>VLOOKUP(Table2[[#This Row], [Author]],People!A:B,2,0)</f>
        <v>#VALUE!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/>
      </c>
      <c r="I350" s="11" t="s">
        <v>276</v>
      </c>
      <c r="J350" s="19" t="e">
        <f>VLOOKUP(Table2[[#This Row], [Author]],People!A:B,2,0)</f>
        <v>#VALUE!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/>
      </c>
      <c r="I351" s="13" t="s">
        <v>276</v>
      </c>
      <c r="J351" s="22" t="e">
        <f>VLOOKUP(Table2[[#This Row], [Author]],People!A:B,2,0)</f>
        <v>#VALUE!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/>
      </c>
      <c r="I352" s="11" t="s">
        <v>276</v>
      </c>
      <c r="J352" s="19" t="e">
        <f>VLOOKUP(Table2[[#This Row], [Author]],People!A:B,2,0)</f>
        <v>#VALUE!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/>
      </c>
      <c r="I353" s="13" t="s">
        <v>276</v>
      </c>
      <c r="J353" s="22" t="e">
        <f>VLOOKUP(Table2[[#This Row], [Author]],People!A:B,2,0)</f>
        <v>#VALUE!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/>
      </c>
      <c r="I354" s="11" t="s">
        <v>276</v>
      </c>
      <c r="J354" s="19" t="e">
        <f>VLOOKUP(Table2[[#This Row], [Author]],People!A:B,2,0)</f>
        <v>#VALUE!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/>
      </c>
      <c r="I355" s="13" t="s">
        <v>276</v>
      </c>
      <c r="J355" s="22" t="e">
        <f>VLOOKUP(Table2[[#This Row], [Author]],People!A:B,2,0)</f>
        <v>#VALUE!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/>
      </c>
      <c r="I356" s="11" t="s">
        <v>276</v>
      </c>
      <c r="J356" s="19" t="e">
        <f>VLOOKUP(Table2[[#This Row], [Author]],People!A:B,2,0)</f>
        <v>#VALUE!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/>
      </c>
      <c r="I357" s="13" t="s">
        <v>276</v>
      </c>
      <c r="J357" s="22" t="e">
        <f>VLOOKUP(Table2[[#This Row], [Author]],People!A:B,2,0)</f>
        <v>#VALUE!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/>
      </c>
      <c r="I358" s="11" t="s">
        <v>276</v>
      </c>
      <c r="J358" s="19" t="e">
        <f>VLOOKUP(Table2[[#This Row], [Author]],People!A:B,2,0)</f>
        <v>#VALUE!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/>
      </c>
      <c r="I359" s="13" t="s">
        <v>276</v>
      </c>
      <c r="J359" s="22" t="e">
        <f>VLOOKUP(Table2[[#This Row], [Author]],People!A:B,2,0)</f>
        <v>#VALUE!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/>
      </c>
      <c r="I360" s="11" t="s">
        <v>276</v>
      </c>
      <c r="J360" s="19" t="e">
        <f>VLOOKUP(Table2[[#This Row], [Author]],People!A:B,2,0)</f>
        <v>#VALUE!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/>
      </c>
      <c r="I361" s="13" t="s">
        <v>276</v>
      </c>
      <c r="J361" s="22" t="e">
        <f>VLOOKUP(Table2[[#This Row], [Author]],People!A:B,2,0)</f>
        <v>#VALUE!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/>
      </c>
      <c r="I362" s="11" t="s">
        <v>276</v>
      </c>
      <c r="J362" s="19" t="e">
        <f>VLOOKUP(Table2[[#This Row], [Author]],People!A:B,2,0)</f>
        <v>#VALUE!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/>
      </c>
      <c r="I363" s="13" t="s">
        <v>276</v>
      </c>
      <c r="J363" s="22" t="e">
        <f>VLOOKUP(Table2[[#This Row], [Author]],People!A:B,2,0)</f>
        <v>#VALUE!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/>
      </c>
      <c r="I364" s="11" t="s">
        <v>276</v>
      </c>
      <c r="J364" s="19" t="e">
        <f>VLOOKUP(Table2[[#This Row], [Author]],People!A:B,2,0)</f>
        <v>#VALUE!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/>
      </c>
      <c r="I365" s="13" t="s">
        <v>276</v>
      </c>
      <c r="J365" s="22" t="e">
        <f>VLOOKUP(Table2[[#This Row], [Author]],People!A:B,2,0)</f>
        <v>#VALUE!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/>
      </c>
      <c r="I366" s="11" t="s">
        <v>276</v>
      </c>
      <c r="J366" s="19" t="e">
        <f>VLOOKUP(Table2[[#This Row], [Author]],People!A:B,2,0)</f>
        <v>#VALUE!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/>
      </c>
      <c r="I367" s="13" t="s">
        <v>276</v>
      </c>
      <c r="J367" s="22" t="e">
        <f>VLOOKUP(Table2[[#This Row], [Author]],People!A:B,2,0)</f>
        <v>#VALUE!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/>
      </c>
      <c r="I368" s="11" t="s">
        <v>276</v>
      </c>
      <c r="J368" s="19" t="e">
        <f>VLOOKUP(Table2[[#This Row], [Author]],People!A:B,2,0)</f>
        <v>#VALUE!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/>
      </c>
      <c r="I369" s="13" t="s">
        <v>276</v>
      </c>
      <c r="J369" s="22" t="e">
        <f>VLOOKUP(Table2[[#This Row], [Author]],People!A:B,2,0)</f>
        <v>#VALUE!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/>
      </c>
      <c r="I370" s="11" t="s">
        <v>276</v>
      </c>
      <c r="J370" s="19" t="e">
        <f>VLOOKUP(Table2[[#This Row], [Author]],People!A:B,2,0)</f>
        <v>#VALUE!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/>
      </c>
      <c r="I371" s="13" t="s">
        <v>276</v>
      </c>
      <c r="J371" s="22" t="e">
        <f>VLOOKUP(Table2[[#This Row], [Author]],People!A:B,2,0)</f>
        <v>#VALUE!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/>
      </c>
      <c r="I372" s="11" t="s">
        <v>276</v>
      </c>
      <c r="J372" s="19" t="e">
        <f>VLOOKUP(Table2[[#This Row], [Author]],People!A:B,2,0)</f>
        <v>#VALUE!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/>
      </c>
      <c r="I373" s="13" t="s">
        <v>276</v>
      </c>
      <c r="J373" s="22" t="e">
        <f>VLOOKUP(Table2[[#This Row], [Author]],People!A:B,2,0)</f>
        <v>#VALUE!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/>
      </c>
      <c r="I374" s="11" t="s">
        <v>276</v>
      </c>
      <c r="J374" s="19" t="e">
        <f>VLOOKUP(Table2[[#This Row], [Author]],People!A:B,2,0)</f>
        <v>#VALUE!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/>
      </c>
      <c r="I375" s="13" t="s">
        <v>276</v>
      </c>
      <c r="J375" s="22" t="e">
        <f>VLOOKUP(Table2[[#This Row], [Author]],People!A:B,2,0)</f>
        <v>#VALUE!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/>
      </c>
      <c r="I376" s="11" t="s">
        <v>276</v>
      </c>
      <c r="J376" s="19" t="e">
        <f>VLOOKUP(Table2[[#This Row], [Author]],People!A:B,2,0)</f>
        <v>#VALUE!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/>
      </c>
      <c r="I377" s="13" t="s">
        <v>276</v>
      </c>
      <c r="J377" s="22" t="e">
        <f>VLOOKUP(Table2[[#This Row], [Author]],People!A:B,2,0)</f>
        <v>#VALUE!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/>
      </c>
      <c r="I378" s="11" t="s">
        <v>276</v>
      </c>
      <c r="J378" s="19" t="e">
        <f>VLOOKUP(Table2[[#This Row], [Author]],People!A:B,2,0)</f>
        <v>#VALUE!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/>
      </c>
      <c r="I379" s="13" t="s">
        <v>276</v>
      </c>
      <c r="J379" s="22" t="e">
        <f>VLOOKUP(Table2[[#This Row], [Author]],People!A:B,2,0)</f>
        <v>#VALUE!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/>
      </c>
      <c r="I380" s="11" t="s">
        <v>276</v>
      </c>
      <c r="J380" s="19" t="e">
        <f>VLOOKUP(Table2[[#This Row], [Author]],People!A:B,2,0)</f>
        <v>#VALUE!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/>
      </c>
      <c r="I381" s="13" t="s">
        <v>276</v>
      </c>
      <c r="J381" s="22" t="e">
        <f>VLOOKUP(Table2[[#This Row], [Author]],People!A:B,2,0)</f>
        <v>#VALUE!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/>
      </c>
      <c r="I382" s="11" t="s">
        <v>276</v>
      </c>
      <c r="J382" s="19" t="e">
        <f>VLOOKUP(Table2[[#This Row], [Author]],People!A:B,2,0)</f>
        <v>#VALUE!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/>
      </c>
      <c r="I383" s="13" t="s">
        <v>276</v>
      </c>
      <c r="J383" s="22" t="e">
        <f>VLOOKUP(Table2[[#This Row], [Author]],People!A:B,2,0)</f>
        <v>#VALUE!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/>
      </c>
      <c r="I384" s="11" t="s">
        <v>276</v>
      </c>
      <c r="J384" s="19" t="e">
        <f>VLOOKUP(Table2[[#This Row], [Author]],People!A:B,2,0)</f>
        <v>#VALUE!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/>
      </c>
      <c r="I385" s="13" t="s">
        <v>276</v>
      </c>
      <c r="J385" s="22" t="e">
        <f>VLOOKUP(Table2[[#This Row], [Author]],People!A:B,2,0)</f>
        <v>#VALUE!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/>
      </c>
      <c r="I386" s="11" t="s">
        <v>276</v>
      </c>
      <c r="J386" s="19" t="e">
        <f>VLOOKUP(Table2[[#This Row], [Author]],People!A:B,2,0)</f>
        <v>#VALUE!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/>
      </c>
      <c r="I387" s="13" t="s">
        <v>276</v>
      </c>
      <c r="J387" s="22" t="e">
        <f>VLOOKUP(Table2[[#This Row], [Author]],People!A:B,2,0)</f>
        <v>#VALUE!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/>
      </c>
      <c r="I388" s="11" t="s">
        <v>276</v>
      </c>
      <c r="J388" s="19" t="e">
        <f>VLOOKUP(Table2[[#This Row], [Author]],People!A:B,2,0)</f>
        <v>#VALUE!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/>
      </c>
      <c r="I389" s="13" t="s">
        <v>276</v>
      </c>
      <c r="J389" s="22" t="e">
        <f>VLOOKUP(Table2[[#This Row], [Author]],People!A:B,2,0)</f>
        <v>#VALUE!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/>
      </c>
      <c r="I390" s="11" t="s">
        <v>276</v>
      </c>
      <c r="J390" s="19" t="e">
        <f>VLOOKUP(Table2[[#This Row], [Author]],People!A:B,2,0)</f>
        <v>#VALUE!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/>
      </c>
      <c r="I391" s="13" t="s">
        <v>276</v>
      </c>
      <c r="J391" s="22" t="e">
        <f>VLOOKUP(Table2[[#This Row], [Author]],People!A:B,2,0)</f>
        <v>#VALUE!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/>
      </c>
      <c r="I392" s="11" t="s">
        <v>276</v>
      </c>
      <c r="J392" s="19" t="e">
        <f>VLOOKUP(Table2[[#This Row], [Author]],People!A:B,2,0)</f>
        <v>#VALUE!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/>
      </c>
      <c r="I393" s="13" t="s">
        <v>276</v>
      </c>
      <c r="J393" s="22" t="e">
        <f>VLOOKUP(Table2[[#This Row], [Author]],People!A:B,2,0)</f>
        <v>#VALUE!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/>
      </c>
      <c r="I394" s="11" t="s">
        <v>276</v>
      </c>
      <c r="J394" s="19" t="e">
        <f>VLOOKUP(Table2[[#This Row], [Author]],People!A:B,2,0)</f>
        <v>#VALUE!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/>
      </c>
      <c r="I395" s="13" t="s">
        <v>276</v>
      </c>
      <c r="J395" s="22" t="e">
        <f>VLOOKUP(Table2[[#This Row], [Author]],People!A:B,2,0)</f>
        <v>#VALUE!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/>
      </c>
      <c r="I396" s="11" t="s">
        <v>276</v>
      </c>
      <c r="J396" s="19" t="e">
        <f>VLOOKUP(Table2[[#This Row], [Author]],People!A:B,2,0)</f>
        <v>#VALUE!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/>
      </c>
      <c r="I397" s="13" t="s">
        <v>276</v>
      </c>
      <c r="J397" s="22" t="e">
        <f>VLOOKUP(Table2[[#This Row], [Author]],People!A:B,2,0)</f>
        <v>#VALUE!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/>
      </c>
      <c r="I398" s="11" t="s">
        <v>276</v>
      </c>
      <c r="J398" s="19" t="e">
        <f>VLOOKUP(Table2[[#This Row], [Author]],People!A:B,2,0)</f>
        <v>#VALUE!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/>
      </c>
      <c r="I399" s="13" t="s">
        <v>276</v>
      </c>
      <c r="J399" s="22" t="e">
        <f>VLOOKUP(Table2[[#This Row], [Author]],People!A:B,2,0)</f>
        <v>#VALUE!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/>
      </c>
      <c r="I400" s="11" t="s">
        <v>276</v>
      </c>
      <c r="J400" s="19" t="e">
        <f>VLOOKUP(Table2[[#This Row], [Author]],People!A:B,2,0)</f>
        <v>#VALUE!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/>
      </c>
      <c r="I401" s="13" t="s">
        <v>276</v>
      </c>
      <c r="J401" s="22" t="e">
        <f>VLOOKUP(Table2[[#This Row], [Author]],People!A:B,2,0)</f>
        <v>#VALUE!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/>
      </c>
      <c r="I402" s="11" t="s">
        <v>276</v>
      </c>
      <c r="J402" s="19" t="e">
        <f>VLOOKUP(Table2[[#This Row], [Author]],People!A:B,2,0)</f>
        <v>#VALUE!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/>
      </c>
      <c r="I403" s="13" t="s">
        <v>276</v>
      </c>
      <c r="J403" s="22" t="e">
        <f>VLOOKUP(Table2[[#This Row], [Author]],People!A:B,2,0)</f>
        <v>#VALUE!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/>
      </c>
      <c r="I404" s="11" t="s">
        <v>276</v>
      </c>
      <c r="J404" s="19" t="e">
        <f>VLOOKUP(Table2[[#This Row], [Author]],People!A:B,2,0)</f>
        <v>#VALUE!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/>
      </c>
      <c r="I405" s="13" t="s">
        <v>276</v>
      </c>
      <c r="J405" s="22" t="e">
        <f>VLOOKUP(Table2[[#This Row], [Author]],People!A:B,2,0)</f>
        <v>#VALUE!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/>
      </c>
      <c r="I406" s="11" t="s">
        <v>276</v>
      </c>
      <c r="J406" s="19" t="e">
        <f>VLOOKUP(Table2[[#This Row], [Author]],People!A:B,2,0)</f>
        <v>#VALUE!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/>
      </c>
      <c r="I407" s="13" t="s">
        <v>276</v>
      </c>
      <c r="J407" s="22" t="e">
        <f>VLOOKUP(Table2[[#This Row], [Author]],People!A:B,2,0)</f>
        <v>#VALUE!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/>
      </c>
      <c r="I408" s="11" t="s">
        <v>276</v>
      </c>
      <c r="J408" s="19" t="e">
        <f>VLOOKUP(Table2[[#This Row], [Author]],People!A:B,2,0)</f>
        <v>#VALUE!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/>
      </c>
      <c r="I409" s="13" t="s">
        <v>276</v>
      </c>
      <c r="J409" s="22" t="e">
        <f>VLOOKUP(Table2[[#This Row], [Author]],People!A:B,2,0)</f>
        <v>#VALUE!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/>
      </c>
      <c r="I410" s="11" t="s">
        <v>276</v>
      </c>
      <c r="J410" s="19" t="e">
        <f>VLOOKUP(Table2[[#This Row], [Author]],People!A:B,2,0)</f>
        <v>#VALUE!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/>
      </c>
      <c r="I411" s="13" t="s">
        <v>276</v>
      </c>
      <c r="J411" s="22" t="e">
        <f>VLOOKUP(Table2[[#This Row], [Author]],People!A:B,2,0)</f>
        <v>#VALUE!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/>
      </c>
      <c r="I412" s="11" t="s">
        <v>276</v>
      </c>
      <c r="J412" s="19" t="e">
        <f>VLOOKUP(Table2[[#This Row], [Author]],People!A:B,2,0)</f>
        <v>#VALUE!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/>
      </c>
      <c r="I413" s="13" t="s">
        <v>276</v>
      </c>
      <c r="J413" s="22" t="e">
        <f>VLOOKUP(Table2[[#This Row], [Author]],People!A:B,2,0)</f>
        <v>#VALUE!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/>
      </c>
      <c r="I414" s="11" t="s">
        <v>276</v>
      </c>
      <c r="J414" s="19" t="e">
        <f>VLOOKUP(Table2[[#This Row], [Author]],People!A:B,2,0)</f>
        <v>#VALUE!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/>
      </c>
      <c r="I415" s="13" t="s">
        <v>276</v>
      </c>
      <c r="J415" s="22" t="e">
        <f>VLOOKUP(Table2[[#This Row], [Author]],People!A:B,2,0)</f>
        <v>#VALUE!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/>
      </c>
      <c r="I416" s="11" t="s">
        <v>276</v>
      </c>
      <c r="J416" s="19" t="e">
        <f>VLOOKUP(Table2[[#This Row], [Author]],People!A:B,2,0)</f>
        <v>#VALUE!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/>
      </c>
      <c r="I417" s="13" t="s">
        <v>276</v>
      </c>
      <c r="J417" s="22" t="e">
        <f>VLOOKUP(Table2[[#This Row], [Author]],People!A:B,2,0)</f>
        <v>#VALUE!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/>
      </c>
      <c r="I418" s="11" t="s">
        <v>276</v>
      </c>
      <c r="J418" s="19" t="e">
        <f>VLOOKUP(Table2[[#This Row], [Author]],People!A:B,2,0)</f>
        <v>#VALUE!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/>
      </c>
      <c r="I419" s="13" t="s">
        <v>276</v>
      </c>
      <c r="J419" s="22" t="e">
        <f>VLOOKUP(Table2[[#This Row], [Author]],People!A:B,2,0)</f>
        <v>#VALUE!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/>
      </c>
      <c r="I420" s="11" t="s">
        <v>276</v>
      </c>
      <c r="J420" s="19" t="e">
        <f>VLOOKUP(Table2[[#This Row], [Author]],People!A:B,2,0)</f>
        <v>#VALUE!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/>
      </c>
      <c r="I421" s="13" t="s">
        <v>276</v>
      </c>
      <c r="J421" s="22" t="e">
        <f>VLOOKUP(Table2[[#This Row], [Author]],People!A:B,2,0)</f>
        <v>#VALUE!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/>
      </c>
      <c r="I422" s="11" t="s">
        <v>276</v>
      </c>
      <c r="J422" s="19" t="e">
        <f>VLOOKUP(Table2[[#This Row], [Author]],People!A:B,2,0)</f>
        <v>#VALUE!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/>
      </c>
      <c r="I423" s="13" t="s">
        <v>276</v>
      </c>
      <c r="J423" s="22" t="e">
        <f>VLOOKUP(Table2[[#This Row], [Author]],People!A:B,2,0)</f>
        <v>#VALUE!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/>
      </c>
      <c r="I424" s="11" t="s">
        <v>276</v>
      </c>
      <c r="J424" s="19" t="e">
        <f>VLOOKUP(Table2[[#This Row], [Author]],People!A:B,2,0)</f>
        <v>#VALUE!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/>
      </c>
      <c r="I425" s="13" t="s">
        <v>276</v>
      </c>
      <c r="J425" s="22" t="e">
        <f>VLOOKUP(Table2[[#This Row], [Author]],People!A:B,2,0)</f>
        <v>#VALUE!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/>
      </c>
      <c r="I426" s="11" t="s">
        <v>276</v>
      </c>
      <c r="J426" s="19" t="e">
        <f>VLOOKUP(Table2[[#This Row], [Author]],People!A:B,2,0)</f>
        <v>#VALUE!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/>
      </c>
      <c r="I427" s="13" t="s">
        <v>276</v>
      </c>
      <c r="J427" s="22" t="e">
        <f>VLOOKUP(Table2[[#This Row], [Author]],People!A:B,2,0)</f>
        <v>#VALUE!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/>
      </c>
      <c r="I428" s="11" t="s">
        <v>276</v>
      </c>
      <c r="J428" s="19" t="e">
        <f>VLOOKUP(Table2[[#This Row], [Author]],People!A:B,2,0)</f>
        <v>#VALUE!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/>
      </c>
      <c r="I429" s="13" t="s">
        <v>276</v>
      </c>
      <c r="J429" s="22" t="e">
        <f>VLOOKUP(Table2[[#This Row], [Author]],People!A:B,2,0)</f>
        <v>#VALUE!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/>
      </c>
      <c r="I430" s="11" t="s">
        <v>276</v>
      </c>
      <c r="J430" s="19" t="e">
        <f>VLOOKUP(Table2[[#This Row], [Author]],People!A:B,2,0)</f>
        <v>#VALUE!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/>
      </c>
      <c r="I431" s="13" t="s">
        <v>276</v>
      </c>
      <c r="J431" s="22" t="e">
        <f>VLOOKUP(Table2[[#This Row], [Author]],People!A:B,2,0)</f>
        <v>#VALUE!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/>
      </c>
      <c r="I432" s="11" t="s">
        <v>276</v>
      </c>
      <c r="J432" s="19" t="e">
        <f>VLOOKUP(Table2[[#This Row], [Author]],People!A:B,2,0)</f>
        <v>#VALUE!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/>
      </c>
      <c r="I433" s="13" t="s">
        <v>276</v>
      </c>
      <c r="J433" s="22" t="e">
        <f>VLOOKUP(Table2[[#This Row], [Author]],People!A:B,2,0)</f>
        <v>#VALUE!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/>
      </c>
      <c r="I434" s="11" t="s">
        <v>276</v>
      </c>
      <c r="J434" s="19" t="e">
        <f>VLOOKUP(Table2[[#This Row], [Author]],People!A:B,2,0)</f>
        <v>#VALUE!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/>
      </c>
      <c r="I435" s="13" t="s">
        <v>276</v>
      </c>
      <c r="J435" s="22" t="e">
        <f>VLOOKUP(Table2[[#This Row], [Author]],People!A:B,2,0)</f>
        <v>#VALUE!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/>
      </c>
      <c r="I436" s="11" t="s">
        <v>276</v>
      </c>
      <c r="J436" s="19" t="e">
        <f>VLOOKUP(Table2[[#This Row], [Author]],People!A:B,2,0)</f>
        <v>#VALUE!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/>
      </c>
      <c r="I437" s="13" t="s">
        <v>276</v>
      </c>
      <c r="J437" s="22" t="e">
        <f>VLOOKUP(Table2[[#This Row], [Author]],People!A:B,2,0)</f>
        <v>#VALUE!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/>
      </c>
      <c r="I438" s="11" t="s">
        <v>276</v>
      </c>
      <c r="J438" s="19" t="e">
        <f>VLOOKUP(Table2[[#This Row], [Author]],People!A:B,2,0)</f>
        <v>#VALUE!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/>
      </c>
      <c r="I439" s="13" t="s">
        <v>276</v>
      </c>
      <c r="J439" s="22" t="e">
        <f>VLOOKUP(Table2[[#This Row], [Author]],People!A:B,2,0)</f>
        <v>#VALUE!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/>
      </c>
      <c r="I440" s="11" t="s">
        <v>276</v>
      </c>
      <c r="J440" s="19" t="e">
        <f>VLOOKUP(Table2[[#This Row], [Author]],People!A:B,2,0)</f>
        <v>#VALUE!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/>
      </c>
      <c r="I441" s="13" t="s">
        <v>276</v>
      </c>
      <c r="J441" s="22" t="e">
        <f>VLOOKUP(Table2[[#This Row], [Author]],People!A:B,2,0)</f>
        <v>#VALUE!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/>
      </c>
      <c r="I442" s="11" t="s">
        <v>276</v>
      </c>
      <c r="J442" s="19" t="e">
        <f>VLOOKUP(Table2[[#This Row], [Author]],People!A:B,2,0)</f>
        <v>#VALUE!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/>
      </c>
      <c r="I443" s="13" t="s">
        <v>276</v>
      </c>
      <c r="J443" s="22" t="e">
        <f>VLOOKUP(Table2[[#This Row], [Author]],People!A:B,2,0)</f>
        <v>#VALUE!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/>
      </c>
      <c r="I444" s="11" t="s">
        <v>276</v>
      </c>
      <c r="J444" s="19" t="e">
        <f>VLOOKUP(Table2[[#This Row], [Author]],People!A:B,2,0)</f>
        <v>#VALUE!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/>
      </c>
      <c r="I445" s="13" t="s">
        <v>276</v>
      </c>
      <c r="J445" s="22" t="e">
        <f>VLOOKUP(Table2[[#This Row], [Author]],People!A:B,2,0)</f>
        <v>#VALUE!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/>
      </c>
      <c r="I446" s="11" t="s">
        <v>276</v>
      </c>
      <c r="J446" s="19" t="e">
        <f>VLOOKUP(Table2[[#This Row], [Author]],People!A:B,2,0)</f>
        <v>#VALUE!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/>
      </c>
      <c r="I447" s="13" t="s">
        <v>276</v>
      </c>
      <c r="J447" s="22" t="e">
        <f>VLOOKUP(Table2[[#This Row], [Author]],People!A:B,2,0)</f>
        <v>#VALUE!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/>
      </c>
      <c r="I448" s="11" t="s">
        <v>276</v>
      </c>
      <c r="J448" s="19" t="e">
        <f>VLOOKUP(Table2[[#This Row], [Author]],People!A:B,2,0)</f>
        <v>#VALUE!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/>
      </c>
      <c r="I449" s="13" t="s">
        <v>276</v>
      </c>
      <c r="J449" s="22" t="e">
        <f>VLOOKUP(Table2[[#This Row], [Author]],People!A:B,2,0)</f>
        <v>#VALUE!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/>
      </c>
      <c r="I450" s="11" t="s">
        <v>276</v>
      </c>
      <c r="J450" s="19" t="e">
        <f>VLOOKUP(Table2[[#This Row], [Author]],People!A:B,2,0)</f>
        <v>#VALUE!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/>
      </c>
      <c r="I451" s="13" t="s">
        <v>276</v>
      </c>
      <c r="J451" s="22" t="e">
        <f>VLOOKUP(Table2[[#This Row], [Author]],People!A:B,2,0)</f>
        <v>#VALUE!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/>
      </c>
      <c r="I452" s="11" t="s">
        <v>276</v>
      </c>
      <c r="J452" s="19" t="e">
        <f>VLOOKUP(Table2[[#This Row], [Author]],People!A:B,2,0)</f>
        <v>#VALUE!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/>
      </c>
      <c r="I453" s="13" t="s">
        <v>276</v>
      </c>
      <c r="J453" s="22" t="e">
        <f>VLOOKUP(Table2[[#This Row], [Author]],People!A:B,2,0)</f>
        <v>#VALUE!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/>
      </c>
      <c r="I454" s="11" t="s">
        <v>276</v>
      </c>
      <c r="J454" s="19" t="e">
        <f>VLOOKUP(Table2[[#This Row], [Author]],People!A:B,2,0)</f>
        <v>#VALUE!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/>
      </c>
      <c r="I455" s="13" t="s">
        <v>276</v>
      </c>
      <c r="J455" s="22" t="e">
        <f>VLOOKUP(Table2[[#This Row], [Author]],People!A:B,2,0)</f>
        <v>#VALUE!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/>
      </c>
      <c r="I456" s="11" t="s">
        <v>276</v>
      </c>
      <c r="J456" s="19" t="e">
        <f>VLOOKUP(Table2[[#This Row], [Author]],People!A:B,2,0)</f>
        <v>#VALUE!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/>
      </c>
      <c r="I457" s="13" t="s">
        <v>276</v>
      </c>
      <c r="J457" s="22" t="e">
        <f>VLOOKUP(Table2[[#This Row], [Author]],People!A:B,2,0)</f>
        <v>#VALUE!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/>
      </c>
      <c r="I458" s="11" t="s">
        <v>276</v>
      </c>
      <c r="J458" s="19" t="e">
        <f>VLOOKUP(Table2[[#This Row], [Author]],People!A:B,2,0)</f>
        <v>#VALUE!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/>
      </c>
      <c r="I459" s="13" t="s">
        <v>276</v>
      </c>
      <c r="J459" s="22" t="e">
        <f>VLOOKUP(Table2[[#This Row], [Author]],People!A:B,2,0)</f>
        <v>#VALUE!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/>
      </c>
      <c r="I460" s="11" t="s">
        <v>276</v>
      </c>
      <c r="J460" s="19" t="e">
        <f>VLOOKUP(Table2[[#This Row], [Author]],People!A:B,2,0)</f>
        <v>#VALUE!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/>
      </c>
      <c r="I461" s="13" t="s">
        <v>276</v>
      </c>
      <c r="J461" s="22" t="e">
        <f>VLOOKUP(Table2[[#This Row], [Author]],People!A:B,2,0)</f>
        <v>#VALUE!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/>
      </c>
      <c r="I462" s="11" t="s">
        <v>276</v>
      </c>
      <c r="J462" s="19" t="e">
        <f>VLOOKUP(Table2[[#This Row], [Author]],People!A:B,2,0)</f>
        <v>#VALUE!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/>
      </c>
      <c r="I463" s="13" t="s">
        <v>276</v>
      </c>
      <c r="J463" s="22" t="e">
        <f>VLOOKUP(Table2[[#This Row], [Author]],People!A:B,2,0)</f>
        <v>#VALUE!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/>
      </c>
      <c r="I464" s="11" t="s">
        <v>276</v>
      </c>
      <c r="J464" s="19" t="e">
        <f>VLOOKUP(Table2[[#This Row], [Author]],People!A:B,2,0)</f>
        <v>#VALUE!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/>
      </c>
      <c r="I465" s="13" t="s">
        <v>276</v>
      </c>
      <c r="J465" s="22" t="e">
        <f>VLOOKUP(Table2[[#This Row], [Author]],People!A:B,2,0)</f>
        <v>#VALUE!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/>
      </c>
      <c r="I466" s="11" t="s">
        <v>276</v>
      </c>
      <c r="J466" s="19" t="e">
        <f>VLOOKUP(Table2[[#This Row], [Author]],People!A:B,2,0)</f>
        <v>#VALUE!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/>
      </c>
      <c r="I467" s="13" t="s">
        <v>276</v>
      </c>
      <c r="J467" s="22" t="e">
        <f>VLOOKUP(Table2[[#This Row], [Author]],People!A:B,2,0)</f>
        <v>#VALUE!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/>
      </c>
      <c r="I468" s="11" t="s">
        <v>276</v>
      </c>
      <c r="J468" s="19" t="e">
        <f>VLOOKUP(Table2[[#This Row], [Author]],People!A:B,2,0)</f>
        <v>#VALUE!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/>
      </c>
      <c r="I469" s="13" t="s">
        <v>276</v>
      </c>
      <c r="J469" s="22" t="e">
        <f>VLOOKUP(Table2[[#This Row], [Author]],People!A:B,2,0)</f>
        <v>#VALUE!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/>
      </c>
      <c r="I470" s="11" t="s">
        <v>276</v>
      </c>
      <c r="J470" s="19" t="e">
        <f>VLOOKUP(Table2[[#This Row], [Author]],People!A:B,2,0)</f>
        <v>#VALUE!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/>
      </c>
      <c r="I471" s="13" t="s">
        <v>276</v>
      </c>
      <c r="J471" s="22" t="e">
        <f>VLOOKUP(Table2[[#This Row], [Author]],People!A:B,2,0)</f>
        <v>#VALUE!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/>
      </c>
      <c r="I472" s="11" t="s">
        <v>276</v>
      </c>
      <c r="J472" s="19" t="e">
        <f>VLOOKUP(Table2[[#This Row], [Author]],People!A:B,2,0)</f>
        <v>#VALUE!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/>
      </c>
      <c r="I473" s="13" t="s">
        <v>276</v>
      </c>
      <c r="J473" s="22" t="e">
        <f>VLOOKUP(Table2[[#This Row], [Author]],People!A:B,2,0)</f>
        <v>#VALUE!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/>
      </c>
      <c r="I474" s="11" t="s">
        <v>276</v>
      </c>
      <c r="J474" s="19" t="e">
        <f>VLOOKUP(Table2[[#This Row], [Author]],People!A:B,2,0)</f>
        <v>#VALUE!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/>
      </c>
      <c r="I475" s="13" t="s">
        <v>276</v>
      </c>
      <c r="J475" s="22" t="e">
        <f>VLOOKUP(Table2[[#This Row], [Author]],People!A:B,2,0)</f>
        <v>#VALUE!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/>
      </c>
      <c r="I476" s="11" t="s">
        <v>276</v>
      </c>
      <c r="J476" s="19" t="e">
        <f>VLOOKUP(Table2[[#This Row], [Author]],People!A:B,2,0)</f>
        <v>#VALUE!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/>
      </c>
      <c r="I477" s="13" t="s">
        <v>276</v>
      </c>
      <c r="J477" s="22" t="e">
        <f>VLOOKUP(Table2[[#This Row], [Author]],People!A:B,2,0)</f>
        <v>#VALUE!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/>
      </c>
      <c r="I478" s="11" t="s">
        <v>276</v>
      </c>
      <c r="J478" s="19" t="e">
        <f>VLOOKUP(Table2[[#This Row], [Author]],People!A:B,2,0)</f>
        <v>#VALUE!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/>
      </c>
      <c r="I479" s="13" t="s">
        <v>276</v>
      </c>
      <c r="J479" s="22" t="e">
        <f>VLOOKUP(Table2[[#This Row], [Author]],People!A:B,2,0)</f>
        <v>#VALUE!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/>
      </c>
      <c r="I480" s="11" t="s">
        <v>276</v>
      </c>
      <c r="J480" s="19" t="e">
        <f>VLOOKUP(Table2[[#This Row], [Author]],People!A:B,2,0)</f>
        <v>#VALUE!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/>
      </c>
      <c r="I481" s="13" t="s">
        <v>276</v>
      </c>
      <c r="J481" s="22" t="e">
        <f>VLOOKUP(Table2[[#This Row], [Author]],People!A:B,2,0)</f>
        <v>#VALUE!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/>
      </c>
      <c r="I482" s="11" t="s">
        <v>276</v>
      </c>
      <c r="J482" s="19" t="e">
        <f>VLOOKUP(Table2[[#This Row], [Author]],People!A:B,2,0)</f>
        <v>#VALUE!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/>
      </c>
      <c r="I483" s="13" t="s">
        <v>276</v>
      </c>
      <c r="J483" s="22" t="e">
        <f>VLOOKUP(Table2[[#This Row], [Author]],People!A:B,2,0)</f>
        <v>#VALUE!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/>
      </c>
      <c r="I484" s="11" t="s">
        <v>276</v>
      </c>
      <c r="J484" s="19" t="e">
        <f>VLOOKUP(Table2[[#This Row], [Author]],People!A:B,2,0)</f>
        <v>#VALUE!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/>
      </c>
      <c r="I485" s="13" t="s">
        <v>276</v>
      </c>
      <c r="J485" s="22" t="e">
        <f>VLOOKUP(Table2[[#This Row], [Author]],People!A:B,2,0)</f>
        <v>#VALUE!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/>
      </c>
      <c r="I486" s="11" t="s">
        <v>276</v>
      </c>
      <c r="J486" s="19" t="e">
        <f>VLOOKUP(Table2[[#This Row], [Author]],People!A:B,2,0)</f>
        <v>#VALUE!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/>
      </c>
      <c r="I487" s="13" t="s">
        <v>276</v>
      </c>
      <c r="J487" s="22" t="e">
        <f>VLOOKUP(Table2[[#This Row], [Author]],People!A:B,2,0)</f>
        <v>#VALUE!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/>
      </c>
      <c r="I488" s="11" t="s">
        <v>276</v>
      </c>
      <c r="J488" s="19" t="e">
        <f>VLOOKUP(Table2[[#This Row], [Author]],People!A:B,2,0)</f>
        <v>#VALUE!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/>
      </c>
      <c r="I489" s="13" t="s">
        <v>276</v>
      </c>
      <c r="J489" s="22" t="e">
        <f>VLOOKUP(Table2[[#This Row], [Author]],People!A:B,2,0)</f>
        <v>#VALUE!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/>
      </c>
      <c r="I490" s="11" t="s">
        <v>276</v>
      </c>
      <c r="J490" s="19" t="e">
        <f>VLOOKUP(Table2[[#This Row], [Author]],People!A:B,2,0)</f>
        <v>#VALUE!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/>
      </c>
      <c r="I491" s="13" t="s">
        <v>276</v>
      </c>
      <c r="J491" s="22" t="e">
        <f>VLOOKUP(Table2[[#This Row], [Author]],People!A:B,2,0)</f>
        <v>#VALUE!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/>
      </c>
      <c r="I492" s="11" t="s">
        <v>276</v>
      </c>
      <c r="J492" s="19" t="e">
        <f>VLOOKUP(Table2[[#This Row], [Author]],People!A:B,2,0)</f>
        <v>#VALUE!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/>
      </c>
      <c r="I493" s="13" t="s">
        <v>276</v>
      </c>
      <c r="J493" s="22" t="e">
        <f>VLOOKUP(Table2[[#This Row], [Author]],People!A:B,2,0)</f>
        <v>#VALUE!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/>
      </c>
      <c r="I494" s="11" t="s">
        <v>276</v>
      </c>
      <c r="J494" s="19" t="e">
        <f>VLOOKUP(Table2[[#This Row], [Author]],People!A:B,2,0)</f>
        <v>#VALUE!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/>
      </c>
      <c r="I495" s="13" t="s">
        <v>276</v>
      </c>
      <c r="J495" s="22" t="e">
        <f>VLOOKUP(Table2[[#This Row], [Author]],People!A:B,2,0)</f>
        <v>#VALUE!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/>
      </c>
      <c r="I496" s="11" t="s">
        <v>276</v>
      </c>
      <c r="J496" s="19" t="e">
        <f>VLOOKUP(Table2[[#This Row], [Author]],People!A:B,2,0)</f>
        <v>#VALUE!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/>
      </c>
      <c r="I497" s="13" t="s">
        <v>276</v>
      </c>
      <c r="J497" s="22" t="e">
        <f>VLOOKUP(Table2[[#This Row], [Author]],People!A:B,2,0)</f>
        <v>#VALUE!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/>
      </c>
      <c r="I498" s="11" t="s">
        <v>276</v>
      </c>
      <c r="J498" s="19" t="e">
        <f>VLOOKUP(Table2[[#This Row], [Author]],People!A:B,2,0)</f>
        <v>#VALUE!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/>
      </c>
      <c r="I499" s="13" t="s">
        <v>276</v>
      </c>
      <c r="J499" s="22" t="e">
        <f>VLOOKUP(Table2[[#This Row], [Author]],People!A:B,2,0)</f>
        <v>#VALUE!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/>
      </c>
      <c r="I500" s="11" t="s">
        <v>276</v>
      </c>
      <c r="J500" s="19" t="e">
        <f>VLOOKUP(Table2[[#This Row], [Author]],People!A:B,2,0)</f>
        <v>#VALUE!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/>
      </c>
      <c r="I501" s="13" t="s">
        <v>276</v>
      </c>
      <c r="J501" s="22" t="e">
        <f>VLOOKUP(Table2[[#This Row], [Author]],People!A:B,2,0)</f>
        <v>#VALUE!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/>
      </c>
      <c r="I502" s="11" t="s">
        <v>276</v>
      </c>
      <c r="J502" s="19" t="e">
        <f>VLOOKUP(Table2[[#This Row], [Author]],People!A:B,2,0)</f>
        <v>#VALUE!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/>
      </c>
      <c r="I503" s="13" t="s">
        <v>276</v>
      </c>
      <c r="J503" s="22" t="e">
        <f>VLOOKUP(Table2[[#This Row], [Author]],People!A:B,2,0)</f>
        <v>#VALUE!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/>
      </c>
      <c r="I504" s="11" t="s">
        <v>276</v>
      </c>
      <c r="J504" s="19" t="e">
        <f>VLOOKUP(Table2[[#This Row], [Author]],People!A:B,2,0)</f>
        <v>#VALUE!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/>
      </c>
      <c r="I505" s="13" t="s">
        <v>276</v>
      </c>
      <c r="J505" s="22" t="e">
        <f>VLOOKUP(Table2[[#This Row], [Author]],People!A:B,2,0)</f>
        <v>#VALUE!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/>
      </c>
      <c r="I506" s="11" t="s">
        <v>276</v>
      </c>
      <c r="J506" s="19" t="e">
        <f>VLOOKUP(Table2[[#This Row], [Author]],People!A:B,2,0)</f>
        <v>#VALUE!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/>
      </c>
      <c r="I507" s="13" t="s">
        <v>276</v>
      </c>
      <c r="J507" s="22" t="e">
        <f>VLOOKUP(Table2[[#This Row], [Author]],People!A:B,2,0)</f>
        <v>#VALUE!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/>
      </c>
      <c r="I508" s="11" t="s">
        <v>276</v>
      </c>
      <c r="J508" s="19" t="e">
        <f>VLOOKUP(Table2[[#This Row], [Author]],People!A:B,2,0)</f>
        <v>#VALUE!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/>
      </c>
      <c r="I509" s="13" t="s">
        <v>276</v>
      </c>
      <c r="J509" s="22" t="e">
        <f>VLOOKUP(Table2[[#This Row], [Author]],People!A:B,2,0)</f>
        <v>#VALUE!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/>
      </c>
      <c r="I510" s="11" t="s">
        <v>276</v>
      </c>
      <c r="J510" s="19" t="e">
        <f>VLOOKUP(Table2[[#This Row], [Author]],People!A:B,2,0)</f>
        <v>#VALUE!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/>
      </c>
      <c r="I511" s="13" t="s">
        <v>276</v>
      </c>
      <c r="J511" s="22" t="e">
        <f>VLOOKUP(Table2[[#This Row], [Author]],People!A:B,2,0)</f>
        <v>#VALUE!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/>
      </c>
      <c r="I512" s="11" t="s">
        <v>276</v>
      </c>
      <c r="J512" s="19" t="e">
        <f>VLOOKUP(Table2[[#This Row], [Author]],People!A:B,2,0)</f>
        <v>#VALUE!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/>
      </c>
      <c r="I513" s="13" t="s">
        <v>276</v>
      </c>
      <c r="J513" s="22" t="e">
        <f>VLOOKUP(Table2[[#This Row], [Author]],People!A:B,2,0)</f>
        <v>#VALUE!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/>
      </c>
      <c r="I514" s="11" t="s">
        <v>276</v>
      </c>
      <c r="J514" s="19" t="e">
        <f>VLOOKUP(Table2[[#This Row], [Author]],People!A:B,2,0)</f>
        <v>#VALUE!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/>
      </c>
      <c r="I515" s="13" t="s">
        <v>276</v>
      </c>
      <c r="J515" s="22" t="e">
        <f>VLOOKUP(Table2[[#This Row], [Author]],People!A:B,2,0)</f>
        <v>#VALUE!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/>
      </c>
      <c r="I516" s="11" t="s">
        <v>276</v>
      </c>
      <c r="J516" s="19" t="e">
        <f>VLOOKUP(Table2[[#This Row], [Author]],People!A:B,2,0)</f>
        <v>#VALUE!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/>
      </c>
      <c r="I517" s="13" t="s">
        <v>276</v>
      </c>
      <c r="J517" s="22" t="e">
        <f>VLOOKUP(Table2[[#This Row], [Author]],People!A:B,2,0)</f>
        <v>#VALUE!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/>
      </c>
      <c r="I518" s="11" t="s">
        <v>276</v>
      </c>
      <c r="J518" s="19" t="e">
        <f>VLOOKUP(Table2[[#This Row], [Author]],People!A:B,2,0)</f>
        <v>#VALUE!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/>
      </c>
      <c r="I519" s="13" t="s">
        <v>276</v>
      </c>
      <c r="J519" s="22" t="e">
        <f>VLOOKUP(Table2[[#This Row], [Author]],People!A:B,2,0)</f>
        <v>#VALUE!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/>
      </c>
      <c r="I520" s="11" t="s">
        <v>276</v>
      </c>
      <c r="J520" s="19" t="e">
        <f>VLOOKUP(Table2[[#This Row], [Author]],People!A:B,2,0)</f>
        <v>#VALUE!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/>
      </c>
      <c r="I521" s="13" t="s">
        <v>276</v>
      </c>
      <c r="J521" s="22" t="e">
        <f>VLOOKUP(Table2[[#This Row], [Author]],People!A:B,2,0)</f>
        <v>#VALUE!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/>
      </c>
      <c r="I522" s="11" t="s">
        <v>276</v>
      </c>
      <c r="J522" s="19" t="e">
        <f>VLOOKUP(Table2[[#This Row], [Author]],People!A:B,2,0)</f>
        <v>#VALUE!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/>
      </c>
      <c r="I523" s="13" t="s">
        <v>276</v>
      </c>
      <c r="J523" s="22" t="e">
        <f>VLOOKUP(Table2[[#This Row], [Author]],People!A:B,2,0)</f>
        <v>#VALUE!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/>
      </c>
      <c r="I524" s="11" t="s">
        <v>276</v>
      </c>
      <c r="J524" s="19" t="e">
        <f>VLOOKUP(Table2[[#This Row], [Author]],People!A:B,2,0)</f>
        <v>#VALUE!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/>
      </c>
      <c r="I525" s="13" t="s">
        <v>276</v>
      </c>
      <c r="J525" s="22" t="e">
        <f>VLOOKUP(Table2[[#This Row], [Author]],People!A:B,2,0)</f>
        <v>#VALUE!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/>
      </c>
      <c r="I526" s="11" t="s">
        <v>276</v>
      </c>
      <c r="J526" s="19" t="e">
        <f>VLOOKUP(Table2[[#This Row], [Author]],People!A:B,2,0)</f>
        <v>#VALUE!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/>
      </c>
      <c r="I527" s="13" t="s">
        <v>276</v>
      </c>
      <c r="J527" s="22" t="e">
        <f>VLOOKUP(Table2[[#This Row], [Author]],People!A:B,2,0)</f>
        <v>#VALUE!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/>
      </c>
      <c r="I528" s="11" t="s">
        <v>276</v>
      </c>
      <c r="J528" s="19" t="e">
        <f>VLOOKUP(Table2[[#This Row], [Author]],People!A:B,2,0)</f>
        <v>#VALUE!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/>
      </c>
      <c r="I529" s="13" t="s">
        <v>276</v>
      </c>
      <c r="J529" s="22" t="e">
        <f>VLOOKUP(Table2[[#This Row], [Author]],People!A:B,2,0)</f>
        <v>#VALUE!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/>
      </c>
      <c r="I530" s="11" t="s">
        <v>276</v>
      </c>
      <c r="J530" s="19" t="e">
        <f>VLOOKUP(Table2[[#This Row], [Author]],People!A:B,2,0)</f>
        <v>#VALUE!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/>
      </c>
      <c r="I531" s="13" t="s">
        <v>276</v>
      </c>
      <c r="J531" s="22" t="e">
        <f>VLOOKUP(Table2[[#This Row], [Author]],People!A:B,2,0)</f>
        <v>#VALUE!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/>
      </c>
      <c r="I532" s="11" t="s">
        <v>276</v>
      </c>
      <c r="J532" s="19" t="e">
        <f>VLOOKUP(Table2[[#This Row], [Author]],People!A:B,2,0)</f>
        <v>#VALUE!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/>
      </c>
      <c r="I533" s="13" t="s">
        <v>276</v>
      </c>
      <c r="J533" s="22" t="e">
        <f>VLOOKUP(Table2[[#This Row], [Author]],People!A:B,2,0)</f>
        <v>#VALUE!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/>
      </c>
      <c r="I534" s="11" t="s">
        <v>276</v>
      </c>
      <c r="J534" s="19" t="e">
        <f>VLOOKUP(Table2[[#This Row], [Author]],People!A:B,2,0)</f>
        <v>#VALUE!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/>
      </c>
      <c r="I535" s="13" t="s">
        <v>276</v>
      </c>
      <c r="J535" s="22" t="e">
        <f>VLOOKUP(Table2[[#This Row], [Author]],People!A:B,2,0)</f>
        <v>#VALUE!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/>
      </c>
      <c r="I536" s="11" t="s">
        <v>276</v>
      </c>
      <c r="J536" s="19" t="e">
        <f>VLOOKUP(Table2[[#This Row], [Author]],People!A:B,2,0)</f>
        <v>#VALUE!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/>
      </c>
      <c r="I537" s="13" t="s">
        <v>276</v>
      </c>
      <c r="J537" s="22" t="e">
        <f>VLOOKUP(Table2[[#This Row], [Author]],People!A:B,2,0)</f>
        <v>#VALUE!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/>
      </c>
      <c r="I538" s="11" t="s">
        <v>276</v>
      </c>
      <c r="J538" s="19" t="e">
        <f>VLOOKUP(Table2[[#This Row], [Author]],People!A:B,2,0)</f>
        <v>#VALUE!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/>
      </c>
      <c r="I539" s="13" t="s">
        <v>276</v>
      </c>
      <c r="J539" s="22" t="e">
        <f>VLOOKUP(Table2[[#This Row], [Author]],People!A:B,2,0)</f>
        <v>#VALUE!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/>
      </c>
      <c r="I540" s="11" t="s">
        <v>276</v>
      </c>
      <c r="J540" s="19" t="e">
        <f>VLOOKUP(Table2[[#This Row], [Author]],People!A:B,2,0)</f>
        <v>#VALUE!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/>
      </c>
      <c r="I541" s="13" t="s">
        <v>276</v>
      </c>
      <c r="J541" s="22" t="e">
        <f>VLOOKUP(Table2[[#This Row], [Author]],People!A:B,2,0)</f>
        <v>#VALUE!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/>
      </c>
      <c r="I542" s="11" t="s">
        <v>276</v>
      </c>
      <c r="J542" s="19" t="e">
        <f>VLOOKUP(Table2[[#This Row], [Author]],People!A:B,2,0)</f>
        <v>#VALUE!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/>
      </c>
      <c r="I543" s="13" t="s">
        <v>276</v>
      </c>
      <c r="J543" s="22" t="e">
        <f>VLOOKUP(Table2[[#This Row], [Author]],People!A:B,2,0)</f>
        <v>#VALUE!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/>
      </c>
      <c r="I544" s="11" t="s">
        <v>276</v>
      </c>
      <c r="J544" s="19" t="e">
        <f>VLOOKUP(Table2[[#This Row], [Author]],People!A:B,2,0)</f>
        <v>#VALUE!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/>
      </c>
      <c r="I545" s="13" t="s">
        <v>276</v>
      </c>
      <c r="J545" s="22" t="e">
        <f>VLOOKUP(Table2[[#This Row], [Author]],People!A:B,2,0)</f>
        <v>#VALUE!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/>
      </c>
      <c r="I546" s="11" t="s">
        <v>276</v>
      </c>
      <c r="J546" s="19" t="e">
        <f>VLOOKUP(Table2[[#This Row], [Author]],People!A:B,2,0)</f>
        <v>#VALUE!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/>
      </c>
      <c r="I547" s="13" t="s">
        <v>276</v>
      </c>
      <c r="J547" s="22" t="e">
        <f>VLOOKUP(Table2[[#This Row], [Author]],People!A:B,2,0)</f>
        <v>#VALUE!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/>
      </c>
      <c r="I548" s="11" t="s">
        <v>276</v>
      </c>
      <c r="J548" s="19" t="e">
        <f>VLOOKUP(Table2[[#This Row], [Author]],People!A:B,2,0)</f>
        <v>#VALUE!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/>
      </c>
      <c r="I549" s="13" t="s">
        <v>276</v>
      </c>
      <c r="J549" s="22" t="e">
        <f>VLOOKUP(Table2[[#This Row], [Author]],People!A:B,2,0)</f>
        <v>#VALUE!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/>
      </c>
      <c r="I550" s="11" t="s">
        <v>276</v>
      </c>
      <c r="J550" s="19" t="e">
        <f>VLOOKUP(Table2[[#This Row], [Author]],People!A:B,2,0)</f>
        <v>#VALUE!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/>
      </c>
      <c r="I551" s="13" t="s">
        <v>276</v>
      </c>
      <c r="J551" s="22" t="e">
        <f>VLOOKUP(Table2[[#This Row], [Author]],People!A:B,2,0)</f>
        <v>#VALUE!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/>
      </c>
      <c r="I552" s="11" t="s">
        <v>276</v>
      </c>
      <c r="J552" s="19" t="e">
        <f>VLOOKUP(Table2[[#This Row], [Author]],People!A:B,2,0)</f>
        <v>#VALUE!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/>
      </c>
      <c r="I553" s="13" t="s">
        <v>276</v>
      </c>
      <c r="J553" s="22" t="e">
        <f>VLOOKUP(Table2[[#This Row], [Author]],People!A:B,2,0)</f>
        <v>#VALUE!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/>
      </c>
      <c r="I554" s="11" t="s">
        <v>276</v>
      </c>
      <c r="J554" s="19" t="e">
        <f>VLOOKUP(Table2[[#This Row], [Author]],People!A:B,2,0)</f>
        <v>#VALUE!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/>
      </c>
      <c r="I555" s="13" t="s">
        <v>276</v>
      </c>
      <c r="J555" s="22" t="e">
        <f>VLOOKUP(Table2[[#This Row], [Author]],People!A:B,2,0)</f>
        <v>#VALUE!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/>
      </c>
      <c r="I556" s="11" t="s">
        <v>276</v>
      </c>
      <c r="J556" s="19" t="e">
        <f>VLOOKUP(Table2[[#This Row], [Author]],People!A:B,2,0)</f>
        <v>#VALUE!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/>
      </c>
      <c r="I557" s="13" t="s">
        <v>276</v>
      </c>
      <c r="J557" s="22" t="e">
        <f>VLOOKUP(Table2[[#This Row], [Author]],People!A:B,2,0)</f>
        <v>#VALUE!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/>
      </c>
      <c r="I558" s="11" t="s">
        <v>276</v>
      </c>
      <c r="J558" s="19" t="e">
        <f>VLOOKUP(Table2[[#This Row], [Author]],People!A:B,2,0)</f>
        <v>#VALUE!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/>
      </c>
      <c r="I559" s="13" t="s">
        <v>276</v>
      </c>
      <c r="J559" s="22" t="e">
        <f>VLOOKUP(Table2[[#This Row], [Author]],People!A:B,2,0)</f>
        <v>#VALUE!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/>
      </c>
      <c r="I560" s="11" t="s">
        <v>276</v>
      </c>
      <c r="J560" s="19" t="e">
        <f>VLOOKUP(Table2[[#This Row], [Author]],People!A:B,2,0)</f>
        <v>#VALUE!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/>
      </c>
      <c r="I561" s="13" t="s">
        <v>276</v>
      </c>
      <c r="J561" s="22" t="e">
        <f>VLOOKUP(Table2[[#This Row], [Author]],People!A:B,2,0)</f>
        <v>#VALUE!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/>
      </c>
      <c r="I562" s="11" t="s">
        <v>276</v>
      </c>
      <c r="J562" s="19" t="e">
        <f>VLOOKUP(Table2[[#This Row], [Author]],People!A:B,2,0)</f>
        <v>#VALUE!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/>
      </c>
      <c r="I563" s="13" t="s">
        <v>276</v>
      </c>
      <c r="J563" s="22" t="e">
        <f>VLOOKUP(Table2[[#This Row], [Author]],People!A:B,2,0)</f>
        <v>#VALUE!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/>
      </c>
      <c r="I564" s="11" t="s">
        <v>276</v>
      </c>
      <c r="J564" s="19" t="e">
        <f>VLOOKUP(Table2[[#This Row], [Author]],People!A:B,2,0)</f>
        <v>#VALUE!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/>
      </c>
      <c r="I565" s="13" t="s">
        <v>276</v>
      </c>
      <c r="J565" s="22" t="e">
        <f>VLOOKUP(Table2[[#This Row], [Author]],People!A:B,2,0)</f>
        <v>#VALUE!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/>
      </c>
      <c r="I566" s="11" t="s">
        <v>276</v>
      </c>
      <c r="J566" s="19" t="e">
        <f>VLOOKUP(Table2[[#This Row], [Author]],People!A:B,2,0)</f>
        <v>#VALUE!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/>
      </c>
      <c r="I567" s="13" t="s">
        <v>276</v>
      </c>
      <c r="J567" s="22" t="e">
        <f>VLOOKUP(Table2[[#This Row], [Author]],People!A:B,2,0)</f>
        <v>#VALUE!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/>
      </c>
      <c r="I568" s="11" t="s">
        <v>276</v>
      </c>
      <c r="J568" s="19" t="e">
        <f>VLOOKUP(Table2[[#This Row], [Author]],People!A:B,2,0)</f>
        <v>#VALUE!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/>
      </c>
      <c r="I569" s="13" t="s">
        <v>276</v>
      </c>
      <c r="J569" s="22" t="e">
        <f>VLOOKUP(Table2[[#This Row], [Author]],People!A:B,2,0)</f>
        <v>#VALUE!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/>
      </c>
      <c r="I570" s="11" t="s">
        <v>276</v>
      </c>
      <c r="J570" s="19" t="e">
        <f>VLOOKUP(Table2[[#This Row], [Author]],People!A:B,2,0)</f>
        <v>#VALUE!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/>
      </c>
      <c r="I571" s="13" t="s">
        <v>276</v>
      </c>
      <c r="J571" s="22" t="e">
        <f>VLOOKUP(Table2[[#This Row], [Author]],People!A:B,2,0)</f>
        <v>#VALUE!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/>
      </c>
      <c r="I572" s="11" t="s">
        <v>276</v>
      </c>
      <c r="J572" s="19" t="e">
        <f>VLOOKUP(Table2[[#This Row], [Author]],People!A:B,2,0)</f>
        <v>#VALUE!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/>
      </c>
      <c r="I573" s="13" t="s">
        <v>276</v>
      </c>
      <c r="J573" s="22" t="e">
        <f>VLOOKUP(Table2[[#This Row], [Author]],People!A:B,2,0)</f>
        <v>#VALUE!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/>
      </c>
      <c r="I574" s="11" t="s">
        <v>276</v>
      </c>
      <c r="J574" s="19" t="e">
        <f>VLOOKUP(Table2[[#This Row], [Author]],People!A:B,2,0)</f>
        <v>#VALUE!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/>
      </c>
      <c r="I575" s="13" t="s">
        <v>276</v>
      </c>
      <c r="J575" s="22" t="e">
        <f>VLOOKUP(Table2[[#This Row], [Author]],People!A:B,2,0)</f>
        <v>#VALUE!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/>
      </c>
      <c r="I576" s="11" t="s">
        <v>276</v>
      </c>
      <c r="J576" s="19" t="e">
        <f>VLOOKUP(Table2[[#This Row], [Author]],People!A:B,2,0)</f>
        <v>#VALUE!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/>
      </c>
      <c r="I577" s="13" t="s">
        <v>276</v>
      </c>
      <c r="J577" s="22" t="e">
        <f>VLOOKUP(Table2[[#This Row], [Author]],People!A:B,2,0)</f>
        <v>#VALUE!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/>
      </c>
      <c r="I578" s="11" t="s">
        <v>276</v>
      </c>
      <c r="J578" s="19" t="e">
        <f>VLOOKUP(Table2[[#This Row], [Author]],People!A:B,2,0)</f>
        <v>#VALUE!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/>
      </c>
      <c r="I579" s="13" t="s">
        <v>276</v>
      </c>
      <c r="J579" s="22" t="e">
        <f>VLOOKUP(Table2[[#This Row], [Author]],People!A:B,2,0)</f>
        <v>#VALUE!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/>
      </c>
      <c r="I580" s="11" t="s">
        <v>276</v>
      </c>
      <c r="J580" s="19" t="e">
        <f>VLOOKUP(Table2[[#This Row], [Author]],People!A:B,2,0)</f>
        <v>#VALUE!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/>
      </c>
      <c r="I581" s="13" t="s">
        <v>276</v>
      </c>
      <c r="J581" s="22" t="e">
        <f>VLOOKUP(Table2[[#This Row], [Author]],People!A:B,2,0)</f>
        <v>#VALUE!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/>
      </c>
      <c r="I582" s="11" t="s">
        <v>276</v>
      </c>
      <c r="J582" s="19" t="e">
        <f>VLOOKUP(Table2[[#This Row], [Author]],People!A:B,2,0)</f>
        <v>#VALUE!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/>
      </c>
      <c r="I583" s="13" t="s">
        <v>276</v>
      </c>
      <c r="J583" s="22" t="e">
        <f>VLOOKUP(Table2[[#This Row], [Author]],People!A:B,2,0)</f>
        <v>#VALUE!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/>
      </c>
      <c r="I584" s="11" t="s">
        <v>276</v>
      </c>
      <c r="J584" s="19" t="e">
        <f>VLOOKUP(Table2[[#This Row], [Author]],People!A:B,2,0)</f>
        <v>#VALUE!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/>
      </c>
      <c r="I585" s="13" t="s">
        <v>276</v>
      </c>
      <c r="J585" s="22" t="e">
        <f>VLOOKUP(Table2[[#This Row], [Author]],People!A:B,2,0)</f>
        <v>#VALUE!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/>
      </c>
      <c r="I586" s="11" t="s">
        <v>276</v>
      </c>
      <c r="J586" s="19" t="e">
        <f>VLOOKUP(Table2[[#This Row], [Author]],People!A:B,2,0)</f>
        <v>#VALUE!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/>
      </c>
      <c r="I587" s="13" t="s">
        <v>276</v>
      </c>
      <c r="J587" s="22" t="e">
        <f>VLOOKUP(Table2[[#This Row], [Author]],People!A:B,2,0)</f>
        <v>#VALUE!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/>
      </c>
      <c r="I588" s="11" t="s">
        <v>276</v>
      </c>
      <c r="J588" s="19" t="e">
        <f>VLOOKUP(Table2[[#This Row], [Author]],People!A:B,2,0)</f>
        <v>#VALUE!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/>
      </c>
      <c r="I589" s="13" t="s">
        <v>276</v>
      </c>
      <c r="J589" s="22" t="e">
        <f>VLOOKUP(Table2[[#This Row], [Author]],People!A:B,2,0)</f>
        <v>#VALUE!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/>
      </c>
      <c r="I590" s="11" t="s">
        <v>276</v>
      </c>
      <c r="J590" s="19" t="e">
        <f>VLOOKUP(Table2[[#This Row], [Author]],People!A:B,2,0)</f>
        <v>#VALUE!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/>
      </c>
      <c r="I591" s="13" t="s">
        <v>276</v>
      </c>
      <c r="J591" s="22" t="e">
        <f>VLOOKUP(Table2[[#This Row], [Author]],People!A:B,2,0)</f>
        <v>#VALUE!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/>
      </c>
      <c r="I592" s="11" t="s">
        <v>276</v>
      </c>
      <c r="J592" s="19" t="e">
        <f>VLOOKUP(Table2[[#This Row], [Author]],People!A:B,2,0)</f>
        <v>#VALUE!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/>
      </c>
      <c r="I593" s="13" t="s">
        <v>276</v>
      </c>
      <c r="J593" s="22" t="e">
        <f>VLOOKUP(Table2[[#This Row], [Author]],People!A:B,2,0)</f>
        <v>#VALUE!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/>
      </c>
      <c r="I594" s="11" t="s">
        <v>276</v>
      </c>
      <c r="J594" s="19" t="e">
        <f>VLOOKUP(Table2[[#This Row], [Author]],People!A:B,2,0)</f>
        <v>#VALUE!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/>
      </c>
      <c r="I595" s="13" t="s">
        <v>276</v>
      </c>
      <c r="J595" s="22" t="e">
        <f>VLOOKUP(Table2[[#This Row], [Author]],People!A:B,2,0)</f>
        <v>#VALUE!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/>
      </c>
      <c r="I596" s="11" t="s">
        <v>276</v>
      </c>
      <c r="J596" s="19" t="e">
        <f>VLOOKUP(Table2[[#This Row], [Author]],People!A:B,2,0)</f>
        <v>#VALUE!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/>
      </c>
      <c r="I597" s="13" t="s">
        <v>276</v>
      </c>
      <c r="J597" s="22" t="e">
        <f>VLOOKUP(Table2[[#This Row], [Author]],People!A:B,2,0)</f>
        <v>#VALUE!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/>
      </c>
      <c r="I598" s="11" t="s">
        <v>276</v>
      </c>
      <c r="J598" s="19" t="e">
        <f>VLOOKUP(Table2[[#This Row], [Author]],People!A:B,2,0)</f>
        <v>#VALUE!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/>
      </c>
      <c r="I599" s="13" t="s">
        <v>276</v>
      </c>
      <c r="J599" s="22" t="e">
        <f>VLOOKUP(Table2[[#This Row], [Author]],People!A:B,2,0)</f>
        <v>#VALUE!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/>
      </c>
      <c r="I600" s="11" t="s">
        <v>276</v>
      </c>
      <c r="J600" s="19" t="e">
        <f>VLOOKUP(Table2[[#This Row], [Author]],People!A:B,2,0)</f>
        <v>#VALUE!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/>
      </c>
      <c r="I601" s="13" t="s">
        <v>276</v>
      </c>
      <c r="J601" s="22" t="e">
        <f>VLOOKUP(Table2[[#This Row], [Author]],People!A:B,2,0)</f>
        <v>#VALUE!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/>
      </c>
      <c r="I602" s="11" t="s">
        <v>276</v>
      </c>
      <c r="J602" s="19" t="e">
        <f>VLOOKUP(Table2[[#This Row], [Author]],People!A:B,2,0)</f>
        <v>#VALUE!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/>
      </c>
      <c r="I603" s="13" t="s">
        <v>276</v>
      </c>
      <c r="J603" s="22" t="e">
        <f>VLOOKUP(Table2[[#This Row], [Author]],People!A:B,2,0)</f>
        <v>#VALUE!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/>
      </c>
      <c r="I604" s="11" t="s">
        <v>276</v>
      </c>
      <c r="J604" s="19" t="e">
        <f>VLOOKUP(Table2[[#This Row], [Author]],People!A:B,2,0)</f>
        <v>#VALUE!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/>
      </c>
      <c r="I605" s="13" t="s">
        <v>276</v>
      </c>
      <c r="J605" s="22" t="e">
        <f>VLOOKUP(Table2[[#This Row], [Author]],People!A:B,2,0)</f>
        <v>#VALUE!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/>
      </c>
      <c r="I606" s="11" t="s">
        <v>276</v>
      </c>
      <c r="J606" s="19" t="e">
        <f>VLOOKUP(Table2[[#This Row], [Author]],People!A:B,2,0)</f>
        <v>#VALUE!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/>
      </c>
      <c r="I607" s="13" t="s">
        <v>276</v>
      </c>
      <c r="J607" s="22" t="e">
        <f>VLOOKUP(Table2[[#This Row], [Author]],People!A:B,2,0)</f>
        <v>#VALUE!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/>
      </c>
      <c r="I608" s="11" t="s">
        <v>276</v>
      </c>
      <c r="J608" s="19" t="e">
        <f>VLOOKUP(Table2[[#This Row], [Author]],People!A:B,2,0)</f>
        <v>#VALUE!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/>
      </c>
      <c r="I609" s="13" t="s">
        <v>276</v>
      </c>
      <c r="J609" s="22" t="e">
        <f>VLOOKUP(Table2[[#This Row], [Author]],People!A:B,2,0)</f>
        <v>#VALUE!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/>
      </c>
      <c r="I610" s="11" t="s">
        <v>276</v>
      </c>
      <c r="J610" s="19" t="e">
        <f>VLOOKUP(Table2[[#This Row], [Author]],People!A:B,2,0)</f>
        <v>#VALUE!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/>
      </c>
      <c r="I611" s="13" t="s">
        <v>276</v>
      </c>
      <c r="J611" s="22" t="e">
        <f>VLOOKUP(Table2[[#This Row], [Author]],People!A:B,2,0)</f>
        <v>#VALUE!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/>
      </c>
      <c r="I612" s="11" t="s">
        <v>276</v>
      </c>
      <c r="J612" s="19" t="e">
        <f>VLOOKUP(Table2[[#This Row], [Author]],People!A:B,2,0)</f>
        <v>#VALUE!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/>
      </c>
      <c r="I613" s="13" t="s">
        <v>276</v>
      </c>
      <c r="J613" s="22" t="e">
        <f>VLOOKUP(Table2[[#This Row], [Author]],People!A:B,2,0)</f>
        <v>#VALUE!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/>
      </c>
      <c r="I614" s="11" t="s">
        <v>276</v>
      </c>
      <c r="J614" s="19" t="e">
        <f>VLOOKUP(Table2[[#This Row], [Author]],People!A:B,2,0)</f>
        <v>#VALUE!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/>
      </c>
      <c r="I615" s="13" t="s">
        <v>276</v>
      </c>
      <c r="J615" s="22" t="e">
        <f>VLOOKUP(Table2[[#This Row], [Author]],People!A:B,2,0)</f>
        <v>#VALUE!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/>
      </c>
      <c r="I616" s="11" t="s">
        <v>276</v>
      </c>
      <c r="J616" s="19" t="e">
        <f>VLOOKUP(Table2[[#This Row], [Author]],People!A:B,2,0)</f>
        <v>#VALUE!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/>
      </c>
      <c r="I617" s="13" t="s">
        <v>276</v>
      </c>
      <c r="J617" s="22" t="e">
        <f>VLOOKUP(Table2[[#This Row], [Author]],People!A:B,2,0)</f>
        <v>#VALUE!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/>
      </c>
      <c r="I618" s="11" t="s">
        <v>276</v>
      </c>
      <c r="J618" s="19" t="e">
        <f>VLOOKUP(Table2[[#This Row], [Author]],People!A:B,2,0)</f>
        <v>#VALUE!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/>
      </c>
      <c r="I619" s="13" t="s">
        <v>276</v>
      </c>
      <c r="J619" s="22" t="e">
        <f>VLOOKUP(Table2[[#This Row], [Author]],People!A:B,2,0)</f>
        <v>#VALUE!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/>
      </c>
      <c r="I620" s="11" t="s">
        <v>276</v>
      </c>
      <c r="J620" s="19" t="e">
        <f>VLOOKUP(Table2[[#This Row], [Author]],People!A:B,2,0)</f>
        <v>#VALUE!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/>
      </c>
      <c r="I621" s="13" t="s">
        <v>276</v>
      </c>
      <c r="J621" s="22" t="e">
        <f>VLOOKUP(Table2[[#This Row], [Author]],People!A:B,2,0)</f>
        <v>#VALUE!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/>
      </c>
      <c r="I622" s="11" t="s">
        <v>276</v>
      </c>
      <c r="J622" s="19" t="e">
        <f>VLOOKUP(Table2[[#This Row], [Author]],People!A:B,2,0)</f>
        <v>#VALUE!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/>
      </c>
      <c r="I623" s="13" t="s">
        <v>276</v>
      </c>
      <c r="J623" s="22" t="e">
        <f>VLOOKUP(Table2[[#This Row], [Author]],People!A:B,2,0)</f>
        <v>#VALUE!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/>
      </c>
      <c r="I624" s="11" t="s">
        <v>276</v>
      </c>
      <c r="J624" s="19" t="e">
        <f>VLOOKUP(Table2[[#This Row], [Author]],People!A:B,2,0)</f>
        <v>#VALUE!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/>
      </c>
      <c r="I625" s="13" t="s">
        <v>276</v>
      </c>
      <c r="J625" s="22" t="e">
        <f>VLOOKUP(Table2[[#This Row], [Author]],People!A:B,2,0)</f>
        <v>#VALUE!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/>
      </c>
      <c r="I626" s="11" t="s">
        <v>276</v>
      </c>
      <c r="J626" s="19" t="e">
        <f>VLOOKUP(Table2[[#This Row], [Author]],People!A:B,2,0)</f>
        <v>#VALUE!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/>
      </c>
      <c r="I627" s="13" t="s">
        <v>276</v>
      </c>
      <c r="J627" s="22" t="e">
        <f>VLOOKUP(Table2[[#This Row], [Author]],People!A:B,2,0)</f>
        <v>#VALUE!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/>
      </c>
      <c r="I628" s="11" t="s">
        <v>276</v>
      </c>
      <c r="J628" s="19" t="e">
        <f>VLOOKUP(Table2[[#This Row], [Author]],People!A:B,2,0)</f>
        <v>#VALUE!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/>
      </c>
      <c r="I629" s="13" t="s">
        <v>276</v>
      </c>
      <c r="J629" s="22" t="e">
        <f>VLOOKUP(Table2[[#This Row], [Author]],People!A:B,2,0)</f>
        <v>#VALUE!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/>
      </c>
      <c r="I630" s="11" t="s">
        <v>276</v>
      </c>
      <c r="J630" s="19" t="e">
        <f>VLOOKUP(Table2[[#This Row], [Author]],People!A:B,2,0)</f>
        <v>#VALUE!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/>
      </c>
      <c r="I631" s="13" t="s">
        <v>276</v>
      </c>
      <c r="J631" s="22" t="e">
        <f>VLOOKUP(Table2[[#This Row], [Author]],People!A:B,2,0)</f>
        <v>#VALUE!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/>
      </c>
      <c r="I632" s="11" t="s">
        <v>276</v>
      </c>
      <c r="J632" s="19" t="e">
        <f>VLOOKUP(Table2[[#This Row], [Author]],People!A:B,2,0)</f>
        <v>#VALUE!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/>
      </c>
      <c r="I633" s="13" t="s">
        <v>276</v>
      </c>
      <c r="J633" s="22" t="e">
        <f>VLOOKUP(Table2[[#This Row], [Author]],People!A:B,2,0)</f>
        <v>#VALUE!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/>
      </c>
      <c r="I634" s="11" t="s">
        <v>276</v>
      </c>
      <c r="J634" s="19" t="e">
        <f>VLOOKUP(Table2[[#This Row], [Author]],People!A:B,2,0)</f>
        <v>#VALUE!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/>
      </c>
      <c r="I635" s="13" t="s">
        <v>276</v>
      </c>
      <c r="J635" s="22" t="e">
        <f>VLOOKUP(Table2[[#This Row], [Author]],People!A:B,2,0)</f>
        <v>#VALUE!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/>
      </c>
      <c r="I636" s="11" t="s">
        <v>276</v>
      </c>
      <c r="J636" s="19" t="e">
        <f>VLOOKUP(Table2[[#This Row], [Author]],People!A:B,2,0)</f>
        <v>#VALUE!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/>
      </c>
      <c r="I637" s="13" t="s">
        <v>276</v>
      </c>
      <c r="J637" s="22" t="e">
        <f>VLOOKUP(Table2[[#This Row], [Author]],People!A:B,2,0)</f>
        <v>#VALUE!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/>
      </c>
      <c r="I638" s="11" t="s">
        <v>276</v>
      </c>
      <c r="J638" s="19" t="e">
        <f>VLOOKUP(Table2[[#This Row], [Author]],People!A:B,2,0)</f>
        <v>#VALUE!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/>
      </c>
      <c r="I639" s="13" t="s">
        <v>276</v>
      </c>
      <c r="J639" s="22" t="e">
        <f>VLOOKUP(Table2[[#This Row], [Author]],People!A:B,2,0)</f>
        <v>#VALUE!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/>
      </c>
      <c r="I640" s="11" t="s">
        <v>276</v>
      </c>
      <c r="J640" s="19" t="e">
        <f>VLOOKUP(Table2[[#This Row], [Author]],People!A:B,2,0)</f>
        <v>#VALUE!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/>
      </c>
      <c r="I641" s="13" t="s">
        <v>276</v>
      </c>
      <c r="J641" s="22" t="e">
        <f>VLOOKUP(Table2[[#This Row], [Author]],People!A:B,2,0)</f>
        <v>#VALUE!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/>
      </c>
      <c r="I642" s="11" t="s">
        <v>276</v>
      </c>
      <c r="J642" s="19" t="e">
        <f>VLOOKUP(Table2[[#This Row], [Author]],People!A:B,2,0)</f>
        <v>#VALUE!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/>
      </c>
      <c r="I643" s="13" t="s">
        <v>276</v>
      </c>
      <c r="J643" s="22" t="e">
        <f>VLOOKUP(Table2[[#This Row], [Author]],People!A:B,2,0)</f>
        <v>#VALUE!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/>
      </c>
      <c r="I644" s="11" t="s">
        <v>276</v>
      </c>
      <c r="J644" s="19" t="e">
        <f>VLOOKUP(Table2[[#This Row], [Author]],People!A:B,2,0)</f>
        <v>#VALUE!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/>
      </c>
      <c r="I645" s="13" t="s">
        <v>276</v>
      </c>
      <c r="J645" s="22" t="e">
        <f>VLOOKUP(Table2[[#This Row], [Author]],People!A:B,2,0)</f>
        <v>#VALUE!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/>
      </c>
      <c r="I646" s="11" t="s">
        <v>276</v>
      </c>
      <c r="J646" s="19" t="e">
        <f>VLOOKUP(Table2[[#This Row], [Author]],People!A:B,2,0)</f>
        <v>#VALUE!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/>
      </c>
      <c r="I647" s="13" t="s">
        <v>276</v>
      </c>
      <c r="J647" s="22" t="e">
        <f>VLOOKUP(Table2[[#This Row], [Author]],People!A:B,2,0)</f>
        <v>#VALUE!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/>
      </c>
      <c r="I648" s="11" t="s">
        <v>276</v>
      </c>
      <c r="J648" s="19" t="e">
        <f>VLOOKUP(Table2[[#This Row], [Author]],People!A:B,2,0)</f>
        <v>#VALUE!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/>
      </c>
      <c r="I649" s="13" t="s">
        <v>276</v>
      </c>
      <c r="J649" s="22" t="e">
        <f>VLOOKUP(Table2[[#This Row], [Author]],People!A:B,2,0)</f>
        <v>#VALUE!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/>
      </c>
      <c r="I650" s="11" t="s">
        <v>276</v>
      </c>
      <c r="J650" s="19" t="e">
        <f>VLOOKUP(Table2[[#This Row], [Author]],People!A:B,2,0)</f>
        <v>#VALUE!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/>
      </c>
      <c r="I651" s="13" t="s">
        <v>276</v>
      </c>
      <c r="J651" s="22" t="e">
        <f>VLOOKUP(Table2[[#This Row], [Author]],People!A:B,2,0)</f>
        <v>#VALUE!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/>
      </c>
      <c r="I652" s="11" t="s">
        <v>276</v>
      </c>
      <c r="J652" s="19" t="e">
        <f>VLOOKUP(Table2[[#This Row], [Author]],People!A:B,2,0)</f>
        <v>#VALUE!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/>
      </c>
      <c r="I653" s="13" t="s">
        <v>276</v>
      </c>
      <c r="J653" s="22" t="e">
        <f>VLOOKUP(Table2[[#This Row], [Author]],People!A:B,2,0)</f>
        <v>#VALUE!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/>
      </c>
      <c r="I654" s="11" t="s">
        <v>276</v>
      </c>
      <c r="J654" s="19" t="e">
        <f>VLOOKUP(Table2[[#This Row], [Author]],People!A:B,2,0)</f>
        <v>#VALUE!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/>
      </c>
      <c r="I655" s="13" t="s">
        <v>276</v>
      </c>
      <c r="J655" s="22" t="e">
        <f>VLOOKUP(Table2[[#This Row], [Author]],People!A:B,2,0)</f>
        <v>#VALUE!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/>
      </c>
      <c r="I656" s="11" t="s">
        <v>276</v>
      </c>
      <c r="J656" s="19" t="e">
        <f>VLOOKUP(Table2[[#This Row], [Author]],People!A:B,2,0)</f>
        <v>#VALUE!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/>
      </c>
      <c r="I657" s="13" t="s">
        <v>276</v>
      </c>
      <c r="J657" s="22" t="e">
        <f>VLOOKUP(Table2[[#This Row], [Author]],People!A:B,2,0)</f>
        <v>#VALUE!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/>
      </c>
      <c r="I658" s="11" t="s">
        <v>276</v>
      </c>
      <c r="J658" s="19" t="e">
        <f>VLOOKUP(Table2[[#This Row], [Author]],People!A:B,2,0)</f>
        <v>#VALUE!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/>
      </c>
      <c r="I659" s="13" t="s">
        <v>276</v>
      </c>
      <c r="J659" s="22" t="e">
        <f>VLOOKUP(Table2[[#This Row], [Author]],People!A:B,2,0)</f>
        <v>#VALUE!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/>
      </c>
      <c r="I660" s="11" t="s">
        <v>276</v>
      </c>
      <c r="J660" s="19" t="e">
        <f>VLOOKUP(Table2[[#This Row], [Author]],People!A:B,2,0)</f>
        <v>#VALUE!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/>
      </c>
      <c r="I661" s="13" t="s">
        <v>276</v>
      </c>
      <c r="J661" s="22" t="e">
        <f>VLOOKUP(Table2[[#This Row], [Author]],People!A:B,2,0)</f>
        <v>#VALUE!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/>
      </c>
      <c r="I662" s="11" t="s">
        <v>276</v>
      </c>
      <c r="J662" s="19" t="e">
        <f>VLOOKUP(Table2[[#This Row], [Author]],People!A:B,2,0)</f>
        <v>#VALUE!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/>
      </c>
      <c r="I663" s="13" t="s">
        <v>276</v>
      </c>
      <c r="J663" s="22" t="e">
        <f>VLOOKUP(Table2[[#This Row], [Author]],People!A:B,2,0)</f>
        <v>#VALUE!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/>
      </c>
      <c r="I664" s="11" t="s">
        <v>276</v>
      </c>
      <c r="J664" s="19" t="e">
        <f>VLOOKUP(Table2[[#This Row], [Author]],People!A:B,2,0)</f>
        <v>#VALUE!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/>
      </c>
      <c r="I665" s="13" t="s">
        <v>276</v>
      </c>
      <c r="J665" s="22" t="e">
        <f>VLOOKUP(Table2[[#This Row], [Author]],People!A:B,2,0)</f>
        <v>#VALUE!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/>
      </c>
      <c r="I666" s="11" t="s">
        <v>276</v>
      </c>
      <c r="J666" s="19" t="e">
        <f>VLOOKUP(Table2[[#This Row], [Author]],People!A:B,2,0)</f>
        <v>#VALUE!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/>
      </c>
      <c r="I667" s="13" t="s">
        <v>276</v>
      </c>
      <c r="J667" s="22" t="e">
        <f>VLOOKUP(Table2[[#This Row], [Author]],People!A:B,2,0)</f>
        <v>#VALUE!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/>
      </c>
      <c r="I668" s="11" t="s">
        <v>276</v>
      </c>
      <c r="J668" s="19" t="e">
        <f>VLOOKUP(Table2[[#This Row], [Author]],People!A:B,2,0)</f>
        <v>#VALUE!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/>
      </c>
      <c r="I669" s="13" t="s">
        <v>276</v>
      </c>
      <c r="J669" s="22" t="e">
        <f>VLOOKUP(Table2[[#This Row], [Author]],People!A:B,2,0)</f>
        <v>#VALUE!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/>
      </c>
      <c r="I670" s="11" t="s">
        <v>276</v>
      </c>
      <c r="J670" s="19" t="e">
        <f>VLOOKUP(Table2[[#This Row], [Author]],People!A:B,2,0)</f>
        <v>#VALUE!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/>
      </c>
      <c r="I671" s="13" t="s">
        <v>276</v>
      </c>
      <c r="J671" s="22" t="e">
        <f>VLOOKUP(Table2[[#This Row], [Author]],People!A:B,2,0)</f>
        <v>#VALUE!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/>
      </c>
      <c r="I672" s="11" t="s">
        <v>276</v>
      </c>
      <c r="J672" s="19" t="e">
        <f>VLOOKUP(Table2[[#This Row], [Author]],People!A:B,2,0)</f>
        <v>#VALUE!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/>
      </c>
      <c r="I673" s="13" t="s">
        <v>276</v>
      </c>
      <c r="J673" s="22" t="e">
        <f>VLOOKUP(Table2[[#This Row], [Author]],People!A:B,2,0)</f>
        <v>#VALUE!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/>
      </c>
      <c r="I674" s="11" t="s">
        <v>276</v>
      </c>
      <c r="J674" s="19" t="e">
        <f>VLOOKUP(Table2[[#This Row], [Author]],People!A:B,2,0)</f>
        <v>#VALUE!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/>
      </c>
      <c r="I675" s="13" t="s">
        <v>276</v>
      </c>
      <c r="J675" s="22" t="e">
        <f>VLOOKUP(Table2[[#This Row], [Author]],People!A:B,2,0)</f>
        <v>#VALUE!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/>
      </c>
      <c r="I676" s="11" t="s">
        <v>276</v>
      </c>
      <c r="J676" s="19" t="e">
        <f>VLOOKUP(Table2[[#This Row], [Author]],People!A:B,2,0)</f>
        <v>#VALUE!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/>
      </c>
      <c r="I677" s="13" t="s">
        <v>276</v>
      </c>
      <c r="J677" s="22" t="e">
        <f>VLOOKUP(Table2[[#This Row], [Author]],People!A:B,2,0)</f>
        <v>#VALUE!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/>
      </c>
      <c r="I678" s="11" t="s">
        <v>276</v>
      </c>
      <c r="J678" s="19" t="e">
        <f>VLOOKUP(Table2[[#This Row], [Author]],People!A:B,2,0)</f>
        <v>#VALUE!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/>
      </c>
      <c r="I679" s="13" t="s">
        <v>276</v>
      </c>
      <c r="J679" s="22" t="e">
        <f>VLOOKUP(Table2[[#This Row], [Author]],People!A:B,2,0)</f>
        <v>#VALUE!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/>
      </c>
      <c r="I680" s="11" t="s">
        <v>276</v>
      </c>
      <c r="J680" s="19" t="e">
        <f>VLOOKUP(Table2[[#This Row], [Author]],People!A:B,2,0)</f>
        <v>#VALUE!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/>
      </c>
      <c r="I681" s="13" t="s">
        <v>276</v>
      </c>
      <c r="J681" s="22" t="e">
        <f>VLOOKUP(Table2[[#This Row], [Author]],People!A:B,2,0)</f>
        <v>#VALUE!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/>
      </c>
      <c r="I682" s="11" t="s">
        <v>276</v>
      </c>
      <c r="J682" s="19" t="e">
        <f>VLOOKUP(Table2[[#This Row], [Author]],People!A:B,2,0)</f>
        <v>#VALUE!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/>
      </c>
      <c r="I683" s="13" t="s">
        <v>276</v>
      </c>
      <c r="J683" s="22" t="e">
        <f>VLOOKUP(Table2[[#This Row], [Author]],People!A:B,2,0)</f>
        <v>#VALUE!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/>
      </c>
      <c r="I684" s="11" t="s">
        <v>276</v>
      </c>
      <c r="J684" s="19" t="e">
        <f>VLOOKUP(Table2[[#This Row], [Author]],People!A:B,2,0)</f>
        <v>#VALUE!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/>
      </c>
      <c r="I685" s="13" t="s">
        <v>276</v>
      </c>
      <c r="J685" s="22" t="e">
        <f>VLOOKUP(Table2[[#This Row], [Author]],People!A:B,2,0)</f>
        <v>#VALUE!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/>
      </c>
      <c r="I686" s="11" t="s">
        <v>276</v>
      </c>
      <c r="J686" s="19" t="e">
        <f>VLOOKUP(Table2[[#This Row], [Author]],People!A:B,2,0)</f>
        <v>#VALUE!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/>
      </c>
      <c r="I687" s="13" t="s">
        <v>276</v>
      </c>
      <c r="J687" s="22" t="e">
        <f>VLOOKUP(Table2[[#This Row], [Author]],People!A:B,2,0)</f>
        <v>#VALUE!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/>
      </c>
      <c r="I688" s="11" t="s">
        <v>276</v>
      </c>
      <c r="J688" s="19" t="e">
        <f>VLOOKUP(Table2[[#This Row], [Author]],People!A:B,2,0)</f>
        <v>#VALUE!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/>
      </c>
      <c r="I689" s="13" t="s">
        <v>276</v>
      </c>
      <c r="J689" s="22" t="e">
        <f>VLOOKUP(Table2[[#This Row], [Author]],People!A:B,2,0)</f>
        <v>#VALUE!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/>
      </c>
      <c r="I690" s="11" t="s">
        <v>276</v>
      </c>
      <c r="J690" s="19" t="e">
        <f>VLOOKUP(Table2[[#This Row], [Author]],People!A:B,2,0)</f>
        <v>#VALUE!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/>
      </c>
      <c r="I691" s="13" t="s">
        <v>276</v>
      </c>
      <c r="J691" s="22" t="e">
        <f>VLOOKUP(Table2[[#This Row], [Author]],People!A:B,2,0)</f>
        <v>#VALUE!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/>
      </c>
      <c r="I692" s="11" t="s">
        <v>276</v>
      </c>
      <c r="J692" s="19" t="e">
        <f>VLOOKUP(Table2[[#This Row], [Author]],People!A:B,2,0)</f>
        <v>#VALUE!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/>
      </c>
      <c r="I693" s="13" t="s">
        <v>276</v>
      </c>
      <c r="J693" s="22" t="e">
        <f>VLOOKUP(Table2[[#This Row], [Author]],People!A:B,2,0)</f>
        <v>#VALUE!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/>
      </c>
      <c r="I694" s="11" t="s">
        <v>276</v>
      </c>
      <c r="J694" s="19" t="e">
        <f>VLOOKUP(Table2[[#This Row], [Author]],People!A:B,2,0)</f>
        <v>#VALUE!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/>
      </c>
      <c r="I695" s="13" t="s">
        <v>276</v>
      </c>
      <c r="J695" s="22" t="e">
        <f>VLOOKUP(Table2[[#This Row], [Author]],People!A:B,2,0)</f>
        <v>#VALUE!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/>
      </c>
      <c r="I696" s="11" t="s">
        <v>276</v>
      </c>
      <c r="J696" s="19" t="e">
        <f>VLOOKUP(Table2[[#This Row], [Author]],People!A:B,2,0)</f>
        <v>#VALUE!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/>
      </c>
      <c r="I697" s="13" t="s">
        <v>276</v>
      </c>
      <c r="J697" s="22" t="e">
        <f>VLOOKUP(Table2[[#This Row], [Author]],People!A:B,2,0)</f>
        <v>#VALUE!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/>
      </c>
      <c r="I698" s="11" t="s">
        <v>276</v>
      </c>
      <c r="J698" s="19" t="e">
        <f>VLOOKUP(Table2[[#This Row], [Author]],People!A:B,2,0)</f>
        <v>#VALUE!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/>
      </c>
      <c r="I699" s="13" t="s">
        <v>276</v>
      </c>
      <c r="J699" s="22" t="e">
        <f>VLOOKUP(Table2[[#This Row], [Author]],People!A:B,2,0)</f>
        <v>#VALUE!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/>
      </c>
      <c r="I700" s="11" t="s">
        <v>276</v>
      </c>
      <c r="J700" s="19" t="e">
        <f>VLOOKUP(Table2[[#This Row], [Author]],People!A:B,2,0)</f>
        <v>#VALUE!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/>
      </c>
      <c r="I701" s="13" t="s">
        <v>276</v>
      </c>
      <c r="J701" s="22" t="e">
        <f>VLOOKUP(Table2[[#This Row], [Author]],People!A:B,2,0)</f>
        <v>#VALUE!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/>
      </c>
      <c r="I702" s="11" t="s">
        <v>276</v>
      </c>
      <c r="J702" s="19" t="e">
        <f>VLOOKUP(Table2[[#This Row], [Author]],People!A:B,2,0)</f>
        <v>#VALUE!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/>
      </c>
      <c r="I703" s="13" t="s">
        <v>276</v>
      </c>
      <c r="J703" s="22" t="e">
        <f>VLOOKUP(Table2[[#This Row], [Author]],People!A:B,2,0)</f>
        <v>#VALUE!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/>
      </c>
      <c r="I704" s="11" t="s">
        <v>276</v>
      </c>
      <c r="J704" s="19" t="e">
        <f>VLOOKUP(Table2[[#This Row], [Author]],People!A:B,2,0)</f>
        <v>#VALUE!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/>
      </c>
      <c r="I705" s="13" t="s">
        <v>276</v>
      </c>
      <c r="J705" s="22" t="e">
        <f>VLOOKUP(Table2[[#This Row], [Author]],People!A:B,2,0)</f>
        <v>#VALUE!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/>
      </c>
      <c r="I706" s="11" t="s">
        <v>276</v>
      </c>
      <c r="J706" s="19" t="e">
        <f>VLOOKUP(Table2[[#This Row], [Author]],People!A:B,2,0)</f>
        <v>#VALUE!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/>
      </c>
      <c r="I707" s="13" t="s">
        <v>276</v>
      </c>
      <c r="J707" s="22" t="e">
        <f>VLOOKUP(Table2[[#This Row], [Author]],People!A:B,2,0)</f>
        <v>#VALUE!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/>
      </c>
      <c r="I708" s="11" t="s">
        <v>276</v>
      </c>
      <c r="J708" s="19" t="e">
        <f>VLOOKUP(Table2[[#This Row], [Author]],People!A:B,2,0)</f>
        <v>#VALUE!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/>
      </c>
      <c r="I709" s="13" t="s">
        <v>276</v>
      </c>
      <c r="J709" s="22" t="e">
        <f>VLOOKUP(Table2[[#This Row], [Author]],People!A:B,2,0)</f>
        <v>#VALUE!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/>
      </c>
      <c r="I710" s="11" t="s">
        <v>276</v>
      </c>
      <c r="J710" s="19" t="e">
        <f>VLOOKUP(Table2[[#This Row], [Author]],People!A:B,2,0)</f>
        <v>#VALUE!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/>
      </c>
      <c r="I711" s="13" t="s">
        <v>276</v>
      </c>
      <c r="J711" s="22" t="e">
        <f>VLOOKUP(Table2[[#This Row], [Author]],People!A:B,2,0)</f>
        <v>#VALUE!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/>
      </c>
      <c r="I712" s="11" t="s">
        <v>276</v>
      </c>
      <c r="J712" s="19" t="e">
        <f>VLOOKUP(Table2[[#This Row], [Author]],People!A:B,2,0)</f>
        <v>#VALUE!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/>
      </c>
      <c r="I713" s="13" t="s">
        <v>276</v>
      </c>
      <c r="J713" s="22" t="e">
        <f>VLOOKUP(Table2[[#This Row], [Author]],People!A:B,2,0)</f>
        <v>#VALUE!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/>
      </c>
      <c r="I714" s="11" t="s">
        <v>276</v>
      </c>
      <c r="J714" s="19" t="e">
        <f>VLOOKUP(Table2[[#This Row], [Author]],People!A:B,2,0)</f>
        <v>#VALUE!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/>
      </c>
      <c r="I715" s="13" t="s">
        <v>276</v>
      </c>
      <c r="J715" s="22" t="e">
        <f>VLOOKUP(Table2[[#This Row], [Author]],People!A:B,2,0)</f>
        <v>#VALUE!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/>
      </c>
      <c r="I716" s="11" t="s">
        <v>276</v>
      </c>
      <c r="J716" s="19" t="e">
        <f>VLOOKUP(Table2[[#This Row], [Author]],People!A:B,2,0)</f>
        <v>#VALUE!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/>
      </c>
      <c r="I717" s="13" t="s">
        <v>276</v>
      </c>
      <c r="J717" s="22" t="e">
        <f>VLOOKUP(Table2[[#This Row], [Author]],People!A:B,2,0)</f>
        <v>#VALUE!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/>
      </c>
      <c r="I718" s="11" t="s">
        <v>276</v>
      </c>
      <c r="J718" s="19" t="e">
        <f>VLOOKUP(Table2[[#This Row], [Author]],People!A:B,2,0)</f>
        <v>#VALUE!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/>
      </c>
      <c r="I719" s="13" t="s">
        <v>276</v>
      </c>
      <c r="J719" s="22" t="e">
        <f>VLOOKUP(Table2[[#This Row], [Author]],People!A:B,2,0)</f>
        <v>#VALUE!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/>
      </c>
      <c r="I720" s="11" t="s">
        <v>276</v>
      </c>
      <c r="J720" s="19" t="e">
        <f>VLOOKUP(Table2[[#This Row], [Author]],People!A:B,2,0)</f>
        <v>#VALUE!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/>
      </c>
      <c r="I721" s="13" t="s">
        <v>276</v>
      </c>
      <c r="J721" s="22" t="e">
        <f>VLOOKUP(Table2[[#This Row], [Author]],People!A:B,2,0)</f>
        <v>#VALUE!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/>
      </c>
      <c r="I722" s="11" t="s">
        <v>276</v>
      </c>
      <c r="J722" s="19" t="e">
        <f>VLOOKUP(Table2[[#This Row], [Author]],People!A:B,2,0)</f>
        <v>#VALUE!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/>
      </c>
      <c r="I723" s="13" t="s">
        <v>276</v>
      </c>
      <c r="J723" s="22" t="e">
        <f>VLOOKUP(Table2[[#This Row], [Author]],People!A:B,2,0)</f>
        <v>#VALUE!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/>
      </c>
      <c r="I724" s="11" t="s">
        <v>276</v>
      </c>
      <c r="J724" s="19" t="e">
        <f>VLOOKUP(Table2[[#This Row], [Author]],People!A:B,2,0)</f>
        <v>#VALUE!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/>
      </c>
      <c r="I725" s="13" t="s">
        <v>276</v>
      </c>
      <c r="J725" s="22" t="e">
        <f>VLOOKUP(Table2[[#This Row], [Author]],People!A:B,2,0)</f>
        <v>#VALUE!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/>
      </c>
      <c r="I726" s="11" t="s">
        <v>276</v>
      </c>
      <c r="J726" s="19" t="e">
        <f>VLOOKUP(Table2[[#This Row], [Author]],People!A:B,2,0)</f>
        <v>#VALUE!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/>
      </c>
      <c r="I727" s="13" t="s">
        <v>276</v>
      </c>
      <c r="J727" s="22" t="e">
        <f>VLOOKUP(Table2[[#This Row], [Author]],People!A:B,2,0)</f>
        <v>#VALUE!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/>
      </c>
      <c r="I728" s="11" t="s">
        <v>276</v>
      </c>
      <c r="J728" s="19" t="e">
        <f>VLOOKUP(Table2[[#This Row], [Author]],People!A:B,2,0)</f>
        <v>#VALUE!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/>
      </c>
      <c r="I729" s="13" t="s">
        <v>276</v>
      </c>
      <c r="J729" s="22" t="e">
        <f>VLOOKUP(Table2[[#This Row], [Author]],People!A:B,2,0)</f>
        <v>#VALUE!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/>
      </c>
      <c r="I730" s="11" t="s">
        <v>276</v>
      </c>
      <c r="J730" s="19" t="e">
        <f>VLOOKUP(Table2[[#This Row], [Author]],People!A:B,2,0)</f>
        <v>#VALUE!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/>
      </c>
      <c r="I731" s="13" t="s">
        <v>276</v>
      </c>
      <c r="J731" s="22" t="e">
        <f>VLOOKUP(Table2[[#This Row], [Author]],People!A:B,2,0)</f>
        <v>#VALUE!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/>
      </c>
      <c r="I732" s="11" t="s">
        <v>276</v>
      </c>
      <c r="J732" s="19" t="e">
        <f>VLOOKUP(Table2[[#This Row], [Author]],People!A:B,2,0)</f>
        <v>#VALUE!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/>
      </c>
      <c r="I733" s="13" t="s">
        <v>276</v>
      </c>
      <c r="J733" s="22" t="e">
        <f>VLOOKUP(Table2[[#This Row], [Author]],People!A:B,2,0)</f>
        <v>#VALUE!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/>
      </c>
      <c r="I734" s="11" t="s">
        <v>276</v>
      </c>
      <c r="J734" s="19" t="e">
        <f>VLOOKUP(Table2[[#This Row], [Author]],People!A:B,2,0)</f>
        <v>#VALUE!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/>
      </c>
      <c r="I735" s="13" t="s">
        <v>276</v>
      </c>
      <c r="J735" s="22" t="e">
        <f>VLOOKUP(Table2[[#This Row], [Author]],People!A:B,2,0)</f>
        <v>#VALUE!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/>
      </c>
      <c r="I736" s="11" t="s">
        <v>276</v>
      </c>
      <c r="J736" s="19" t="e">
        <f>VLOOKUP(Table2[[#This Row], [Author]],People!A:B,2,0)</f>
        <v>#VALUE!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/>
      </c>
      <c r="I737" s="13" t="s">
        <v>276</v>
      </c>
      <c r="J737" s="22" t="e">
        <f>VLOOKUP(Table2[[#This Row], [Author]],People!A:B,2,0)</f>
        <v>#VALUE!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/>
      </c>
      <c r="I738" s="11" t="s">
        <v>276</v>
      </c>
      <c r="J738" s="19" t="e">
        <f>VLOOKUP(Table2[[#This Row], [Author]],People!A:B,2,0)</f>
        <v>#VALUE!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/>
      </c>
      <c r="I739" s="13" t="s">
        <v>276</v>
      </c>
      <c r="J739" s="22" t="e">
        <f>VLOOKUP(Table2[[#This Row], [Author]],People!A:B,2,0)</f>
        <v>#VALUE!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/>
      </c>
      <c r="I740" s="11" t="s">
        <v>276</v>
      </c>
      <c r="J740" s="19" t="e">
        <f>VLOOKUP(Table2[[#This Row], [Author]],People!A:B,2,0)</f>
        <v>#VALUE!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/>
      </c>
      <c r="I741" s="13" t="s">
        <v>276</v>
      </c>
      <c r="J741" s="22" t="e">
        <f>VLOOKUP(Table2[[#This Row], [Author]],People!A:B,2,0)</f>
        <v>#VALUE!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/>
      </c>
      <c r="I742" s="11" t="s">
        <v>276</v>
      </c>
      <c r="J742" s="19" t="e">
        <f>VLOOKUP(Table2[[#This Row], [Author]],People!A:B,2,0)</f>
        <v>#VALUE!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/>
      </c>
      <c r="I743" s="13" t="s">
        <v>276</v>
      </c>
      <c r="J743" s="22" t="e">
        <f>VLOOKUP(Table2[[#This Row], [Author]],People!A:B,2,0)</f>
        <v>#VALUE!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/>
      </c>
      <c r="I744" s="11" t="s">
        <v>276</v>
      </c>
      <c r="J744" s="19" t="e">
        <f>VLOOKUP(Table2[[#This Row], [Author]],People!A:B,2,0)</f>
        <v>#VALUE!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/>
      </c>
      <c r="I745" s="13" t="s">
        <v>276</v>
      </c>
      <c r="J745" s="22" t="e">
        <f>VLOOKUP(Table2[[#This Row], [Author]],People!A:B,2,0)</f>
        <v>#VALUE!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/>
      </c>
      <c r="I746" s="11" t="s">
        <v>276</v>
      </c>
      <c r="J746" s="19" t="e">
        <f>VLOOKUP(Table2[[#This Row], [Author]],People!A:B,2,0)</f>
        <v>#VALUE!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/>
      </c>
      <c r="I747" s="13" t="s">
        <v>276</v>
      </c>
      <c r="J747" s="22" t="e">
        <f>VLOOKUP(Table2[[#This Row], [Author]],People!A:B,2,0)</f>
        <v>#VALUE!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/>
      </c>
      <c r="I748" s="11" t="s">
        <v>276</v>
      </c>
      <c r="J748" s="19" t="e">
        <f>VLOOKUP(Table2[[#This Row], [Author]],People!A:B,2,0)</f>
        <v>#VALUE!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/>
      </c>
      <c r="I749" s="13" t="s">
        <v>276</v>
      </c>
      <c r="J749" s="22" t="e">
        <f>VLOOKUP(Table2[[#This Row], [Author]],People!A:B,2,0)</f>
        <v>#VALUE!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/>
      </c>
      <c r="I750" s="11" t="s">
        <v>276</v>
      </c>
      <c r="J750" s="19" t="e">
        <f>VLOOKUP(Table2[[#This Row], [Author]],People!A:B,2,0)</f>
        <v>#VALUE!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/>
      </c>
      <c r="I751" s="13" t="s">
        <v>276</v>
      </c>
      <c r="J751" s="22" t="e">
        <f>VLOOKUP(Table2[[#This Row], [Author]],People!A:B,2,0)</f>
        <v>#VALUE!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/>
      </c>
      <c r="I752" s="11" t="s">
        <v>276</v>
      </c>
      <c r="J752" s="19" t="e">
        <f>VLOOKUP(Table2[[#This Row], [Author]],People!A:B,2,0)</f>
        <v>#VALUE!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/>
      </c>
      <c r="I753" s="13" t="s">
        <v>276</v>
      </c>
      <c r="J753" s="22" t="e">
        <f>VLOOKUP(Table2[[#This Row], [Author]],People!A:B,2,0)</f>
        <v>#VALUE!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/>
      </c>
      <c r="I754" s="11" t="s">
        <v>276</v>
      </c>
      <c r="J754" s="19" t="e">
        <f>VLOOKUP(Table2[[#This Row], [Author]],People!A:B,2,0)</f>
        <v>#VALUE!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/>
      </c>
      <c r="I755" s="13" t="s">
        <v>276</v>
      </c>
      <c r="J755" s="22" t="e">
        <f>VLOOKUP(Table2[[#This Row], [Author]],People!A:B,2,0)</f>
        <v>#VALUE!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/>
      </c>
      <c r="I756" s="11" t="s">
        <v>276</v>
      </c>
      <c r="J756" s="19" t="e">
        <f>VLOOKUP(Table2[[#This Row], [Author]],People!A:B,2,0)</f>
        <v>#VALUE!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/>
      </c>
      <c r="I757" s="13" t="s">
        <v>276</v>
      </c>
      <c r="J757" s="22" t="e">
        <f>VLOOKUP(Table2[[#This Row], [Author]],People!A:B,2,0)</f>
        <v>#VALUE!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/>
      </c>
      <c r="I758" s="11" t="s">
        <v>276</v>
      </c>
      <c r="J758" s="19" t="e">
        <f>VLOOKUP(Table2[[#This Row], [Author]],People!A:B,2,0)</f>
        <v>#VALUE!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/>
      </c>
      <c r="I759" s="13" t="s">
        <v>276</v>
      </c>
      <c r="J759" s="22" t="e">
        <f>VLOOKUP(Table2[[#This Row], [Author]],People!A:B,2,0)</f>
        <v>#VALUE!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/>
      </c>
      <c r="I760" s="11" t="s">
        <v>276</v>
      </c>
      <c r="J760" s="19" t="e">
        <f>VLOOKUP(Table2[[#This Row], [Author]],People!A:B,2,0)</f>
        <v>#VALUE!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/>
      </c>
      <c r="I761" s="13" t="s">
        <v>276</v>
      </c>
      <c r="J761" s="22" t="e">
        <f>VLOOKUP(Table2[[#This Row], [Author]],People!A:B,2,0)</f>
        <v>#VALUE!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/>
      </c>
      <c r="I762" s="11" t="s">
        <v>276</v>
      </c>
      <c r="J762" s="19" t="e">
        <f>VLOOKUP(Table2[[#This Row], [Author]],People!A:B,2,0)</f>
        <v>#VALUE!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/>
      </c>
      <c r="I763" s="13" t="s">
        <v>276</v>
      </c>
      <c r="J763" s="22" t="e">
        <f>VLOOKUP(Table2[[#This Row], [Author]],People!A:B,2,0)</f>
        <v>#VALUE!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/>
      </c>
      <c r="I764" s="11" t="s">
        <v>276</v>
      </c>
      <c r="J764" s="19" t="e">
        <f>VLOOKUP(Table2[[#This Row], [Author]],People!A:B,2,0)</f>
        <v>#VALUE!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/>
      </c>
      <c r="I765" s="13" t="s">
        <v>276</v>
      </c>
      <c r="J765" s="22" t="e">
        <f>VLOOKUP(Table2[[#This Row], [Author]],People!A:B,2,0)</f>
        <v>#VALUE!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/>
      </c>
      <c r="I766" s="11" t="s">
        <v>276</v>
      </c>
      <c r="J766" s="19" t="e">
        <f>VLOOKUP(Table2[[#This Row], [Author]],People!A:B,2,0)</f>
        <v>#VALUE!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/>
      </c>
      <c r="I767" s="13" t="s">
        <v>276</v>
      </c>
      <c r="J767" s="22" t="e">
        <f>VLOOKUP(Table2[[#This Row], [Author]],People!A:B,2,0)</f>
        <v>#VALUE!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/>
      </c>
      <c r="I768" s="11" t="s">
        <v>276</v>
      </c>
      <c r="J768" s="19" t="e">
        <f>VLOOKUP(Table2[[#This Row], [Author]],People!A:B,2,0)</f>
        <v>#VALUE!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/>
      </c>
      <c r="I769" s="13" t="s">
        <v>276</v>
      </c>
      <c r="J769" s="22" t="e">
        <f>VLOOKUP(Table2[[#This Row], [Author]],People!A:B,2,0)</f>
        <v>#VALUE!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/>
      </c>
      <c r="I770" s="11" t="s">
        <v>276</v>
      </c>
      <c r="J770" s="19" t="e">
        <f>VLOOKUP(Table2[[#This Row], [Author]],People!A:B,2,0)</f>
        <v>#VALUE!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/>
      </c>
      <c r="I771" s="13" t="s">
        <v>276</v>
      </c>
      <c r="J771" s="22" t="e">
        <f>VLOOKUP(Table2[[#This Row], [Author]],People!A:B,2,0)</f>
        <v>#VALUE!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/>
      </c>
      <c r="I772" s="11" t="s">
        <v>276</v>
      </c>
      <c r="J772" s="19" t="e">
        <f>VLOOKUP(Table2[[#This Row], [Author]],People!A:B,2,0)</f>
        <v>#VALUE!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/>
      </c>
      <c r="I773" s="13" t="s">
        <v>276</v>
      </c>
      <c r="J773" s="22" t="e">
        <f>VLOOKUP(Table2[[#This Row], [Author]],People!A:B,2,0)</f>
        <v>#VALUE!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/>
      </c>
      <c r="I774" s="11" t="s">
        <v>276</v>
      </c>
      <c r="J774" s="19" t="e">
        <f>VLOOKUP(Table2[[#This Row], [Author]],People!A:B,2,0)</f>
        <v>#VALUE!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/>
      </c>
      <c r="I775" s="13" t="s">
        <v>276</v>
      </c>
      <c r="J775" s="22" t="e">
        <f>VLOOKUP(Table2[[#This Row], [Author]],People!A:B,2,0)</f>
        <v>#VALUE!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/>
      </c>
      <c r="I776" s="11" t="s">
        <v>276</v>
      </c>
      <c r="J776" s="19" t="e">
        <f>VLOOKUP(Table2[[#This Row], [Author]],People!A:B,2,0)</f>
        <v>#VALUE!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/>
      </c>
      <c r="I777" s="13" t="s">
        <v>276</v>
      </c>
      <c r="J777" s="22" t="e">
        <f>VLOOKUP(Table2[[#This Row], [Author]],People!A:B,2,0)</f>
        <v>#VALUE!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/>
      </c>
      <c r="I778" s="11" t="s">
        <v>276</v>
      </c>
      <c r="J778" s="19" t="e">
        <f>VLOOKUP(Table2[[#This Row], [Author]],People!A:B,2,0)</f>
        <v>#VALUE!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/>
      </c>
      <c r="I779" s="13" t="s">
        <v>276</v>
      </c>
      <c r="J779" s="22" t="e">
        <f>VLOOKUP(Table2[[#This Row], [Author]],People!A:B,2,0)</f>
        <v>#VALUE!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/>
      </c>
      <c r="I780" s="11" t="s">
        <v>276</v>
      </c>
      <c r="J780" s="19" t="e">
        <f>VLOOKUP(Table2[[#This Row], [Author]],People!A:B,2,0)</f>
        <v>#VALUE!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/>
      </c>
      <c r="I781" s="13" t="s">
        <v>276</v>
      </c>
      <c r="J781" s="22" t="e">
        <f>VLOOKUP(Table2[[#This Row], [Author]],People!A:B,2,0)</f>
        <v>#VALUE!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/>
      </c>
      <c r="I782" s="11" t="s">
        <v>276</v>
      </c>
      <c r="J782" s="19" t="e">
        <f>VLOOKUP(Table2[[#This Row], [Author]],People!A:B,2,0)</f>
        <v>#VALUE!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/>
      </c>
      <c r="I783" s="13" t="s">
        <v>276</v>
      </c>
      <c r="J783" s="22" t="e">
        <f>VLOOKUP(Table2[[#This Row], [Author]],People!A:B,2,0)</f>
        <v>#VALUE!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/>
      </c>
      <c r="I784" s="11" t="s">
        <v>276</v>
      </c>
      <c r="J784" s="19" t="e">
        <f>VLOOKUP(Table2[[#This Row], [Author]],People!A:B,2,0)</f>
        <v>#VALUE!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/>
      </c>
      <c r="I785" s="13" t="s">
        <v>276</v>
      </c>
      <c r="J785" s="22" t="e">
        <f>VLOOKUP(Table2[[#This Row], [Author]],People!A:B,2,0)</f>
        <v>#VALUE!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/>
      </c>
      <c r="I786" s="11" t="s">
        <v>276</v>
      </c>
      <c r="J786" s="19" t="e">
        <f>VLOOKUP(Table2[[#This Row], [Author]],People!A:B,2,0)</f>
        <v>#VALUE!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/>
      </c>
      <c r="I787" s="13" t="s">
        <v>276</v>
      </c>
      <c r="J787" s="22" t="e">
        <f>VLOOKUP(Table2[[#This Row], [Author]],People!A:B,2,0)</f>
        <v>#VALUE!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/>
      </c>
      <c r="I788" s="11" t="s">
        <v>276</v>
      </c>
      <c r="J788" s="19" t="e">
        <f>VLOOKUP(Table2[[#This Row], [Author]],People!A:B,2,0)</f>
        <v>#VALUE!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/>
      </c>
      <c r="I789" s="13" t="s">
        <v>276</v>
      </c>
      <c r="J789" s="22" t="e">
        <f>VLOOKUP(Table2[[#This Row], [Author]],People!A:B,2,0)</f>
        <v>#VALUE!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/>
      </c>
      <c r="I790" s="11" t="s">
        <v>276</v>
      </c>
      <c r="J790" s="19" t="e">
        <f>VLOOKUP(Table2[[#This Row], [Author]],People!A:B,2,0)</f>
        <v>#VALUE!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/>
      </c>
      <c r="I791" s="13" t="s">
        <v>276</v>
      </c>
      <c r="J791" s="22" t="e">
        <f>VLOOKUP(Table2[[#This Row], [Author]],People!A:B,2,0)</f>
        <v>#VALUE!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/>
      </c>
      <c r="I792" s="11" t="s">
        <v>276</v>
      </c>
      <c r="J792" s="19" t="e">
        <f>VLOOKUP(Table2[[#This Row], [Author]],People!A:B,2,0)</f>
        <v>#VALUE!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/>
      </c>
      <c r="I793" s="13" t="s">
        <v>276</v>
      </c>
      <c r="J793" s="22" t="e">
        <f>VLOOKUP(Table2[[#This Row], [Author]],People!A:B,2,0)</f>
        <v>#VALUE!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/>
      </c>
      <c r="I794" s="11" t="s">
        <v>276</v>
      </c>
      <c r="J794" s="19" t="e">
        <f>VLOOKUP(Table2[[#This Row], [Author]],People!A:B,2,0)</f>
        <v>#VALUE!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/>
      </c>
      <c r="I795" s="13" t="s">
        <v>276</v>
      </c>
      <c r="J795" s="22" t="e">
        <f>VLOOKUP(Table2[[#This Row], [Author]],People!A:B,2,0)</f>
        <v>#VALUE!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/>
      </c>
      <c r="I796" s="11" t="s">
        <v>276</v>
      </c>
      <c r="J796" s="19" t="e">
        <f>VLOOKUP(Table2[[#This Row], [Author]],People!A:B,2,0)</f>
        <v>#VALUE!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/>
      </c>
      <c r="I797" s="13" t="s">
        <v>276</v>
      </c>
      <c r="J797" s="22" t="e">
        <f>VLOOKUP(Table2[[#This Row], [Author]],People!A:B,2,0)</f>
        <v>#VALUE!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/>
      </c>
      <c r="I798" s="11" t="s">
        <v>276</v>
      </c>
      <c r="J798" s="19" t="e">
        <f>VLOOKUP(Table2[[#This Row], [Author]],People!A:B,2,0)</f>
        <v>#VALUE!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/>
      </c>
      <c r="I799" s="13" t="s">
        <v>276</v>
      </c>
      <c r="J799" s="22" t="e">
        <f>VLOOKUP(Table2[[#This Row], [Author]],People!A:B,2,0)</f>
        <v>#VALUE!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/>
      </c>
      <c r="I800" s="11" t="s">
        <v>276</v>
      </c>
      <c r="J800" s="19" t="e">
        <f>VLOOKUP(Table2[[#This Row], [Author]],People!A:B,2,0)</f>
        <v>#VALUE!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/>
      </c>
      <c r="I801" s="13" t="s">
        <v>276</v>
      </c>
      <c r="J801" s="22" t="e">
        <f>VLOOKUP(Table2[[#This Row], [Author]],People!A:B,2,0)</f>
        <v>#VALUE!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/>
      </c>
      <c r="I802" s="11" t="s">
        <v>276</v>
      </c>
      <c r="J802" s="19" t="e">
        <f>VLOOKUP(Table2[[#This Row], [Author]],People!A:B,2,0)</f>
        <v>#VALUE!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/>
      </c>
      <c r="I803" s="13" t="s">
        <v>276</v>
      </c>
      <c r="J803" s="22" t="e">
        <f>VLOOKUP(Table2[[#This Row], [Author]],People!A:B,2,0)</f>
        <v>#VALUE!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/>
      </c>
      <c r="I804" s="11" t="s">
        <v>276</v>
      </c>
      <c r="J804" s="19" t="e">
        <f>VLOOKUP(Table2[[#This Row], [Author]],People!A:B,2,0)</f>
        <v>#VALUE!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/>
      </c>
      <c r="I805" s="13" t="s">
        <v>276</v>
      </c>
      <c r="J805" s="22" t="e">
        <f>VLOOKUP(Table2[[#This Row], [Author]],People!A:B,2,0)</f>
        <v>#VALUE!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/>
      </c>
      <c r="I806" s="11" t="s">
        <v>276</v>
      </c>
      <c r="J806" s="19" t="e">
        <f>VLOOKUP(Table2[[#This Row], [Author]],People!A:B,2,0)</f>
        <v>#VALUE!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/>
      </c>
      <c r="I807" s="13" t="s">
        <v>276</v>
      </c>
      <c r="J807" s="22" t="e">
        <f>VLOOKUP(Table2[[#This Row], [Author]],People!A:B,2,0)</f>
        <v>#VALUE!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/>
      </c>
      <c r="I808" s="11" t="s">
        <v>276</v>
      </c>
      <c r="J808" s="19" t="e">
        <f>VLOOKUP(Table2[[#This Row], [Author]],People!A:B,2,0)</f>
        <v>#VALUE!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/>
      </c>
      <c r="I809" s="13" t="s">
        <v>276</v>
      </c>
      <c r="J809" s="22" t="e">
        <f>VLOOKUP(Table2[[#This Row], [Author]],People!A:B,2,0)</f>
        <v>#VALUE!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/>
      </c>
      <c r="I810" s="11" t="s">
        <v>276</v>
      </c>
      <c r="J810" s="19" t="e">
        <f>VLOOKUP(Table2[[#This Row], [Author]],People!A:B,2,0)</f>
        <v>#VALUE!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/>
      </c>
      <c r="I811" s="13" t="s">
        <v>276</v>
      </c>
      <c r="J811" s="22" t="e">
        <f>VLOOKUP(Table2[[#This Row], [Author]],People!A:B,2,0)</f>
        <v>#VALUE!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/>
      </c>
      <c r="I812" s="11" t="s">
        <v>276</v>
      </c>
      <c r="J812" s="19" t="e">
        <f>VLOOKUP(Table2[[#This Row], [Author]],People!A:B,2,0)</f>
        <v>#VALUE!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/>
      </c>
      <c r="I813" s="13" t="s">
        <v>276</v>
      </c>
      <c r="J813" s="22" t="e">
        <f>VLOOKUP(Table2[[#This Row], [Author]],People!A:B,2,0)</f>
        <v>#VALUE!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/>
      </c>
      <c r="I814" s="11" t="s">
        <v>276</v>
      </c>
      <c r="J814" s="19" t="e">
        <f>VLOOKUP(Table2[[#This Row], [Author]],People!A:B,2,0)</f>
        <v>#VALUE!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/>
      </c>
      <c r="I815" s="13" t="s">
        <v>276</v>
      </c>
      <c r="J815" s="22" t="e">
        <f>VLOOKUP(Table2[[#This Row], [Author]],People!A:B,2,0)</f>
        <v>#VALUE!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/>
      </c>
      <c r="I816" s="11" t="s">
        <v>276</v>
      </c>
      <c r="J816" s="19" t="e">
        <f>VLOOKUP(Table2[[#This Row], [Author]],People!A:B,2,0)</f>
        <v>#VALUE!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/>
      </c>
      <c r="I817" s="13" t="s">
        <v>276</v>
      </c>
      <c r="J817" s="22" t="e">
        <f>VLOOKUP(Table2[[#This Row], [Author]],People!A:B,2,0)</f>
        <v>#VALUE!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/>
      </c>
      <c r="I818" s="11" t="s">
        <v>276</v>
      </c>
      <c r="J818" s="19" t="e">
        <f>VLOOKUP(Table2[[#This Row], [Author]],People!A:B,2,0)</f>
        <v>#VALUE!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/>
      </c>
      <c r="I819" s="13" t="s">
        <v>276</v>
      </c>
      <c r="J819" s="22" t="e">
        <f>VLOOKUP(Table2[[#This Row], [Author]],People!A:B,2,0)</f>
        <v>#VALUE!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/>
      </c>
      <c r="I820" s="11" t="s">
        <v>276</v>
      </c>
      <c r="J820" s="19" t="e">
        <f>VLOOKUP(Table2[[#This Row], [Author]],People!A:B,2,0)</f>
        <v>#VALUE!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/>
      </c>
      <c r="I821" s="13" t="s">
        <v>276</v>
      </c>
      <c r="J821" s="22" t="e">
        <f>VLOOKUP(Table2[[#This Row], [Author]],People!A:B,2,0)</f>
        <v>#VALUE!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/>
      </c>
      <c r="I822" s="11" t="s">
        <v>276</v>
      </c>
      <c r="J822" s="19" t="e">
        <f>VLOOKUP(Table2[[#This Row], [Author]],People!A:B,2,0)</f>
        <v>#VALUE!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/>
      </c>
      <c r="I823" s="13" t="s">
        <v>276</v>
      </c>
      <c r="J823" s="22" t="e">
        <f>VLOOKUP(Table2[[#This Row], [Author]],People!A:B,2,0)</f>
        <v>#VALUE!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/>
      </c>
      <c r="I824" s="11" t="s">
        <v>276</v>
      </c>
      <c r="J824" s="19" t="e">
        <f>VLOOKUP(Table2[[#This Row], [Author]],People!A:B,2,0)</f>
        <v>#VALUE!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/>
      </c>
      <c r="I825" s="13" t="s">
        <v>276</v>
      </c>
      <c r="J825" s="22" t="e">
        <f>VLOOKUP(Table2[[#This Row], [Author]],People!A:B,2,0)</f>
        <v>#VALUE!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/>
      </c>
      <c r="I826" s="11" t="s">
        <v>276</v>
      </c>
      <c r="J826" s="19" t="e">
        <f>VLOOKUP(Table2[[#This Row], [Author]],People!A:B,2,0)</f>
        <v>#VALUE!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/>
      </c>
      <c r="I827" s="13" t="s">
        <v>276</v>
      </c>
      <c r="J827" s="22" t="e">
        <f>VLOOKUP(Table2[[#This Row], [Author]],People!A:B,2,0)</f>
        <v>#VALUE!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/>
      </c>
      <c r="I828" s="11" t="s">
        <v>276</v>
      </c>
      <c r="J828" s="19" t="e">
        <f>VLOOKUP(Table2[[#This Row], [Author]],People!A:B,2,0)</f>
        <v>#VALUE!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/>
      </c>
      <c r="I829" s="13" t="s">
        <v>276</v>
      </c>
      <c r="J829" s="22" t="e">
        <f>VLOOKUP(Table2[[#This Row], [Author]],People!A:B,2,0)</f>
        <v>#VALUE!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/>
      </c>
      <c r="I830" s="11" t="s">
        <v>276</v>
      </c>
      <c r="J830" s="19" t="e">
        <f>VLOOKUP(Table2[[#This Row], [Author]],People!A:B,2,0)</f>
        <v>#VALUE!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/>
      </c>
      <c r="I831" s="13" t="s">
        <v>276</v>
      </c>
      <c r="J831" s="22" t="e">
        <f>VLOOKUP(Table2[[#This Row], [Author]],People!A:B,2,0)</f>
        <v>#VALUE!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/>
      </c>
      <c r="I832" s="11" t="s">
        <v>276</v>
      </c>
      <c r="J832" s="19" t="e">
        <f>VLOOKUP(Table2[[#This Row], [Author]],People!A:B,2,0)</f>
        <v>#VALUE!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/>
      </c>
      <c r="I833" s="13" t="s">
        <v>276</v>
      </c>
      <c r="J833" s="22" t="e">
        <f>VLOOKUP(Table2[[#This Row], [Author]],People!A:B,2,0)</f>
        <v>#VALUE!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/>
      </c>
      <c r="I834" s="11" t="s">
        <v>276</v>
      </c>
      <c r="J834" s="19" t="e">
        <f>VLOOKUP(Table2[[#This Row], [Author]],People!A:B,2,0)</f>
        <v>#VALUE!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/>
      </c>
      <c r="I835" s="13" t="s">
        <v>276</v>
      </c>
      <c r="J835" s="22" t="e">
        <f>VLOOKUP(Table2[[#This Row], [Author]],People!A:B,2,0)</f>
        <v>#VALUE!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/>
      </c>
      <c r="I836" s="11" t="s">
        <v>276</v>
      </c>
      <c r="J836" s="19" t="e">
        <f>VLOOKUP(Table2[[#This Row], [Author]],People!A:B,2,0)</f>
        <v>#VALUE!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/>
      </c>
      <c r="I837" s="13" t="s">
        <v>276</v>
      </c>
      <c r="J837" s="22" t="e">
        <f>VLOOKUP(Table2[[#This Row], [Author]],People!A:B,2,0)</f>
        <v>#VALUE!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/>
      </c>
      <c r="I838" s="11" t="s">
        <v>276</v>
      </c>
      <c r="J838" s="19" t="e">
        <f>VLOOKUP(Table2[[#This Row], [Author]],People!A:B,2,0)</f>
        <v>#VALUE!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/>
      </c>
      <c r="I839" s="13" t="s">
        <v>276</v>
      </c>
      <c r="J839" s="22" t="e">
        <f>VLOOKUP(Table2[[#This Row], [Author]],People!A:B,2,0)</f>
        <v>#VALUE!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/>
      </c>
      <c r="I840" s="11" t="s">
        <v>276</v>
      </c>
      <c r="J840" s="19" t="e">
        <f>VLOOKUP(Table2[[#This Row], [Author]],People!A:B,2,0)</f>
        <v>#VALUE!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/>
      </c>
      <c r="I841" s="13" t="s">
        <v>276</v>
      </c>
      <c r="J841" s="22" t="e">
        <f>VLOOKUP(Table2[[#This Row], [Author]],People!A:B,2,0)</f>
        <v>#VALUE!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/>
      </c>
      <c r="I842" s="11" t="s">
        <v>276</v>
      </c>
      <c r="J842" s="19" t="e">
        <f>VLOOKUP(Table2[[#This Row], [Author]],People!A:B,2,0)</f>
        <v>#VALUE!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/>
      </c>
      <c r="I843" s="13" t="s">
        <v>276</v>
      </c>
      <c r="J843" s="22" t="e">
        <f>VLOOKUP(Table2[[#This Row], [Author]],People!A:B,2,0)</f>
        <v>#VALUE!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/>
      </c>
      <c r="I844" s="11" t="s">
        <v>276</v>
      </c>
      <c r="J844" s="19" t="e">
        <f>VLOOKUP(Table2[[#This Row], [Author]],People!A:B,2,0)</f>
        <v>#VALUE!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/>
      </c>
      <c r="I845" s="13" t="s">
        <v>276</v>
      </c>
      <c r="J845" s="22" t="e">
        <f>VLOOKUP(Table2[[#This Row], [Author]],People!A:B,2,0)</f>
        <v>#VALUE!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/>
      </c>
      <c r="I846" s="11" t="s">
        <v>276</v>
      </c>
      <c r="J846" s="19" t="e">
        <f>VLOOKUP(Table2[[#This Row], [Author]],People!A:B,2,0)</f>
        <v>#VALUE!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/>
      </c>
      <c r="I847" s="13" t="s">
        <v>276</v>
      </c>
      <c r="J847" s="22" t="e">
        <f>VLOOKUP(Table2[[#This Row], [Author]],People!A:B,2,0)</f>
        <v>#VALUE!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/>
      </c>
      <c r="I848" s="11" t="s">
        <v>276</v>
      </c>
      <c r="J848" s="19" t="e">
        <f>VLOOKUP(Table2[[#This Row], [Author]],People!A:B,2,0)</f>
        <v>#VALUE!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/>
      </c>
      <c r="I849" s="13" t="s">
        <v>276</v>
      </c>
      <c r="J849" s="22" t="e">
        <f>VLOOKUP(Table2[[#This Row], [Author]],People!A:B,2,0)</f>
        <v>#VALUE!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/>
      </c>
      <c r="I850" s="11" t="s">
        <v>276</v>
      </c>
      <c r="J850" s="19" t="e">
        <f>VLOOKUP(Table2[[#This Row], [Author]],People!A:B,2,0)</f>
        <v>#VALUE!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/>
      </c>
      <c r="I851" s="13" t="s">
        <v>276</v>
      </c>
      <c r="J851" s="22" t="e">
        <f>VLOOKUP(Table2[[#This Row], [Author]],People!A:B,2,0)</f>
        <v>#VALUE!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/>
      </c>
      <c r="I852" s="11" t="s">
        <v>276</v>
      </c>
      <c r="J852" s="19" t="e">
        <f>VLOOKUP(Table2[[#This Row], [Author]],People!A:B,2,0)</f>
        <v>#VALUE!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/>
      </c>
      <c r="I853" s="13" t="s">
        <v>276</v>
      </c>
      <c r="J853" s="22" t="e">
        <f>VLOOKUP(Table2[[#This Row], [Author]],People!A:B,2,0)</f>
        <v>#VALUE!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/>
      </c>
      <c r="I854" s="11" t="s">
        <v>276</v>
      </c>
      <c r="J854" s="19" t="e">
        <f>VLOOKUP(Table2[[#This Row], [Author]],People!A:B,2,0)</f>
        <v>#VALUE!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/>
      </c>
      <c r="I855" s="13" t="s">
        <v>276</v>
      </c>
      <c r="J855" s="22" t="e">
        <f>VLOOKUP(Table2[[#This Row], [Author]],People!A:B,2,0)</f>
        <v>#VALUE!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/>
      </c>
      <c r="I856" s="11" t="s">
        <v>276</v>
      </c>
      <c r="J856" s="19" t="e">
        <f>VLOOKUP(Table2[[#This Row], [Author]],People!A:B,2,0)</f>
        <v>#VALUE!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/>
      </c>
      <c r="I857" s="13" t="s">
        <v>276</v>
      </c>
      <c r="J857" s="22" t="e">
        <f>VLOOKUP(Table2[[#This Row], [Author]],People!A:B,2,0)</f>
        <v>#VALUE!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/>
      </c>
      <c r="I858" s="11" t="s">
        <v>276</v>
      </c>
      <c r="J858" s="19" t="e">
        <f>VLOOKUP(Table2[[#This Row], [Author]],People!A:B,2,0)</f>
        <v>#VALUE!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/>
      </c>
      <c r="I859" s="13" t="s">
        <v>276</v>
      </c>
      <c r="J859" s="22" t="e">
        <f>VLOOKUP(Table2[[#This Row], [Author]],People!A:B,2,0)</f>
        <v>#VALUE!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/>
      </c>
      <c r="I860" s="11" t="s">
        <v>276</v>
      </c>
      <c r="J860" s="19" t="e">
        <f>VLOOKUP(Table2[[#This Row], [Author]],People!A:B,2,0)</f>
        <v>#VALUE!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/>
      </c>
      <c r="I861" s="13" t="s">
        <v>276</v>
      </c>
      <c r="J861" s="22" t="e">
        <f>VLOOKUP(Table2[[#This Row], [Author]],People!A:B,2,0)</f>
        <v>#VALUE!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/>
      </c>
      <c r="I862" s="11" t="s">
        <v>276</v>
      </c>
      <c r="J862" s="19" t="e">
        <f>VLOOKUP(Table2[[#This Row], [Author]],People!A:B,2,0)</f>
        <v>#VALUE!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/>
      </c>
      <c r="I863" s="13" t="s">
        <v>276</v>
      </c>
      <c r="J863" s="22" t="e">
        <f>VLOOKUP(Table2[[#This Row], [Author]],People!A:B,2,0)</f>
        <v>#VALUE!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/>
      </c>
      <c r="I864" s="11" t="s">
        <v>276</v>
      </c>
      <c r="J864" s="19" t="e">
        <f>VLOOKUP(Table2[[#This Row], [Author]],People!A:B,2,0)</f>
        <v>#VALUE!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/>
      </c>
      <c r="I865" s="13" t="s">
        <v>276</v>
      </c>
      <c r="J865" s="22" t="e">
        <f>VLOOKUP(Table2[[#This Row], [Author]],People!A:B,2,0)</f>
        <v>#VALUE!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/>
      </c>
      <c r="I866" s="11" t="s">
        <v>276</v>
      </c>
      <c r="J866" s="19" t="e">
        <f>VLOOKUP(Table2[[#This Row], [Author]],People!A:B,2,0)</f>
        <v>#VALUE!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/>
      </c>
      <c r="I867" s="13" t="s">
        <v>276</v>
      </c>
      <c r="J867" s="22" t="e">
        <f>VLOOKUP(Table2[[#This Row], [Author]],People!A:B,2,0)</f>
        <v>#VALUE!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/>
      </c>
      <c r="I868" s="11" t="s">
        <v>276</v>
      </c>
      <c r="J868" s="19" t="e">
        <f>VLOOKUP(Table2[[#This Row], [Author]],People!A:B,2,0)</f>
        <v>#VALUE!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/>
      </c>
      <c r="I869" s="13" t="s">
        <v>276</v>
      </c>
      <c r="J869" s="22" t="e">
        <f>VLOOKUP(Table2[[#This Row], [Author]],People!A:B,2,0)</f>
        <v>#VALUE!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/>
      </c>
      <c r="I870" s="11" t="s">
        <v>276</v>
      </c>
      <c r="J870" s="19" t="e">
        <f>VLOOKUP(Table2[[#This Row], [Author]],People!A:B,2,0)</f>
        <v>#VALUE!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/>
      </c>
      <c r="I871" s="13" t="s">
        <v>276</v>
      </c>
      <c r="J871" s="22" t="e">
        <f>VLOOKUP(Table2[[#This Row], [Author]],People!A:B,2,0)</f>
        <v>#VALUE!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/>
      </c>
      <c r="I872" s="11" t="s">
        <v>276</v>
      </c>
      <c r="J872" s="19" t="e">
        <f>VLOOKUP(Table2[[#This Row], [Author]],People!A:B,2,0)</f>
        <v>#VALUE!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/>
      </c>
      <c r="I873" s="13" t="s">
        <v>276</v>
      </c>
      <c r="J873" s="22" t="e">
        <f>VLOOKUP(Table2[[#This Row], [Author]],People!A:B,2,0)</f>
        <v>#VALUE!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/>
      </c>
      <c r="I874" s="11" t="s">
        <v>276</v>
      </c>
      <c r="J874" s="19" t="e">
        <f>VLOOKUP(Table2[[#This Row], [Author]],People!A:B,2,0)</f>
        <v>#VALUE!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/>
      </c>
      <c r="I875" s="13" t="s">
        <v>276</v>
      </c>
      <c r="J875" s="22" t="e">
        <f>VLOOKUP(Table2[[#This Row], [Author]],People!A:B,2,0)</f>
        <v>#VALUE!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/>
      </c>
      <c r="I876" s="11" t="s">
        <v>276</v>
      </c>
      <c r="J876" s="19" t="e">
        <f>VLOOKUP(Table2[[#This Row], [Author]],People!A:B,2,0)</f>
        <v>#VALUE!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/>
      </c>
      <c r="I877" s="13" t="s">
        <v>276</v>
      </c>
      <c r="J877" s="22" t="e">
        <f>VLOOKUP(Table2[[#This Row], [Author]],People!A:B,2,0)</f>
        <v>#VALUE!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/>
      </c>
      <c r="I878" s="11" t="s">
        <v>276</v>
      </c>
      <c r="J878" s="19" t="e">
        <f>VLOOKUP(Table2[[#This Row], [Author]],People!A:B,2,0)</f>
        <v>#VALUE!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/>
      </c>
      <c r="I879" s="13" t="s">
        <v>276</v>
      </c>
      <c r="J879" s="22" t="e">
        <f>VLOOKUP(Table2[[#This Row], [Author]],People!A:B,2,0)</f>
        <v>#VALUE!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/>
      </c>
      <c r="I880" s="11" t="s">
        <v>276</v>
      </c>
      <c r="J880" s="19" t="e">
        <f>VLOOKUP(Table2[[#This Row], [Author]],People!A:B,2,0)</f>
        <v>#VALUE!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/>
      </c>
      <c r="I881" s="13" t="s">
        <v>276</v>
      </c>
      <c r="J881" s="22" t="e">
        <f>VLOOKUP(Table2[[#This Row], [Author]],People!A:B,2,0)</f>
        <v>#VALUE!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/>
      </c>
      <c r="I882" s="11" t="s">
        <v>276</v>
      </c>
      <c r="J882" s="19" t="e">
        <f>VLOOKUP(Table2[[#This Row], [Author]],People!A:B,2,0)</f>
        <v>#VALUE!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/>
      </c>
      <c r="I883" s="13" t="s">
        <v>276</v>
      </c>
      <c r="J883" s="22" t="e">
        <f>VLOOKUP(Table2[[#This Row], [Author]],People!A:B,2,0)</f>
        <v>#VALUE!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/>
      </c>
      <c r="I884" s="11" t="s">
        <v>276</v>
      </c>
      <c r="J884" s="19" t="e">
        <f>VLOOKUP(Table2[[#This Row], [Author]],People!A:B,2,0)</f>
        <v>#VALUE!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/>
      </c>
      <c r="I885" s="13" t="s">
        <v>276</v>
      </c>
      <c r="J885" s="22" t="e">
        <f>VLOOKUP(Table2[[#This Row], [Author]],People!A:B,2,0)</f>
        <v>#VALUE!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/>
      </c>
      <c r="I886" s="11" t="s">
        <v>276</v>
      </c>
      <c r="J886" s="19" t="e">
        <f>VLOOKUP(Table2[[#This Row], [Author]],People!A:B,2,0)</f>
        <v>#VALUE!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/>
      </c>
      <c r="I887" s="13" t="s">
        <v>276</v>
      </c>
      <c r="J887" s="22" t="e">
        <f>VLOOKUP(Table2[[#This Row], [Author]],People!A:B,2,0)</f>
        <v>#VALUE!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/>
      </c>
      <c r="I888" s="11" t="s">
        <v>276</v>
      </c>
      <c r="J888" s="19" t="e">
        <f>VLOOKUP(Table2[[#This Row], [Author]],People!A:B,2,0)</f>
        <v>#VALUE!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/>
      </c>
      <c r="I889" s="13" t="s">
        <v>276</v>
      </c>
      <c r="J889" s="22" t="e">
        <f>VLOOKUP(Table2[[#This Row], [Author]],People!A:B,2,0)</f>
        <v>#VALUE!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/>
      </c>
      <c r="I890" s="11" t="s">
        <v>276</v>
      </c>
      <c r="J890" s="19" t="e">
        <f>VLOOKUP(Table2[[#This Row], [Author]],People!A:B,2,0)</f>
        <v>#VALUE!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/>
      </c>
      <c r="I891" s="13" t="s">
        <v>276</v>
      </c>
      <c r="J891" s="22" t="e">
        <f>VLOOKUP(Table2[[#This Row], [Author]],People!A:B,2,0)</f>
        <v>#VALUE!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/>
      </c>
      <c r="I892" s="11" t="s">
        <v>276</v>
      </c>
      <c r="J892" s="19" t="e">
        <f>VLOOKUP(Table2[[#This Row], [Author]],People!A:B,2,0)</f>
        <v>#VALUE!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/>
      </c>
      <c r="I893" s="13" t="s">
        <v>276</v>
      </c>
      <c r="J893" s="22" t="e">
        <f>VLOOKUP(Table2[[#This Row], [Author]],People!A:B,2,0)</f>
        <v>#VALUE!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/>
      </c>
      <c r="I894" s="11" t="s">
        <v>276</v>
      </c>
      <c r="J894" s="19" t="e">
        <f>VLOOKUP(Table2[[#This Row], [Author]],People!A:B,2,0)</f>
        <v>#VALUE!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/>
      </c>
      <c r="I895" s="13" t="s">
        <v>276</v>
      </c>
      <c r="J895" s="22" t="e">
        <f>VLOOKUP(Table2[[#This Row], [Author]],People!A:B,2,0)</f>
        <v>#VALUE!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/>
      </c>
      <c r="I896" s="11" t="s">
        <v>276</v>
      </c>
      <c r="J896" s="19" t="e">
        <f>VLOOKUP(Table2[[#This Row], [Author]],People!A:B,2,0)</f>
        <v>#VALUE!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/>
      </c>
      <c r="I897" s="13" t="s">
        <v>276</v>
      </c>
      <c r="J897" s="22" t="e">
        <f>VLOOKUP(Table2[[#This Row], [Author]],People!A:B,2,0)</f>
        <v>#VALUE!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/>
      </c>
      <c r="I898" s="11" t="s">
        <v>276</v>
      </c>
      <c r="J898" s="19" t="e">
        <f>VLOOKUP(Table2[[#This Row], [Author]],People!A:B,2,0)</f>
        <v>#VALUE!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/>
      </c>
      <c r="I899" s="13" t="s">
        <v>276</v>
      </c>
      <c r="J899" s="22" t="e">
        <f>VLOOKUP(Table2[[#This Row], [Author]],People!A:B,2,0)</f>
        <v>#VALUE!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/>
      </c>
      <c r="I900" s="11" t="s">
        <v>276</v>
      </c>
      <c r="J900" s="19" t="e">
        <f>VLOOKUP(Table2[[#This Row], [Author]],People!A:B,2,0)</f>
        <v>#VALUE!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/>
      </c>
      <c r="I901" s="13" t="s">
        <v>276</v>
      </c>
      <c r="J901" s="22" t="e">
        <f>VLOOKUP(Table2[[#This Row], [Author]],People!A:B,2,0)</f>
        <v>#VALUE!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/>
      </c>
      <c r="I902" s="11" t="s">
        <v>276</v>
      </c>
      <c r="J902" s="19" t="e">
        <f>VLOOKUP(Table2[[#This Row], [Author]],People!A:B,2,0)</f>
        <v>#VALUE!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/>
      </c>
      <c r="I903" s="13" t="s">
        <v>276</v>
      </c>
      <c r="J903" s="22" t="e">
        <f>VLOOKUP(Table2[[#This Row], [Author]],People!A:B,2,0)</f>
        <v>#VALUE!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/>
      </c>
      <c r="I904" s="11" t="s">
        <v>276</v>
      </c>
      <c r="J904" s="19" t="e">
        <f>VLOOKUP(Table2[[#This Row], [Author]],People!A:B,2,0)</f>
        <v>#VALUE!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/>
      </c>
      <c r="I905" s="13" t="s">
        <v>276</v>
      </c>
      <c r="J905" s="22" t="e">
        <f>VLOOKUP(Table2[[#This Row], [Author]],People!A:B,2,0)</f>
        <v>#VALUE!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/>
      </c>
      <c r="I906" s="11" t="s">
        <v>276</v>
      </c>
      <c r="J906" s="19" t="e">
        <f>VLOOKUP(Table2[[#This Row], [Author]],People!A:B,2,0)</f>
        <v>#VALUE!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/>
      </c>
      <c r="I907" s="13" t="s">
        <v>276</v>
      </c>
      <c r="J907" s="22" t="e">
        <f>VLOOKUP(Table2[[#This Row], [Author]],People!A:B,2,0)</f>
        <v>#VALUE!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/>
      </c>
      <c r="I908" s="11" t="s">
        <v>276</v>
      </c>
      <c r="J908" s="19" t="e">
        <f>VLOOKUP(Table2[[#This Row], [Author]],People!A:B,2,0)</f>
        <v>#VALUE!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/>
      </c>
      <c r="I909" s="13" t="s">
        <v>276</v>
      </c>
      <c r="J909" s="22" t="e">
        <f>VLOOKUP(Table2[[#This Row], [Author]],People!A:B,2,0)</f>
        <v>#VALUE!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/>
      </c>
      <c r="I910" s="11" t="s">
        <v>276</v>
      </c>
      <c r="J910" s="19" t="e">
        <f>VLOOKUP(Table2[[#This Row], [Author]],People!A:B,2,0)</f>
        <v>#VALUE!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/>
      </c>
      <c r="I911" s="13" t="s">
        <v>276</v>
      </c>
      <c r="J911" s="22" t="e">
        <f>VLOOKUP(Table2[[#This Row], [Author]],People!A:B,2,0)</f>
        <v>#VALUE!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/>
      </c>
      <c r="I912" s="11" t="s">
        <v>276</v>
      </c>
      <c r="J912" s="19" t="e">
        <f>VLOOKUP(Table2[[#This Row], [Author]],People!A:B,2,0)</f>
        <v>#VALUE!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/>
      </c>
      <c r="I913" s="13" t="s">
        <v>276</v>
      </c>
      <c r="J913" s="22" t="e">
        <f>VLOOKUP(Table2[[#This Row], [Author]],People!A:B,2,0)</f>
        <v>#VALUE!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/>
      </c>
      <c r="I914" s="11" t="s">
        <v>276</v>
      </c>
      <c r="J914" s="19" t="e">
        <f>VLOOKUP(Table2[[#This Row], [Author]],People!A:B,2,0)</f>
        <v>#VALUE!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/>
      </c>
      <c r="I915" s="13" t="s">
        <v>276</v>
      </c>
      <c r="J915" s="22" t="e">
        <f>VLOOKUP(Table2[[#This Row], [Author]],People!A:B,2,0)</f>
        <v>#VALUE!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/>
      </c>
      <c r="I916" s="11" t="s">
        <v>276</v>
      </c>
      <c r="J916" s="19" t="e">
        <f>VLOOKUP(Table2[[#This Row], [Author]],People!A:B,2,0)</f>
        <v>#VALUE!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/>
      </c>
      <c r="I917" s="13" t="s">
        <v>276</v>
      </c>
      <c r="J917" s="22" t="e">
        <f>VLOOKUP(Table2[[#This Row], [Author]],People!A:B,2,0)</f>
        <v>#VALUE!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/>
      </c>
      <c r="I918" s="11" t="s">
        <v>276</v>
      </c>
      <c r="J918" s="19" t="e">
        <f>VLOOKUP(Table2[[#This Row], [Author]],People!A:B,2,0)</f>
        <v>#VALUE!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/>
      </c>
      <c r="I919" s="13" t="s">
        <v>276</v>
      </c>
      <c r="J919" s="22" t="e">
        <f>VLOOKUP(Table2[[#This Row], [Author]],People!A:B,2,0)</f>
        <v>#VALUE!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/>
      </c>
      <c r="I920" s="11" t="s">
        <v>276</v>
      </c>
      <c r="J920" s="19" t="e">
        <f>VLOOKUP(Table2[[#This Row], [Author]],People!A:B,2,0)</f>
        <v>#VALUE!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/>
      </c>
      <c r="I921" s="13" t="s">
        <v>276</v>
      </c>
      <c r="J921" s="22" t="e">
        <f>VLOOKUP(Table2[[#This Row], [Author]],People!A:B,2,0)</f>
        <v>#VALUE!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/>
      </c>
      <c r="I922" s="11" t="s">
        <v>276</v>
      </c>
      <c r="J922" s="19" t="e">
        <f>VLOOKUP(Table2[[#This Row], [Author]],People!A:B,2,0)</f>
        <v>#VALUE!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/>
      </c>
      <c r="I923" s="13" t="s">
        <v>276</v>
      </c>
      <c r="J923" s="22" t="e">
        <f>VLOOKUP(Table2[[#This Row], [Author]],People!A:B,2,0)</f>
        <v>#VALUE!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/>
      </c>
      <c r="I924" s="11" t="s">
        <v>276</v>
      </c>
      <c r="J924" s="19" t="e">
        <f>VLOOKUP(Table2[[#This Row], [Author]],People!A:B,2,0)</f>
        <v>#VALUE!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/>
      </c>
      <c r="I925" s="13" t="s">
        <v>276</v>
      </c>
      <c r="J925" s="22" t="e">
        <f>VLOOKUP(Table2[[#This Row], [Author]],People!A:B,2,0)</f>
        <v>#VALUE!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/>
      </c>
      <c r="I926" s="11" t="s">
        <v>276</v>
      </c>
      <c r="J926" s="19" t="e">
        <f>VLOOKUP(Table2[[#This Row], [Author]],People!A:B,2,0)</f>
        <v>#VALUE!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/>
      </c>
      <c r="I927" s="13" t="s">
        <v>276</v>
      </c>
      <c r="J927" s="22" t="e">
        <f>VLOOKUP(Table2[[#This Row], [Author]],People!A:B,2,0)</f>
        <v>#VALUE!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/>
      </c>
      <c r="I928" s="11" t="s">
        <v>276</v>
      </c>
      <c r="J928" s="19" t="e">
        <f>VLOOKUP(Table2[[#This Row], [Author]],People!A:B,2,0)</f>
        <v>#VALUE!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/>
      </c>
      <c r="I929" s="13" t="s">
        <v>276</v>
      </c>
      <c r="J929" s="22" t="e">
        <f>VLOOKUP(Table2[[#This Row], [Author]],People!A:B,2,0)</f>
        <v>#VALUE!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/>
      </c>
      <c r="I930" s="11" t="s">
        <v>276</v>
      </c>
      <c r="J930" s="19" t="e">
        <f>VLOOKUP(Table2[[#This Row], [Author]],People!A:B,2,0)</f>
        <v>#VALUE!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/>
      </c>
      <c r="I931" s="13" t="s">
        <v>276</v>
      </c>
      <c r="J931" s="22" t="e">
        <f>VLOOKUP(Table2[[#This Row], [Author]],People!A:B,2,0)</f>
        <v>#VALUE!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/>
      </c>
      <c r="I932" s="11" t="s">
        <v>276</v>
      </c>
      <c r="J932" s="19" t="e">
        <f>VLOOKUP(Table2[[#This Row], [Author]],People!A:B,2,0)</f>
        <v>#VALUE!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/>
      </c>
      <c r="I933" s="13" t="s">
        <v>276</v>
      </c>
      <c r="J933" s="22" t="e">
        <f>VLOOKUP(Table2[[#This Row], [Author]],People!A:B,2,0)</f>
        <v>#VALUE!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/>
      </c>
      <c r="I934" s="11" t="s">
        <v>276</v>
      </c>
      <c r="J934" s="19" t="e">
        <f>VLOOKUP(Table2[[#This Row], [Author]],People!A:B,2,0)</f>
        <v>#VALUE!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/>
      </c>
      <c r="I935" s="13" t="s">
        <v>276</v>
      </c>
      <c r="J935" s="22" t="e">
        <f>VLOOKUP(Table2[[#This Row], [Author]],People!A:B,2,0)</f>
        <v>#VALUE!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/>
      </c>
      <c r="I936" s="11" t="s">
        <v>276</v>
      </c>
      <c r="J936" s="19" t="e">
        <f>VLOOKUP(Table2[[#This Row], [Author]],People!A:B,2,0)</f>
        <v>#VALUE!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/>
      </c>
      <c r="I937" s="13" t="s">
        <v>276</v>
      </c>
      <c r="J937" s="22" t="e">
        <f>VLOOKUP(Table2[[#This Row], [Author]],People!A:B,2,0)</f>
        <v>#VALUE!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/>
      </c>
      <c r="I938" s="11" t="s">
        <v>276</v>
      </c>
      <c r="J938" s="19" t="e">
        <f>VLOOKUP(Table2[[#This Row], [Author]],People!A:B,2,0)</f>
        <v>#VALUE!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/>
      </c>
      <c r="I939" s="13" t="s">
        <v>276</v>
      </c>
      <c r="J939" s="22" t="e">
        <f>VLOOKUP(Table2[[#This Row], [Author]],People!A:B,2,0)</f>
        <v>#VALUE!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/>
      </c>
      <c r="I940" s="11" t="s">
        <v>276</v>
      </c>
      <c r="J940" s="19" t="e">
        <f>VLOOKUP(Table2[[#This Row], [Author]],People!A:B,2,0)</f>
        <v>#VALUE!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/>
      </c>
      <c r="I941" s="13" t="s">
        <v>276</v>
      </c>
      <c r="J941" s="22" t="e">
        <f>VLOOKUP(Table2[[#This Row], [Author]],People!A:B,2,0)</f>
        <v>#VALUE!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/>
      </c>
      <c r="I942" s="11" t="s">
        <v>276</v>
      </c>
      <c r="J942" s="19" t="e">
        <f>VLOOKUP(Table2[[#This Row], [Author]],People!A:B,2,0)</f>
        <v>#VALUE!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/>
      </c>
      <c r="I943" s="13" t="s">
        <v>276</v>
      </c>
      <c r="J943" s="22" t="e">
        <f>VLOOKUP(Table2[[#This Row], [Author]],People!A:B,2,0)</f>
        <v>#VALUE!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/>
      </c>
      <c r="I944" s="11" t="s">
        <v>276</v>
      </c>
      <c r="J944" s="19" t="e">
        <f>VLOOKUP(Table2[[#This Row], [Author]],People!A:B,2,0)</f>
        <v>#VALUE!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/>
      </c>
      <c r="I945" s="13" t="s">
        <v>276</v>
      </c>
      <c r="J945" s="22" t="e">
        <f>VLOOKUP(Table2[[#This Row], [Author]],People!A:B,2,0)</f>
        <v>#VALUE!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/>
      </c>
      <c r="I946" s="11" t="s">
        <v>276</v>
      </c>
      <c r="J946" s="19" t="e">
        <f>VLOOKUP(Table2[[#This Row], [Author]],People!A:B,2,0)</f>
        <v>#VALUE!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/>
      </c>
      <c r="I947" s="13" t="s">
        <v>276</v>
      </c>
      <c r="J947" s="22" t="e">
        <f>VLOOKUP(Table2[[#This Row], [Author]],People!A:B,2,0)</f>
        <v>#VALUE!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/>
      </c>
      <c r="I948" s="11" t="s">
        <v>276</v>
      </c>
      <c r="J948" s="19" t="e">
        <f>VLOOKUP(Table2[[#This Row], [Author]],People!A:B,2,0)</f>
        <v>#VALUE!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/>
      </c>
      <c r="I949" s="13" t="s">
        <v>276</v>
      </c>
      <c r="J949" s="22" t="e">
        <f>VLOOKUP(Table2[[#This Row], [Author]],People!A:B,2,0)</f>
        <v>#VALUE!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/>
      </c>
      <c r="I950" s="11" t="s">
        <v>276</v>
      </c>
      <c r="J950" s="19" t="e">
        <f>VLOOKUP(Table2[[#This Row], [Author]],People!A:B,2,0)</f>
        <v>#VALUE!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/>
      </c>
      <c r="I951" s="13" t="s">
        <v>276</v>
      </c>
      <c r="J951" s="22" t="e">
        <f>VLOOKUP(Table2[[#This Row], [Author]],People!A:B,2,0)</f>
        <v>#VALUE!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/>
      </c>
      <c r="I952" s="11" t="s">
        <v>276</v>
      </c>
      <c r="J952" s="19" t="e">
        <f>VLOOKUP(Table2[[#This Row], [Author]],People!A:B,2,0)</f>
        <v>#VALUE!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/>
      </c>
      <c r="I953" s="13" t="s">
        <v>276</v>
      </c>
      <c r="J953" s="22" t="e">
        <f>VLOOKUP(Table2[[#This Row], [Author]],People!A:B,2,0)</f>
        <v>#VALUE!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/>
      </c>
      <c r="I954" s="11" t="s">
        <v>276</v>
      </c>
      <c r="J954" s="19" t="e">
        <f>VLOOKUP(Table2[[#This Row], [Author]],People!A:B,2,0)</f>
        <v>#VALUE!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/>
      </c>
      <c r="I955" s="13" t="s">
        <v>276</v>
      </c>
      <c r="J955" s="22" t="e">
        <f>VLOOKUP(Table2[[#This Row], [Author]],People!A:B,2,0)</f>
        <v>#VALUE!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/>
      </c>
      <c r="I956" s="11" t="s">
        <v>276</v>
      </c>
      <c r="J956" s="19" t="e">
        <f>VLOOKUP(Table2[[#This Row], [Author]],People!A:B,2,0)</f>
        <v>#VALUE!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/>
      </c>
      <c r="I957" s="13" t="s">
        <v>276</v>
      </c>
      <c r="J957" s="22" t="e">
        <f>VLOOKUP(Table2[[#This Row], [Author]],People!A:B,2,0)</f>
        <v>#VALUE!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/>
      </c>
      <c r="I958" s="11" t="s">
        <v>276</v>
      </c>
      <c r="J958" s="19" t="e">
        <f>VLOOKUP(Table2[[#This Row], [Author]],People!A:B,2,0)</f>
        <v>#VALUE!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/>
      </c>
      <c r="I959" s="13" t="s">
        <v>276</v>
      </c>
      <c r="J959" s="22" t="e">
        <f>VLOOKUP(Table2[[#This Row], [Author]],People!A:B,2,0)</f>
        <v>#VALUE!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/>
      </c>
      <c r="I960" s="11" t="s">
        <v>276</v>
      </c>
      <c r="J960" s="19" t="e">
        <f>VLOOKUP(Table2[[#This Row], [Author]],People!A:B,2,0)</f>
        <v>#VALUE!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/>
      </c>
      <c r="I961" s="13" t="s">
        <v>276</v>
      </c>
      <c r="J961" s="22" t="e">
        <f>VLOOKUP(Table2[[#This Row], [Author]],People!A:B,2,0)</f>
        <v>#VALUE!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/>
      </c>
      <c r="I962" s="11" t="s">
        <v>276</v>
      </c>
      <c r="J962" s="19" t="e">
        <f>VLOOKUP(Table2[[#This Row], [Author]],People!A:B,2,0)</f>
        <v>#VALUE!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/>
      </c>
      <c r="I963" s="13" t="s">
        <v>276</v>
      </c>
      <c r="J963" s="22" t="e">
        <f>VLOOKUP(Table2[[#This Row], [Author]],People!A:B,2,0)</f>
        <v>#VALUE!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/>
      </c>
      <c r="I964" s="11" t="s">
        <v>276</v>
      </c>
      <c r="J964" s="19" t="e">
        <f>VLOOKUP(Table2[[#This Row], [Author]],People!A:B,2,0)</f>
        <v>#VALUE!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/>
      </c>
      <c r="I965" s="13" t="s">
        <v>276</v>
      </c>
      <c r="J965" s="22" t="e">
        <f>VLOOKUP(Table2[[#This Row], [Author]],People!A:B,2,0)</f>
        <v>#VALUE!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/>
      </c>
      <c r="I966" s="11" t="s">
        <v>276</v>
      </c>
      <c r="J966" s="19" t="e">
        <f>VLOOKUP(Table2[[#This Row], [Author]],People!A:B,2,0)</f>
        <v>#VALUE!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/>
      </c>
      <c r="I967" s="13" t="s">
        <v>276</v>
      </c>
      <c r="J967" s="22" t="e">
        <f>VLOOKUP(Table2[[#This Row], [Author]],People!A:B,2,0)</f>
        <v>#VALUE!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/>
      </c>
      <c r="I968" s="11" t="s">
        <v>276</v>
      </c>
      <c r="J968" s="19" t="e">
        <f>VLOOKUP(Table2[[#This Row], [Author]],People!A:B,2,0)</f>
        <v>#VALUE!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/>
      </c>
      <c r="I969" s="13" t="s">
        <v>276</v>
      </c>
      <c r="J969" s="22" t="e">
        <f>VLOOKUP(Table2[[#This Row], [Author]],People!A:B,2,0)</f>
        <v>#VALUE!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/>
      </c>
      <c r="I970" s="11" t="s">
        <v>276</v>
      </c>
      <c r="J970" s="19" t="e">
        <f>VLOOKUP(Table2[[#This Row], [Author]],People!A:B,2,0)</f>
        <v>#VALUE!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/>
      </c>
      <c r="I971" s="13" t="s">
        <v>276</v>
      </c>
      <c r="J971" s="22" t="e">
        <f>VLOOKUP(Table2[[#This Row], [Author]],People!A:B,2,0)</f>
        <v>#VALUE!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/>
      </c>
      <c r="I972" s="11" t="s">
        <v>276</v>
      </c>
      <c r="J972" s="19" t="e">
        <f>VLOOKUP(Table2[[#This Row], [Author]],People!A:B,2,0)</f>
        <v>#VALUE!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/>
      </c>
      <c r="I973" s="13" t="s">
        <v>276</v>
      </c>
      <c r="J973" s="22" t="e">
        <f>VLOOKUP(Table2[[#This Row], [Author]],People!A:B,2,0)</f>
        <v>#VALUE!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/>
      </c>
      <c r="I974" s="11" t="s">
        <v>276</v>
      </c>
      <c r="J974" s="19" t="e">
        <f>VLOOKUP(Table2[[#This Row], [Author]],People!A:B,2,0)</f>
        <v>#VALUE!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/>
      </c>
      <c r="I975" s="13" t="s">
        <v>276</v>
      </c>
      <c r="J975" s="22" t="e">
        <f>VLOOKUP(Table2[[#This Row], [Author]],People!A:B,2,0)</f>
        <v>#VALUE!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/>
      </c>
      <c r="I976" s="11" t="s">
        <v>276</v>
      </c>
      <c r="J976" s="19" t="e">
        <f>VLOOKUP(Table2[[#This Row], [Author]],People!A:B,2,0)</f>
        <v>#VALUE!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/>
      </c>
      <c r="I977" s="13" t="s">
        <v>276</v>
      </c>
      <c r="J977" s="22" t="e">
        <f>VLOOKUP(Table2[[#This Row], [Author]],People!A:B,2,0)</f>
        <v>#VALUE!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/>
      </c>
      <c r="I978" s="11" t="s">
        <v>276</v>
      </c>
      <c r="J978" s="19" t="e">
        <f>VLOOKUP(Table2[[#This Row], [Author]],People!A:B,2,0)</f>
        <v>#VALUE!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/>
      </c>
      <c r="I979" s="13" t="s">
        <v>276</v>
      </c>
      <c r="J979" s="22" t="e">
        <f>VLOOKUP(Table2[[#This Row], [Author]],People!A:B,2,0)</f>
        <v>#VALUE!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/>
      </c>
      <c r="I980" s="11" t="s">
        <v>276</v>
      </c>
      <c r="J980" s="19" t="e">
        <f>VLOOKUP(Table2[[#This Row], [Author]],People!A:B,2,0)</f>
        <v>#VALUE!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/>
      </c>
      <c r="I981" s="13" t="s">
        <v>276</v>
      </c>
      <c r="J981" s="22" t="e">
        <f>VLOOKUP(Table2[[#This Row], [Author]],People!A:B,2,0)</f>
        <v>#VALUE!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/>
      </c>
      <c r="I982" s="11" t="s">
        <v>276</v>
      </c>
      <c r="J982" s="19" t="e">
        <f>VLOOKUP(Table2[[#This Row], [Author]],People!A:B,2,0)</f>
        <v>#VALUE!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/>
      </c>
      <c r="I983" s="13" t="s">
        <v>276</v>
      </c>
      <c r="J983" s="22" t="e">
        <f>VLOOKUP(Table2[[#This Row], [Author]],People!A:B,2,0)</f>
        <v>#VALUE!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/>
      </c>
      <c r="I984" s="11" t="s">
        <v>276</v>
      </c>
      <c r="J984" s="19" t="e">
        <f>VLOOKUP(Table2[[#This Row], [Author]],People!A:B,2,0)</f>
        <v>#VALUE!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/>
      </c>
      <c r="I985" s="13" t="s">
        <v>276</v>
      </c>
      <c r="J985" s="22" t="e">
        <f>VLOOKUP(Table2[[#This Row], [Author]],People!A:B,2,0)</f>
        <v>#VALUE!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/>
      </c>
      <c r="I986" s="11" t="s">
        <v>276</v>
      </c>
      <c r="J986" s="19" t="e">
        <f>VLOOKUP(Table2[[#This Row], [Author]],People!A:B,2,0)</f>
        <v>#VALUE!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/>
      </c>
      <c r="I987" s="13" t="s">
        <v>276</v>
      </c>
      <c r="J987" s="22" t="e">
        <f>VLOOKUP(Table2[[#This Row], [Author]],People!A:B,2,0)</f>
        <v>#VALUE!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/>
      </c>
      <c r="I988" s="11" t="s">
        <v>276</v>
      </c>
      <c r="J988" s="19" t="e">
        <f>VLOOKUP(Table2[[#This Row], [Author]],People!A:B,2,0)</f>
        <v>#VALUE!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/>
      </c>
      <c r="I989" s="13" t="s">
        <v>276</v>
      </c>
      <c r="J989" s="22" t="e">
        <f>VLOOKUP(Table2[[#This Row], [Author]],People!A:B,2,0)</f>
        <v>#VALUE!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/>
      </c>
      <c r="I990" s="11" t="s">
        <v>276</v>
      </c>
      <c r="J990" s="19" t="e">
        <f>VLOOKUP(Table2[[#This Row], [Author]],People!A:B,2,0)</f>
        <v>#VALUE!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/>
      </c>
      <c r="I991" s="13" t="s">
        <v>276</v>
      </c>
      <c r="J991" s="22" t="e">
        <f>VLOOKUP(Table2[[#This Row], [Author]],People!A:B,2,0)</f>
        <v>#VALUE!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/>
      </c>
      <c r="I992" s="11" t="s">
        <v>276</v>
      </c>
      <c r="J992" s="19" t="e">
        <f>VLOOKUP(Table2[[#This Row], [Author]],People!A:B,2,0)</f>
        <v>#VALUE!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/>
      </c>
      <c r="I993" s="13" t="s">
        <v>276</v>
      </c>
      <c r="J993" s="22" t="e">
        <f>VLOOKUP(Table2[[#This Row], [Author]],People!A:B,2,0)</f>
        <v>#VALUE!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/>
      </c>
      <c r="I994" s="11" t="s">
        <v>276</v>
      </c>
      <c r="J994" s="19" t="e">
        <f>VLOOKUP(Table2[[#This Row], [Author]],People!A:B,2,0)</f>
        <v>#VALUE!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/>
      </c>
      <c r="I995" s="13" t="s">
        <v>276</v>
      </c>
      <c r="J995" s="22" t="e">
        <f>VLOOKUP(Table2[[#This Row], [Author]],People!A:B,2,0)</f>
        <v>#VALUE!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/>
      </c>
      <c r="I996" s="11" t="s">
        <v>276</v>
      </c>
      <c r="J996" s="19" t="e">
        <f>VLOOKUP(Table2[[#This Row], [Author]],People!A:B,2,0)</f>
        <v>#VALUE!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/>
      </c>
      <c r="I997" s="13" t="s">
        <v>276</v>
      </c>
      <c r="J997" s="22" t="e">
        <f>VLOOKUP(Table2[[#This Row], [Author]],People!A:B,2,0)</f>
        <v>#VALUE!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/>
      </c>
      <c r="I998" s="11" t="s">
        <v>276</v>
      </c>
      <c r="J998" s="19" t="e">
        <f>VLOOKUP(Table2[[#This Row], [Author]],People!A:B,2,0)</f>
        <v>#VALUE!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/>
      </c>
      <c r="I999" s="13" t="s">
        <v>276</v>
      </c>
      <c r="J999" s="22" t="e">
        <f>VLOOKUP(Table2[[#This Row], [Author]],People!A:B,2,0)</f>
        <v>#VALUE!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/>
      </c>
      <c r="I1000" s="11" t="s">
        <v>276</v>
      </c>
      <c r="J1000" s="19" t="e">
        <f>VLOOKUP(Table2[[#This Row], [Author]],People!A:B,2,0)</f>
        <v>#VALUE!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/>
      </c>
      <c r="I1001" s="13" t="s">
        <v>276</v>
      </c>
      <c r="J1001" s="22" t="e">
        <f>VLOOKUP(Table2[[#This Row], [Author]],People!A:B,2,0)</f>
        <v>#VALUE!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/>
      </c>
      <c r="I1002" s="11" t="s">
        <v>276</v>
      </c>
      <c r="J1002" s="19" t="e">
        <f>VLOOKUP(Table2[[#This Row], [Author]],People!A:B,2,0)</f>
        <v>#VALUE!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/>
      </c>
      <c r="I1003" s="13" t="s">
        <v>276</v>
      </c>
      <c r="J1003" s="22" t="e">
        <f>VLOOKUP(Table2[[#This Row], [Author]],People!A:B,2,0)</f>
        <v>#VALUE!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/>
      </c>
      <c r="I1004" s="11" t="s">
        <v>276</v>
      </c>
      <c r="J1004" s="19" t="e">
        <f>VLOOKUP(Table2[[#This Row], [Author]],People!A:B,2,0)</f>
        <v>#VALUE!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/>
      </c>
      <c r="I1005" s="13" t="s">
        <v>276</v>
      </c>
      <c r="J1005" s="22" t="e">
        <f>VLOOKUP(Table2[[#This Row], [Author]],People!A:B,2,0)</f>
        <v>#VALUE!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/>
      </c>
      <c r="I1006" s="11" t="s">
        <v>276</v>
      </c>
      <c r="J1006" s="19" t="e">
        <f>VLOOKUP(Table2[[#This Row], [Author]],People!A:B,2,0)</f>
        <v>#VALUE!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/>
      </c>
      <c r="I1007" s="13" t="s">
        <v>276</v>
      </c>
      <c r="J1007" s="22" t="e">
        <f>VLOOKUP(Table2[[#This Row], [Author]],People!A:B,2,0)</f>
        <v>#VALUE!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/>
      </c>
      <c r="I1008" s="11" t="s">
        <v>276</v>
      </c>
      <c r="J1008" s="19" t="e">
        <f>VLOOKUP(Table2[[#This Row], [Author]],People!A:B,2,0)</f>
        <v>#VALUE!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/>
      </c>
      <c r="I1009" s="13" t="s">
        <v>276</v>
      </c>
      <c r="J1009" s="22" t="e">
        <f>VLOOKUP(Table2[[#This Row], [Author]],People!A:B,2,0)</f>
        <v>#VALUE!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/>
      </c>
      <c r="I1010" s="11" t="s">
        <v>276</v>
      </c>
      <c r="J1010" s="19" t="e">
        <f>VLOOKUP(Table2[[#This Row], [Author]],People!A:B,2,0)</f>
        <v>#VALUE!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/>
      </c>
      <c r="I1011" s="13" t="s">
        <v>276</v>
      </c>
      <c r="J1011" s="22" t="e">
        <f>VLOOKUP(Table2[[#This Row], [Author]],People!A:B,2,0)</f>
        <v>#VALUE!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/>
      </c>
      <c r="I1012" s="11" t="s">
        <v>276</v>
      </c>
      <c r="J1012" s="19" t="e">
        <f>VLOOKUP(Table2[[#This Row], [Author]],People!A:B,2,0)</f>
        <v>#VALUE!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/>
      </c>
      <c r="I1013" s="13" t="s">
        <v>276</v>
      </c>
      <c r="J1013" s="22" t="e">
        <f>VLOOKUP(Table2[[#This Row], [Author]],People!A:B,2,0)</f>
        <v>#VALUE!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/>
      </c>
      <c r="I1014" s="11" t="s">
        <v>276</v>
      </c>
      <c r="J1014" s="19" t="e">
        <f>VLOOKUP(Table2[[#This Row], [Author]],People!A:B,2,0)</f>
        <v>#VALUE!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/>
      </c>
      <c r="I1015" s="13" t="s">
        <v>276</v>
      </c>
      <c r="J1015" s="22" t="e">
        <f>VLOOKUP(Table2[[#This Row], [Author]],People!A:B,2,0)</f>
        <v>#VALUE!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/>
      </c>
      <c r="I1016" s="11" t="s">
        <v>276</v>
      </c>
      <c r="J1016" s="19" t="e">
        <f>VLOOKUP(Table2[[#This Row], [Author]],People!A:B,2,0)</f>
        <v>#VALUE!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/>
      </c>
      <c r="I1017" s="13" t="s">
        <v>276</v>
      </c>
      <c r="J1017" s="22" t="e">
        <f>VLOOKUP(Table2[[#This Row], [Author]],People!A:B,2,0)</f>
        <v>#VALUE!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/>
      </c>
      <c r="I1018" s="11" t="s">
        <v>276</v>
      </c>
      <c r="J1018" s="19" t="e">
        <f>VLOOKUP(Table2[[#This Row], [Author]],People!A:B,2,0)</f>
        <v>#VALUE!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/>
      </c>
      <c r="I1019" s="13" t="s">
        <v>276</v>
      </c>
      <c r="J1019" s="22" t="e">
        <f>VLOOKUP(Table2[[#This Row], [Author]],People!A:B,2,0)</f>
        <v>#VALUE!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/>
      </c>
      <c r="I1020" s="11" t="s">
        <v>276</v>
      </c>
      <c r="J1020" s="19" t="e">
        <f>VLOOKUP(Table2[[#This Row], [Author]],People!A:B,2,0)</f>
        <v>#VALUE!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/>
      </c>
      <c r="I1021" s="13" t="s">
        <v>276</v>
      </c>
      <c r="J1021" s="22" t="e">
        <f>VLOOKUP(Table2[[#This Row], [Author]],People!A:B,2,0)</f>
        <v>#VALUE!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/>
      </c>
      <c r="I1022" s="11" t="s">
        <v>276</v>
      </c>
      <c r="J1022" s="19" t="e">
        <f>VLOOKUP(Table2[[#This Row], [Author]],People!A:B,2,0)</f>
        <v>#VALUE!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/>
      </c>
      <c r="I1023" s="13" t="s">
        <v>276</v>
      </c>
      <c r="J1023" s="22" t="e">
        <f>VLOOKUP(Table2[[#This Row], [Author]],People!A:B,2,0)</f>
        <v>#VALUE!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/>
      </c>
      <c r="I1024" s="11" t="s">
        <v>276</v>
      </c>
      <c r="J1024" s="19" t="e">
        <f>VLOOKUP(Table2[[#This Row], [Author]],People!A:B,2,0)</f>
        <v>#VALUE!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/>
      </c>
      <c r="I1025" s="13" t="s">
        <v>276</v>
      </c>
      <c r="J1025" s="22" t="e">
        <f>VLOOKUP(Table2[[#This Row], [Author]],People!A:B,2,0)</f>
        <v>#VALUE!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/>
      </c>
      <c r="I1026" s="11" t="s">
        <v>276</v>
      </c>
      <c r="J1026" s="19" t="e">
        <f>VLOOKUP(Table2[[#This Row], [Author]],People!A:B,2,0)</f>
        <v>#VALUE!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/>
      </c>
      <c r="I1027" s="13" t="s">
        <v>276</v>
      </c>
      <c r="J1027" s="22" t="e">
        <f>VLOOKUP(Table2[[#This Row], [Author]],People!A:B,2,0)</f>
        <v>#VALUE!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/>
      </c>
      <c r="I1028" s="11" t="s">
        <v>276</v>
      </c>
      <c r="J1028" s="19" t="e">
        <f>VLOOKUP(Table2[[#This Row], [Author]],People!A:B,2,0)</f>
        <v>#VALUE!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/>
      </c>
      <c r="I1029" s="13" t="s">
        <v>276</v>
      </c>
      <c r="J1029" s="22" t="e">
        <f>VLOOKUP(Table2[[#This Row], [Author]],People!A:B,2,0)</f>
        <v>#VALUE!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/>
      </c>
      <c r="I1030" s="11" t="s">
        <v>276</v>
      </c>
      <c r="J1030" s="19" t="e">
        <f>VLOOKUP(Table2[[#This Row], [Author]],People!A:B,2,0)</f>
        <v>#VALUE!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/>
      </c>
      <c r="I1031" s="13" t="s">
        <v>276</v>
      </c>
      <c r="J1031" s="22" t="e">
        <f>VLOOKUP(Table2[[#This Row], [Author]],People!A:B,2,0)</f>
        <v>#VALUE!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/>
      </c>
      <c r="I1032" s="11" t="s">
        <v>276</v>
      </c>
      <c r="J1032" s="19" t="e">
        <f>VLOOKUP(Table2[[#This Row], [Author]],People!A:B,2,0)</f>
        <v>#VALUE!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/>
      </c>
      <c r="I1033" s="13" t="s">
        <v>276</v>
      </c>
      <c r="J1033" s="22" t="e">
        <f>VLOOKUP(Table2[[#This Row], [Author]],People!A:B,2,0)</f>
        <v>#VALUE!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/>
      </c>
      <c r="I1034" s="11" t="s">
        <v>276</v>
      </c>
      <c r="J1034" s="19" t="e">
        <f>VLOOKUP(Table2[[#This Row], [Author]],People!A:B,2,0)</f>
        <v>#VALUE!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/>
      </c>
      <c r="I1035" s="13" t="s">
        <v>276</v>
      </c>
      <c r="J1035" s="22" t="e">
        <f>VLOOKUP(Table2[[#This Row], [Author]],People!A:B,2,0)</f>
        <v>#VALUE!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/>
      </c>
      <c r="I1036" s="11" t="s">
        <v>276</v>
      </c>
      <c r="J1036" s="19" t="e">
        <f>VLOOKUP(Table2[[#This Row], [Author]],People!A:B,2,0)</f>
        <v>#VALUE!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/>
      </c>
      <c r="I1037" s="13" t="s">
        <v>276</v>
      </c>
      <c r="J1037" s="22" t="e">
        <f>VLOOKUP(Table2[[#This Row], [Author]],People!A:B,2,0)</f>
        <v>#VALUE!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/>
      </c>
      <c r="I1038" s="11" t="s">
        <v>276</v>
      </c>
      <c r="J1038" s="19" t="e">
        <f>VLOOKUP(Table2[[#This Row], [Author]],People!A:B,2,0)</f>
        <v>#VALUE!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/>
      </c>
      <c r="I1039" s="13" t="s">
        <v>276</v>
      </c>
      <c r="J1039" s="22" t="e">
        <f>VLOOKUP(Table2[[#This Row], [Author]],People!A:B,2,0)</f>
        <v>#VALUE!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/>
      </c>
      <c r="I1040" s="11" t="s">
        <v>276</v>
      </c>
      <c r="J1040" s="19" t="e">
        <f>VLOOKUP(Table2[[#This Row], [Author]],People!A:B,2,0)</f>
        <v>#VALUE!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/>
      </c>
      <c r="I1041" s="13" t="s">
        <v>276</v>
      </c>
      <c r="J1041" s="22" t="e">
        <f>VLOOKUP(Table2[[#This Row], [Author]],People!A:B,2,0)</f>
        <v>#VALUE!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/>
      </c>
      <c r="I1042" s="11" t="s">
        <v>276</v>
      </c>
      <c r="J1042" s="19" t="e">
        <f>VLOOKUP(Table2[[#This Row], [Author]],People!A:B,2,0)</f>
        <v>#VALUE!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/>
      </c>
      <c r="I1043" s="13" t="s">
        <v>276</v>
      </c>
      <c r="J1043" s="22" t="e">
        <f>VLOOKUP(Table2[[#This Row], [Author]],People!A:B,2,0)</f>
        <v>#VALUE!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/>
      </c>
      <c r="I1044" s="11" t="s">
        <v>276</v>
      </c>
      <c r="J1044" s="19" t="e">
        <f>VLOOKUP(Table2[[#This Row], [Author]],People!A:B,2,0)</f>
        <v>#VALUE!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/>
      </c>
      <c r="I1045" s="13" t="s">
        <v>276</v>
      </c>
      <c r="J1045" s="22" t="e">
        <f>VLOOKUP(Table2[[#This Row], [Author]],People!A:B,2,0)</f>
        <v>#VALUE!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/>
      </c>
      <c r="I1046" s="11" t="s">
        <v>276</v>
      </c>
      <c r="J1046" s="19" t="e">
        <f>VLOOKUP(Table2[[#This Row], [Author]],People!A:B,2,0)</f>
        <v>#VALUE!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/>
      </c>
      <c r="I1047" s="13" t="s">
        <v>276</v>
      </c>
      <c r="J1047" s="22" t="e">
        <f>VLOOKUP(Table2[[#This Row], [Author]],People!A:B,2,0)</f>
        <v>#VALUE!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/>
      </c>
      <c r="I1048" s="11" t="s">
        <v>276</v>
      </c>
      <c r="J1048" s="19" t="e">
        <f>VLOOKUP(Table2[[#This Row], [Author]],People!A:B,2,0)</f>
        <v>#VALUE!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/>
      </c>
      <c r="I1049" s="13" t="s">
        <v>276</v>
      </c>
      <c r="J1049" s="22" t="e">
        <f>VLOOKUP(Table2[[#This Row], [Author]],People!A:B,2,0)</f>
        <v>#VALUE!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/>
      </c>
      <c r="I1050" s="11" t="s">
        <v>276</v>
      </c>
      <c r="J1050" s="19" t="e">
        <f>VLOOKUP(Table2[[#This Row], [Author]],People!A:B,2,0)</f>
        <v>#VALUE!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/>
      </c>
      <c r="I1051" s="13" t="s">
        <v>276</v>
      </c>
      <c r="J1051" s="22" t="e">
        <f>VLOOKUP(Table2[[#This Row], [Author]],People!A:B,2,0)</f>
        <v>#VALUE!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/>
      </c>
      <c r="I1052" s="11" t="s">
        <v>276</v>
      </c>
      <c r="J1052" s="19" t="e">
        <f>VLOOKUP(Table2[[#This Row], [Author]],People!A:B,2,0)</f>
        <v>#VALUE!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/>
      </c>
      <c r="I1053" s="13" t="s">
        <v>276</v>
      </c>
      <c r="J1053" s="22" t="e">
        <f>VLOOKUP(Table2[[#This Row], [Author]],People!A:B,2,0)</f>
        <v>#VALUE!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/>
      </c>
      <c r="I1054" s="11" t="s">
        <v>276</v>
      </c>
      <c r="J1054" s="19" t="e">
        <f>VLOOKUP(Table2[[#This Row], [Author]],People!A:B,2,0)</f>
        <v>#VALUE!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/>
      </c>
      <c r="I1055" s="13" t="s">
        <v>276</v>
      </c>
      <c r="J1055" s="22" t="e">
        <f>VLOOKUP(Table2[[#This Row], [Author]],People!A:B,2,0)</f>
        <v>#VALUE!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/>
      </c>
      <c r="I1056" s="11" t="s">
        <v>276</v>
      </c>
      <c r="J1056" s="19" t="e">
        <f>VLOOKUP(Table2[[#This Row], [Author]],People!A:B,2,0)</f>
        <v>#VALUE!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/>
      </c>
      <c r="I1057" s="13" t="s">
        <v>276</v>
      </c>
      <c r="J1057" s="22" t="e">
        <f>VLOOKUP(Table2[[#This Row], [Author]],People!A:B,2,0)</f>
        <v>#VALUE!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/>
      </c>
      <c r="I1058" s="11" t="s">
        <v>276</v>
      </c>
      <c r="J1058" s="19" t="e">
        <f>VLOOKUP(Table2[[#This Row], [Author]],People!A:B,2,0)</f>
        <v>#VALUE!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/>
      </c>
      <c r="I1059" s="13" t="s">
        <v>276</v>
      </c>
      <c r="J1059" s="22" t="e">
        <f>VLOOKUP(Table2[[#This Row], [Author]],People!A:B,2,0)</f>
        <v>#VALUE!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/>
      </c>
      <c r="I1060" s="11" t="s">
        <v>276</v>
      </c>
      <c r="J1060" s="19" t="e">
        <f>VLOOKUP(Table2[[#This Row], [Author]],People!A:B,2,0)</f>
        <v>#VALUE!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/>
      </c>
      <c r="I1061" s="13" t="s">
        <v>276</v>
      </c>
      <c r="J1061" s="22" t="e">
        <f>VLOOKUP(Table2[[#This Row], [Author]],People!A:B,2,0)</f>
        <v>#VALUE!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/>
      </c>
      <c r="I1062" s="11" t="s">
        <v>276</v>
      </c>
      <c r="J1062" s="19" t="e">
        <f>VLOOKUP(Table2[[#This Row], [Author]],People!A:B,2,0)</f>
        <v>#VALUE!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/>
      </c>
      <c r="I1063" s="13" t="s">
        <v>276</v>
      </c>
      <c r="J1063" s="22" t="e">
        <f>VLOOKUP(Table2[[#This Row], [Author]],People!A:B,2,0)</f>
        <v>#VALUE!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/>
      </c>
      <c r="I1064" s="11" t="s">
        <v>276</v>
      </c>
      <c r="J1064" s="19" t="e">
        <f>VLOOKUP(Table2[[#This Row], [Author]],People!A:B,2,0)</f>
        <v>#VALUE!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/>
      </c>
      <c r="I1065" s="13" t="s">
        <v>276</v>
      </c>
      <c r="J1065" s="22" t="e">
        <f>VLOOKUP(Table2[[#This Row], [Author]],People!A:B,2,0)</f>
        <v>#VALUE!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/>
      </c>
      <c r="I1066" s="11" t="s">
        <v>276</v>
      </c>
      <c r="J1066" s="19" t="e">
        <f>VLOOKUP(Table2[[#This Row], [Author]],People!A:B,2,0)</f>
        <v>#VALUE!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/>
      </c>
      <c r="I1067" s="13" t="s">
        <v>276</v>
      </c>
      <c r="J1067" s="22" t="e">
        <f>VLOOKUP(Table2[[#This Row], [Author]],People!A:B,2,0)</f>
        <v>#VALUE!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/>
      </c>
      <c r="I1068" s="11" t="s">
        <v>276</v>
      </c>
      <c r="J1068" s="19" t="e">
        <f>VLOOKUP(Table2[[#This Row], [Author]],People!A:B,2,0)</f>
        <v>#VALUE!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/>
      </c>
      <c r="I1069" s="13" t="s">
        <v>276</v>
      </c>
      <c r="J1069" s="22" t="e">
        <f>VLOOKUP(Table2[[#This Row], [Author]],People!A:B,2,0)</f>
        <v>#VALUE!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/>
      </c>
      <c r="I1070" s="11" t="s">
        <v>276</v>
      </c>
      <c r="J1070" s="19" t="e">
        <f>VLOOKUP(Table2[[#This Row], [Author]],People!A:B,2,0)</f>
        <v>#VALUE!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/>
      </c>
      <c r="I1071" s="13" t="s">
        <v>276</v>
      </c>
      <c r="J1071" s="22" t="e">
        <f>VLOOKUP(Table2[[#This Row], [Author]],People!A:B,2,0)</f>
        <v>#VALUE!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/>
      </c>
      <c r="I1072" s="11" t="s">
        <v>276</v>
      </c>
      <c r="J1072" s="19" t="e">
        <f>VLOOKUP(Table2[[#This Row], [Author]],People!A:B,2,0)</f>
        <v>#VALUE!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/>
      </c>
      <c r="I1073" s="13" t="s">
        <v>276</v>
      </c>
      <c r="J1073" s="22" t="e">
        <f>VLOOKUP(Table2[[#This Row], [Author]],People!A:B,2,0)</f>
        <v>#VALUE!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/>
      </c>
      <c r="I1074" s="11" t="s">
        <v>276</v>
      </c>
      <c r="J1074" s="19" t="e">
        <f>VLOOKUP(Table2[[#This Row], [Author]],People!A:B,2,0)</f>
        <v>#VALUE!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/>
      </c>
      <c r="I1075" s="13" t="s">
        <v>276</v>
      </c>
      <c r="J1075" s="22" t="e">
        <f>VLOOKUP(Table2[[#This Row], [Author]],People!A:B,2,0)</f>
        <v>#VALUE!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/>
      </c>
      <c r="I1076" s="11" t="s">
        <v>276</v>
      </c>
      <c r="J1076" s="19" t="e">
        <f>VLOOKUP(Table2[[#This Row], [Author]],People!A:B,2,0)</f>
        <v>#VALUE!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/>
      </c>
      <c r="I1077" s="13" t="s">
        <v>276</v>
      </c>
      <c r="J1077" s="22" t="e">
        <f>VLOOKUP(Table2[[#This Row], [Author]],People!A:B,2,0)</f>
        <v>#VALUE!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/>
      </c>
      <c r="I1078" s="11" t="s">
        <v>276</v>
      </c>
      <c r="J1078" s="19" t="e">
        <f>VLOOKUP(Table2[[#This Row], [Author]],People!A:B,2,0)</f>
        <v>#VALUE!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/>
      </c>
      <c r="I1079" s="13" t="s">
        <v>276</v>
      </c>
      <c r="J1079" s="22" t="e">
        <f>VLOOKUP(Table2[[#This Row], [Author]],People!A:B,2,0)</f>
        <v>#VALUE!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/>
      </c>
      <c r="I1080" s="11" t="s">
        <v>276</v>
      </c>
      <c r="J1080" s="19" t="e">
        <f>VLOOKUP(Table2[[#This Row], [Author]],People!A:B,2,0)</f>
        <v>#VALUE!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/>
      </c>
      <c r="I1081" s="13" t="s">
        <v>276</v>
      </c>
      <c r="J1081" s="22" t="e">
        <f>VLOOKUP(Table2[[#This Row], [Author]],People!A:B,2,0)</f>
        <v>#VALUE!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/>
      </c>
      <c r="I1082" s="11" t="s">
        <v>276</v>
      </c>
      <c r="J1082" s="19" t="e">
        <f>VLOOKUP(Table2[[#This Row], [Author]],People!A:B,2,0)</f>
        <v>#VALUE!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/>
      </c>
      <c r="I1083" s="13" t="s">
        <v>276</v>
      </c>
      <c r="J1083" s="22" t="e">
        <f>VLOOKUP(Table2[[#This Row], [Author]],People!A:B,2,0)</f>
        <v>#VALUE!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/>
      </c>
      <c r="I1084" s="11" t="s">
        <v>276</v>
      </c>
      <c r="J1084" s="19" t="e">
        <f>VLOOKUP(Table2[[#This Row], [Author]],People!A:B,2,0)</f>
        <v>#VALUE!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/>
      </c>
      <c r="I1085" s="13" t="s">
        <v>276</v>
      </c>
      <c r="J1085" s="22" t="e">
        <f>VLOOKUP(Table2[[#This Row], [Author]],People!A:B,2,0)</f>
        <v>#VALUE!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/>
      </c>
      <c r="I1086" s="11" t="s">
        <v>276</v>
      </c>
      <c r="J1086" s="19" t="e">
        <f>VLOOKUP(Table2[[#This Row], [Author]],People!A:B,2,0)</f>
        <v>#VALUE!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/>
      </c>
      <c r="I1087" s="13" t="s">
        <v>276</v>
      </c>
      <c r="J1087" s="22" t="e">
        <f>VLOOKUP(Table2[[#This Row], [Author]],People!A:B,2,0)</f>
        <v>#VALUE!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/>
      </c>
      <c r="I1088" s="11" t="s">
        <v>276</v>
      </c>
      <c r="J1088" s="19" t="e">
        <f>VLOOKUP(Table2[[#This Row], [Author]],People!A:B,2,0)</f>
        <v>#VALUE!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/>
      </c>
      <c r="I1089" s="13" t="s">
        <v>276</v>
      </c>
      <c r="J1089" s="22" t="e">
        <f>VLOOKUP(Table2[[#This Row], [Author]],People!A:B,2,0)</f>
        <v>#VALUE!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/>
      </c>
      <c r="I1090" s="11" t="s">
        <v>276</v>
      </c>
      <c r="J1090" s="19" t="e">
        <f>VLOOKUP(Table2[[#This Row], [Author]],People!A:B,2,0)</f>
        <v>#VALUE!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/>
      </c>
      <c r="I1091" s="13" t="s">
        <v>276</v>
      </c>
      <c r="J1091" s="22" t="e">
        <f>VLOOKUP(Table2[[#This Row], [Author]],People!A:B,2,0)</f>
        <v>#VALUE!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/>
      </c>
      <c r="I1092" s="11" t="s">
        <v>276</v>
      </c>
      <c r="J1092" s="19" t="e">
        <f>VLOOKUP(Table2[[#This Row], [Author]],People!A:B,2,0)</f>
        <v>#VALUE!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/>
      </c>
      <c r="I1093" s="13" t="s">
        <v>276</v>
      </c>
      <c r="J1093" s="22" t="e">
        <f>VLOOKUP(Table2[[#This Row], [Author]],People!A:B,2,0)</f>
        <v>#VALUE!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/>
      </c>
      <c r="I1094" s="11" t="s">
        <v>276</v>
      </c>
      <c r="J1094" s="19" t="e">
        <f>VLOOKUP(Table2[[#This Row], [Author]],People!A:B,2,0)</f>
        <v>#VALUE!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/>
      </c>
      <c r="I1095" s="13" t="s">
        <v>276</v>
      </c>
      <c r="J1095" s="22" t="e">
        <f>VLOOKUP(Table2[[#This Row], [Author]],People!A:B,2,0)</f>
        <v>#VALUE!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/>
      </c>
      <c r="I1096" s="11" t="s">
        <v>276</v>
      </c>
      <c r="J1096" s="19" t="e">
        <f>VLOOKUP(Table2[[#This Row], [Author]],People!A:B,2,0)</f>
        <v>#VALUE!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/>
      </c>
      <c r="I1097" s="13" t="s">
        <v>276</v>
      </c>
      <c r="J1097" s="22" t="e">
        <f>VLOOKUP(Table2[[#This Row], [Author]],People!A:B,2,0)</f>
        <v>#VALUE!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/>
      </c>
      <c r="I1098" s="11" t="s">
        <v>276</v>
      </c>
      <c r="J1098" s="19" t="e">
        <f>VLOOKUP(Table2[[#This Row], [Author]],People!A:B,2,0)</f>
        <v>#VALUE!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/>
      </c>
      <c r="I1099" s="13" t="s">
        <v>276</v>
      </c>
      <c r="J1099" s="22" t="e">
        <f>VLOOKUP(Table2[[#This Row], [Author]],People!A:B,2,0)</f>
        <v>#VALUE!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/>
      </c>
      <c r="I1100" s="11" t="s">
        <v>276</v>
      </c>
      <c r="J1100" s="19" t="e">
        <f>VLOOKUP(Table2[[#This Row], [Author]],People!A:B,2,0)</f>
        <v>#VALUE!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/>
      </c>
      <c r="I1101" s="13" t="s">
        <v>276</v>
      </c>
      <c r="J1101" s="22" t="e">
        <f>VLOOKUP(Table2[[#This Row], [Author]],People!A:B,2,0)</f>
        <v>#VALUE!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/>
      </c>
      <c r="I1102" s="11" t="s">
        <v>276</v>
      </c>
      <c r="J1102" s="19" t="e">
        <f>VLOOKUP(Table2[[#This Row], [Author]],People!A:B,2,0)</f>
        <v>#VALUE!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/>
      </c>
      <c r="I1103" s="13" t="s">
        <v>276</v>
      </c>
      <c r="J1103" s="22" t="e">
        <f>VLOOKUP(Table2[[#This Row], [Author]],People!A:B,2,0)</f>
        <v>#VALUE!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/>
      </c>
      <c r="I1104" s="11" t="s">
        <v>276</v>
      </c>
      <c r="J1104" s="19" t="e">
        <f>VLOOKUP(Table2[[#This Row], [Author]],People!A:B,2,0)</f>
        <v>#VALUE!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/>
      </c>
      <c r="I1105" s="13" t="s">
        <v>276</v>
      </c>
      <c r="J1105" s="22" t="e">
        <f>VLOOKUP(Table2[[#This Row], [Author]],People!A:B,2,0)</f>
        <v>#VALUE!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/>
      </c>
      <c r="I1106" s="11" t="s">
        <v>276</v>
      </c>
      <c r="J1106" s="19" t="e">
        <f>VLOOKUP(Table2[[#This Row], [Author]],People!A:B,2,0)</f>
        <v>#VALUE!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/>
      </c>
      <c r="I1107" s="13" t="s">
        <v>276</v>
      </c>
      <c r="J1107" s="22" t="e">
        <f>VLOOKUP(Table2[[#This Row], [Author]],People!A:B,2,0)</f>
        <v>#VALUE!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/>
      </c>
      <c r="I1108" s="11" t="s">
        <v>276</v>
      </c>
      <c r="J1108" s="19" t="e">
        <f>VLOOKUP(Table2[[#This Row], [Author]],People!A:B,2,0)</f>
        <v>#VALUE!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/>
      </c>
      <c r="I1109" s="13" t="s">
        <v>276</v>
      </c>
      <c r="J1109" s="22" t="e">
        <f>VLOOKUP(Table2[[#This Row], [Author]],People!A:B,2,0)</f>
        <v>#VALUE!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/>
      </c>
      <c r="I1110" s="11" t="s">
        <v>276</v>
      </c>
      <c r="J1110" s="19" t="e">
        <f>VLOOKUP(Table2[[#This Row], [Author]],People!A:B,2,0)</f>
        <v>#VALUE!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/>
      </c>
      <c r="I1111" s="13" t="s">
        <v>276</v>
      </c>
      <c r="J1111" s="22" t="e">
        <f>VLOOKUP(Table2[[#This Row], [Author]],People!A:B,2,0)</f>
        <v>#VALUE!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/>
      </c>
      <c r="I1112" s="11" t="s">
        <v>276</v>
      </c>
      <c r="J1112" s="19" t="e">
        <f>VLOOKUP(Table2[[#This Row], [Author]],People!A:B,2,0)</f>
        <v>#VALUE!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/>
      </c>
      <c r="I1113" s="13" t="s">
        <v>276</v>
      </c>
      <c r="J1113" s="22" t="e">
        <f>VLOOKUP(Table2[[#This Row], [Author]],People!A:B,2,0)</f>
        <v>#VALUE!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/>
      </c>
      <c r="I1114" s="11" t="s">
        <v>276</v>
      </c>
      <c r="J1114" s="19" t="e">
        <f>VLOOKUP(Table2[[#This Row], [Author]],People!A:B,2,0)</f>
        <v>#VALUE!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/>
      </c>
      <c r="I1115" s="13" t="s">
        <v>276</v>
      </c>
      <c r="J1115" s="22" t="e">
        <f>VLOOKUP(Table2[[#This Row], [Author]],People!A:B,2,0)</f>
        <v>#VALUE!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/>
      </c>
      <c r="I1116" s="11" t="s">
        <v>276</v>
      </c>
      <c r="J1116" s="19" t="e">
        <f>VLOOKUP(Table2[[#This Row], [Author]],People!A:B,2,0)</f>
        <v>#VALUE!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/>
      </c>
      <c r="I1117" s="13" t="s">
        <v>276</v>
      </c>
      <c r="J1117" s="22" t="e">
        <f>VLOOKUP(Table2[[#This Row], [Author]],People!A:B,2,0)</f>
        <v>#VALUE!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/>
      </c>
      <c r="I1118" s="11" t="s">
        <v>276</v>
      </c>
      <c r="J1118" s="19" t="e">
        <f>VLOOKUP(Table2[[#This Row], [Author]],People!A:B,2,0)</f>
        <v>#VALUE!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/>
      </c>
      <c r="I1119" s="13" t="s">
        <v>276</v>
      </c>
      <c r="J1119" s="22" t="e">
        <f>VLOOKUP(Table2[[#This Row], [Author]],People!A:B,2,0)</f>
        <v>#VALUE!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/>
      </c>
      <c r="I1120" s="11" t="s">
        <v>276</v>
      </c>
      <c r="J1120" s="19" t="e">
        <f>VLOOKUP(Table2[[#This Row], [Author]],People!A:B,2,0)</f>
        <v>#VALUE!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/>
      </c>
      <c r="I1121" s="13" t="s">
        <v>276</v>
      </c>
      <c r="J1121" s="22" t="e">
        <f>VLOOKUP(Table2[[#This Row], [Author]],People!A:B,2,0)</f>
        <v>#VALUE!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/>
      </c>
      <c r="I1122" s="11" t="s">
        <v>276</v>
      </c>
      <c r="J1122" s="19" t="e">
        <f>VLOOKUP(Table2[[#This Row], [Author]],People!A:B,2,0)</f>
        <v>#VALUE!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/>
      </c>
      <c r="I1123" s="13" t="s">
        <v>276</v>
      </c>
      <c r="J1123" s="22" t="e">
        <f>VLOOKUP(Table2[[#This Row], [Author]],People!A:B,2,0)</f>
        <v>#VALUE!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/>
      </c>
      <c r="I1124" s="11" t="s">
        <v>276</v>
      </c>
      <c r="J1124" s="19" t="e">
        <f>VLOOKUP(Table2[[#This Row], [Author]],People!A:B,2,0)</f>
        <v>#VALUE!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/>
      </c>
      <c r="I1125" s="13" t="s">
        <v>276</v>
      </c>
      <c r="J1125" s="22" t="e">
        <f>VLOOKUP(Table2[[#This Row], [Author]],People!A:B,2,0)</f>
        <v>#VALUE!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/>
      </c>
      <c r="I1126" s="11" t="s">
        <v>276</v>
      </c>
      <c r="J1126" s="19" t="e">
        <f>VLOOKUP(Table2[[#This Row], [Author]],People!A:B,2,0)</f>
        <v>#VALUE!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/>
      </c>
      <c r="I1127" s="13" t="s">
        <v>276</v>
      </c>
      <c r="J1127" s="22" t="e">
        <f>VLOOKUP(Table2[[#This Row], [Author]],People!A:B,2,0)</f>
        <v>#VALUE!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/>
      </c>
      <c r="I1128" s="11" t="s">
        <v>276</v>
      </c>
      <c r="J1128" s="19" t="e">
        <f>VLOOKUP(Table2[[#This Row], [Author]],People!A:B,2,0)</f>
        <v>#VALUE!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/>
      </c>
      <c r="I1129" s="13" t="s">
        <v>276</v>
      </c>
      <c r="J1129" s="22" t="e">
        <f>VLOOKUP(Table2[[#This Row], [Author]],People!A:B,2,0)</f>
        <v>#VALUE!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/>
      </c>
      <c r="I1130" s="11" t="s">
        <v>276</v>
      </c>
      <c r="J1130" s="19" t="e">
        <f>VLOOKUP(Table2[[#This Row], [Author]],People!A:B,2,0)</f>
        <v>#VALUE!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/>
      </c>
      <c r="I1131" s="13" t="s">
        <v>276</v>
      </c>
      <c r="J1131" s="22" t="e">
        <f>VLOOKUP(Table2[[#This Row], [Author]],People!A:B,2,0)</f>
        <v>#VALUE!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/>
      </c>
      <c r="I1132" s="11" t="s">
        <v>276</v>
      </c>
      <c r="J1132" s="19" t="e">
        <f>VLOOKUP(Table2[[#This Row], [Author]],People!A:B,2,0)</f>
        <v>#VALUE!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/>
      </c>
      <c r="I1133" s="13" t="s">
        <v>276</v>
      </c>
      <c r="J1133" s="22" t="e">
        <f>VLOOKUP(Table2[[#This Row], [Author]],People!A:B,2,0)</f>
        <v>#VALUE!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/>
      </c>
      <c r="I1134" s="11" t="s">
        <v>276</v>
      </c>
      <c r="J1134" s="19" t="e">
        <f>VLOOKUP(Table2[[#This Row], [Author]],People!A:B,2,0)</f>
        <v>#VALUE!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/>
      </c>
      <c r="I1135" s="13" t="s">
        <v>276</v>
      </c>
      <c r="J1135" s="22" t="e">
        <f>VLOOKUP(Table2[[#This Row], [Author]],People!A:B,2,0)</f>
        <v>#VALUE!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/>
      </c>
      <c r="I1136" s="11" t="s">
        <v>276</v>
      </c>
      <c r="J1136" s="19" t="e">
        <f>VLOOKUP(Table2[[#This Row], [Author]],People!A:B,2,0)</f>
        <v>#VALUE!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/>
      </c>
      <c r="I1137" s="13" t="s">
        <v>276</v>
      </c>
      <c r="J1137" s="22" t="e">
        <f>VLOOKUP(Table2[[#This Row], [Author]],People!A:B,2,0)</f>
        <v>#VALUE!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/>
      </c>
      <c r="I1138" s="11" t="s">
        <v>276</v>
      </c>
      <c r="J1138" s="19" t="e">
        <f>VLOOKUP(Table2[[#This Row], [Author]],People!A:B,2,0)</f>
        <v>#VALUE!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/>
      </c>
      <c r="I1139" s="13" t="s">
        <v>276</v>
      </c>
      <c r="J1139" s="22" t="e">
        <f>VLOOKUP(Table2[[#This Row], [Author]],People!A:B,2,0)</f>
        <v>#VALUE!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/>
      </c>
      <c r="I1140" s="11" t="s">
        <v>276</v>
      </c>
      <c r="J1140" s="19" t="e">
        <f>VLOOKUP(Table2[[#This Row], [Author]],People!A:B,2,0)</f>
        <v>#VALUE!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/>
      </c>
      <c r="I1141" s="13" t="s">
        <v>276</v>
      </c>
      <c r="J1141" s="22" t="e">
        <f>VLOOKUP(Table2[[#This Row], [Author]],People!A:B,2,0)</f>
        <v>#VALUE!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/>
      </c>
      <c r="I1142" s="11" t="s">
        <v>276</v>
      </c>
      <c r="J1142" s="19" t="e">
        <f>VLOOKUP(Table2[[#This Row], [Author]],People!A:B,2,0)</f>
        <v>#VALUE!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/>
      </c>
      <c r="I1143" s="13" t="s">
        <v>276</v>
      </c>
      <c r="J1143" s="22" t="e">
        <f>VLOOKUP(Table2[[#This Row], [Author]],People!A:B,2,0)</f>
        <v>#VALUE!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/>
      </c>
      <c r="I1144" s="11" t="s">
        <v>276</v>
      </c>
      <c r="J1144" s="19" t="e">
        <f>VLOOKUP(Table2[[#This Row], [Author]],People!A:B,2,0)</f>
        <v>#VALUE!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/>
      </c>
      <c r="I1145" s="13" t="s">
        <v>276</v>
      </c>
      <c r="J1145" s="22" t="e">
        <f>VLOOKUP(Table2[[#This Row], [Author]],People!A:B,2,0)</f>
        <v>#VALUE!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/>
      </c>
      <c r="I1146" s="11" t="s">
        <v>276</v>
      </c>
      <c r="J1146" s="19" t="e">
        <f>VLOOKUP(Table2[[#This Row], [Author]],People!A:B,2,0)</f>
        <v>#VALUE!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/>
      </c>
      <c r="I1147" s="13" t="s">
        <v>276</v>
      </c>
      <c r="J1147" s="22" t="e">
        <f>VLOOKUP(Table2[[#This Row], [Author]],People!A:B,2,0)</f>
        <v>#VALUE!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/>
      </c>
      <c r="I1148" s="11" t="s">
        <v>276</v>
      </c>
      <c r="J1148" s="19" t="e">
        <f>VLOOKUP(Table2[[#This Row], [Author]],People!A:B,2,0)</f>
        <v>#VALUE!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/>
      </c>
      <c r="I1149" s="13" t="s">
        <v>276</v>
      </c>
      <c r="J1149" s="22" t="e">
        <f>VLOOKUP(Table2[[#This Row], [Author]],People!A:B,2,0)</f>
        <v>#VALUE!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/>
      </c>
      <c r="I1150" s="11" t="s">
        <v>276</v>
      </c>
      <c r="J1150" s="19" t="e">
        <f>VLOOKUP(Table2[[#This Row], [Author]],People!A:B,2,0)</f>
        <v>#VALUE!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/>
      </c>
      <c r="I1151" s="13" t="s">
        <v>276</v>
      </c>
      <c r="J1151" s="22" t="e">
        <f>VLOOKUP(Table2[[#This Row], [Author]],People!A:B,2,0)</f>
        <v>#VALUE!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/>
      </c>
      <c r="I1152" s="11" t="s">
        <v>276</v>
      </c>
      <c r="J1152" s="19" t="e">
        <f>VLOOKUP(Table2[[#This Row], [Author]],People!A:B,2,0)</f>
        <v>#VALUE!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/>
      </c>
      <c r="I1153" s="13" t="s">
        <v>276</v>
      </c>
      <c r="J1153" s="22" t="e">
        <f>VLOOKUP(Table2[[#This Row], [Author]],People!A:B,2,0)</f>
        <v>#VALUE!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/>
      </c>
      <c r="I1154" s="11" t="s">
        <v>276</v>
      </c>
      <c r="J1154" s="19" t="e">
        <f>VLOOKUP(Table2[[#This Row], [Author]],People!A:B,2,0)</f>
        <v>#VALUE!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/>
      </c>
      <c r="I1155" s="13" t="s">
        <v>276</v>
      </c>
      <c r="J1155" s="22" t="e">
        <f>VLOOKUP(Table2[[#This Row], [Author]],People!A:B,2,0)</f>
        <v>#VALUE!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/>
      </c>
      <c r="I1156" s="11" t="s">
        <v>276</v>
      </c>
      <c r="J1156" s="19" t="e">
        <f>VLOOKUP(Table2[[#This Row], [Author]],People!A:B,2,0)</f>
        <v>#VALUE!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/>
      </c>
      <c r="I1157" s="13" t="s">
        <v>276</v>
      </c>
      <c r="J1157" s="22" t="e">
        <f>VLOOKUP(Table2[[#This Row], [Author]],People!A:B,2,0)</f>
        <v>#VALUE!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/>
      </c>
      <c r="I1158" s="11" t="s">
        <v>276</v>
      </c>
      <c r="J1158" s="19" t="e">
        <f>VLOOKUP(Table2[[#This Row], [Author]],People!A:B,2,0)</f>
        <v>#VALUE!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/>
      </c>
      <c r="I1159" s="13" t="s">
        <v>276</v>
      </c>
      <c r="J1159" s="22" t="e">
        <f>VLOOKUP(Table2[[#This Row], [Author]],People!A:B,2,0)</f>
        <v>#VALUE!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/>
      </c>
      <c r="I1160" s="11" t="s">
        <v>276</v>
      </c>
      <c r="J1160" s="19" t="e">
        <f>VLOOKUP(Table2[[#This Row], [Author]],People!A:B,2,0)</f>
        <v>#VALUE!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/>
      </c>
      <c r="I1161" s="13" t="s">
        <v>276</v>
      </c>
      <c r="J1161" s="22" t="e">
        <f>VLOOKUP(Table2[[#This Row], [Author]],People!A:B,2,0)</f>
        <v>#VALUE!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/>
      </c>
      <c r="I1162" s="11" t="s">
        <v>276</v>
      </c>
      <c r="J1162" s="19" t="e">
        <f>VLOOKUP(Table2[[#This Row], [Author]],People!A:B,2,0)</f>
        <v>#VALUE!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/>
      </c>
      <c r="I1163" s="13" t="s">
        <v>276</v>
      </c>
      <c r="J1163" s="22" t="e">
        <f>VLOOKUP(Table2[[#This Row], [Author]],People!A:B,2,0)</f>
        <v>#VALUE!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/>
      </c>
      <c r="I1164" s="11" t="s">
        <v>276</v>
      </c>
      <c r="J1164" s="19" t="e">
        <f>VLOOKUP(Table2[[#This Row], [Author]],People!A:B,2,0)</f>
        <v>#VALUE!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/>
      </c>
      <c r="I1165" s="13" t="s">
        <v>276</v>
      </c>
      <c r="J1165" s="22" t="e">
        <f>VLOOKUP(Table2[[#This Row], [Author]],People!A:B,2,0)</f>
        <v>#VALUE!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/>
      </c>
      <c r="I1166" s="11" t="s">
        <v>276</v>
      </c>
      <c r="J1166" s="19" t="e">
        <f>VLOOKUP(Table2[[#This Row], [Author]],People!A:B,2,0)</f>
        <v>#VALUE!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/>
      </c>
      <c r="I1167" s="13" t="s">
        <v>276</v>
      </c>
      <c r="J1167" s="22" t="e">
        <f>VLOOKUP(Table2[[#This Row], [Author]],People!A:B,2,0)</f>
        <v>#VALUE!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/>
      </c>
      <c r="I1168" s="11" t="s">
        <v>276</v>
      </c>
      <c r="J1168" s="19" t="e">
        <f>VLOOKUP(Table2[[#This Row], [Author]],People!A:B,2,0)</f>
        <v>#VALUE!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/>
      </c>
      <c r="I1169" s="13" t="s">
        <v>276</v>
      </c>
      <c r="J1169" s="22" t="e">
        <f>VLOOKUP(Table2[[#This Row], [Author]],People!A:B,2,0)</f>
        <v>#VALUE!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/>
      </c>
      <c r="I1170" s="11" t="s">
        <v>276</v>
      </c>
      <c r="J1170" s="19" t="e">
        <f>VLOOKUP(Table2[[#This Row], [Author]],People!A:B,2,0)</f>
        <v>#VALUE!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/>
      </c>
      <c r="I1171" s="13" t="s">
        <v>276</v>
      </c>
      <c r="J1171" s="22" t="e">
        <f>VLOOKUP(Table2[[#This Row], [Author]],People!A:B,2,0)</f>
        <v>#VALUE!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/>
      </c>
      <c r="I1172" s="11" t="s">
        <v>276</v>
      </c>
      <c r="J1172" s="19" t="e">
        <f>VLOOKUP(Table2[[#This Row], [Author]],People!A:B,2,0)</f>
        <v>#VALUE!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/>
      </c>
      <c r="I1173" s="13" t="s">
        <v>276</v>
      </c>
      <c r="J1173" s="22" t="e">
        <f>VLOOKUP(Table2[[#This Row], [Author]],People!A:B,2,0)</f>
        <v>#VALUE!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/>
      </c>
      <c r="I1174" s="11" t="s">
        <v>276</v>
      </c>
      <c r="J1174" s="19" t="e">
        <f>VLOOKUP(Table2[[#This Row], [Author]],People!A:B,2,0)</f>
        <v>#VALUE!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/>
      </c>
      <c r="I1175" s="13" t="s">
        <v>276</v>
      </c>
      <c r="J1175" s="22" t="e">
        <f>VLOOKUP(Table2[[#This Row], [Author]],People!A:B,2,0)</f>
        <v>#VALUE!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/>
      </c>
      <c r="I1176" s="11" t="s">
        <v>276</v>
      </c>
      <c r="J1176" s="19" t="e">
        <f>VLOOKUP(Table2[[#This Row], [Author]],People!A:B,2,0)</f>
        <v>#VALUE!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/>
      </c>
      <c r="I1177" s="13" t="s">
        <v>276</v>
      </c>
      <c r="J1177" s="22" t="e">
        <f>VLOOKUP(Table2[[#This Row], [Author]],People!A:B,2,0)</f>
        <v>#VALUE!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/>
      </c>
      <c r="I1178" s="11" t="s">
        <v>276</v>
      </c>
      <c r="J1178" s="19" t="e">
        <f>VLOOKUP(Table2[[#This Row], [Author]],People!A:B,2,0)</f>
        <v>#VALUE!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/>
      </c>
      <c r="I1179" s="13" t="s">
        <v>276</v>
      </c>
      <c r="J1179" s="22" t="e">
        <f>VLOOKUP(Table2[[#This Row], [Author]],People!A:B,2,0)</f>
        <v>#VALUE!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/>
      </c>
      <c r="I1180" s="11" t="s">
        <v>276</v>
      </c>
      <c r="J1180" s="19" t="e">
        <f>VLOOKUP(Table2[[#This Row], [Author]],People!A:B,2,0)</f>
        <v>#VALUE!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/>
      </c>
      <c r="I1181" s="13" t="s">
        <v>276</v>
      </c>
      <c r="J1181" s="22" t="e">
        <f>VLOOKUP(Table2[[#This Row], [Author]],People!A:B,2,0)</f>
        <v>#VALUE!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/>
      </c>
      <c r="I1182" s="11" t="s">
        <v>276</v>
      </c>
      <c r="J1182" s="19" t="e">
        <f>VLOOKUP(Table2[[#This Row], [Author]],People!A:B,2,0)</f>
        <v>#VALUE!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/>
      </c>
      <c r="I1183" s="13" t="s">
        <v>276</v>
      </c>
      <c r="J1183" s="22" t="e">
        <f>VLOOKUP(Table2[[#This Row], [Author]],People!A:B,2,0)</f>
        <v>#VALUE!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/>
      </c>
      <c r="I1184" s="11" t="s">
        <v>276</v>
      </c>
      <c r="J1184" s="19" t="e">
        <f>VLOOKUP(Table2[[#This Row], [Author]],People!A:B,2,0)</f>
        <v>#VALUE!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/>
      </c>
      <c r="I1185" s="13" t="s">
        <v>276</v>
      </c>
      <c r="J1185" s="22" t="e">
        <f>VLOOKUP(Table2[[#This Row], [Author]],People!A:B,2,0)</f>
        <v>#VALUE!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/>
      </c>
      <c r="I1186" s="11" t="s">
        <v>276</v>
      </c>
      <c r="J1186" s="19" t="e">
        <f>VLOOKUP(Table2[[#This Row], [Author]],People!A:B,2,0)</f>
        <v>#VALUE!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/>
      </c>
      <c r="I1187" s="13" t="s">
        <v>276</v>
      </c>
      <c r="J1187" s="22" t="e">
        <f>VLOOKUP(Table2[[#This Row], [Author]],People!A:B,2,0)</f>
        <v>#VALUE!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/>
      </c>
      <c r="I1188" s="11" t="s">
        <v>276</v>
      </c>
      <c r="J1188" s="19" t="e">
        <f>VLOOKUP(Table2[[#This Row], [Author]],People!A:B,2,0)</f>
        <v>#VALUE!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/>
      </c>
      <c r="I1189" s="13" t="s">
        <v>276</v>
      </c>
      <c r="J1189" s="22" t="e">
        <f>VLOOKUP(Table2[[#This Row], [Author]],People!A:B,2,0)</f>
        <v>#VALUE!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/>
      </c>
      <c r="I1190" s="11" t="s">
        <v>276</v>
      </c>
      <c r="J1190" s="19" t="e">
        <f>VLOOKUP(Table2[[#This Row], [Author]],People!A:B,2,0)</f>
        <v>#VALUE!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/>
      </c>
      <c r="I1191" s="13" t="s">
        <v>276</v>
      </c>
      <c r="J1191" s="22" t="e">
        <f>VLOOKUP(Table2[[#This Row], [Author]],People!A:B,2,0)</f>
        <v>#VALUE!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/>
      </c>
      <c r="I1192" s="11" t="s">
        <v>276</v>
      </c>
      <c r="J1192" s="19" t="e">
        <f>VLOOKUP(Table2[[#This Row], [Author]],People!A:B,2,0)</f>
        <v>#VALUE!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/>
      </c>
      <c r="I1193" s="13" t="s">
        <v>276</v>
      </c>
      <c r="J1193" s="22" t="e">
        <f>VLOOKUP(Table2[[#This Row], [Author]],People!A:B,2,0)</f>
        <v>#VALUE!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/>
      </c>
      <c r="I1194" s="11" t="s">
        <v>276</v>
      </c>
      <c r="J1194" s="19" t="e">
        <f>VLOOKUP(Table2[[#This Row], [Author]],People!A:B,2,0)</f>
        <v>#VALUE!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/>
      </c>
      <c r="I1195" s="13" t="s">
        <v>276</v>
      </c>
      <c r="J1195" s="22" t="e">
        <f>VLOOKUP(Table2[[#This Row], [Author]],People!A:B,2,0)</f>
        <v>#VALUE!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/>
      </c>
      <c r="I1196" s="11" t="s">
        <v>276</v>
      </c>
      <c r="J1196" s="19" t="e">
        <f>VLOOKUP(Table2[[#This Row], [Author]],People!A:B,2,0)</f>
        <v>#VALUE!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/>
      </c>
      <c r="I1197" s="13" t="s">
        <v>276</v>
      </c>
      <c r="J1197" s="22" t="e">
        <f>VLOOKUP(Table2[[#This Row], [Author]],People!A:B,2,0)</f>
        <v>#VALUE!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/>
      </c>
      <c r="I1198" s="11" t="s">
        <v>276</v>
      </c>
      <c r="J1198" s="19" t="e">
        <f>VLOOKUP(Table2[[#This Row], [Author]],People!A:B,2,0)</f>
        <v>#VALUE!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/>
      </c>
      <c r="I1199" s="13" t="s">
        <v>276</v>
      </c>
      <c r="J1199" s="22" t="e">
        <f>VLOOKUP(Table2[[#This Row], [Author]],People!A:B,2,0)</f>
        <v>#VALUE!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/>
      </c>
      <c r="I1200" s="11" t="s">
        <v>276</v>
      </c>
      <c r="J1200" s="19" t="e">
        <f>VLOOKUP(Table2[[#This Row], [Author]],People!A:B,2,0)</f>
        <v>#VALUE!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/>
      </c>
      <c r="I1201" s="13" t="s">
        <v>276</v>
      </c>
      <c r="J1201" s="22" t="e">
        <f>VLOOKUP(Table2[[#This Row], [Author]],People!A:B,2,0)</f>
        <v>#VALUE!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/>
      </c>
      <c r="I1202" s="11" t="s">
        <v>276</v>
      </c>
      <c r="J1202" s="19" t="e">
        <f>VLOOKUP(Table2[[#This Row], [Author]],People!A:B,2,0)</f>
        <v>#VALUE!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/>
      </c>
      <c r="I1203" s="13" t="s">
        <v>276</v>
      </c>
      <c r="J1203" s="22" t="e">
        <f>VLOOKUP(Table2[[#This Row], [Author]],People!A:B,2,0)</f>
        <v>#VALUE!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/>
      </c>
      <c r="I1204" s="11" t="s">
        <v>276</v>
      </c>
      <c r="J1204" s="19" t="e">
        <f>VLOOKUP(Table2[[#This Row], [Author]],People!A:B,2,0)</f>
        <v>#VALUE!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/>
      </c>
      <c r="I1205" s="13" t="s">
        <v>276</v>
      </c>
      <c r="J1205" s="22" t="e">
        <f>VLOOKUP(Table2[[#This Row], [Author]],People!A:B,2,0)</f>
        <v>#VALUE!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/>
      </c>
      <c r="I1206" s="11" t="s">
        <v>276</v>
      </c>
      <c r="J1206" s="19" t="e">
        <f>VLOOKUP(Table2[[#This Row], [Author]],People!A:B,2,0)</f>
        <v>#VALUE!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/>
      </c>
      <c r="I1207" s="13" t="s">
        <v>276</v>
      </c>
      <c r="J1207" s="22" t="e">
        <f>VLOOKUP(Table2[[#This Row], [Author]],People!A:B,2,0)</f>
        <v>#VALUE!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/>
      </c>
      <c r="I1208" s="11" t="s">
        <v>276</v>
      </c>
      <c r="J1208" s="19" t="e">
        <f>VLOOKUP(Table2[[#This Row], [Author]],People!A:B,2,0)</f>
        <v>#VALUE!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/>
      </c>
      <c r="I1209" s="13" t="s">
        <v>276</v>
      </c>
      <c r="J1209" s="22" t="e">
        <f>VLOOKUP(Table2[[#This Row], [Author]],People!A:B,2,0)</f>
        <v>#VALUE!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/>
      </c>
      <c r="I1210" s="11" t="s">
        <v>276</v>
      </c>
      <c r="J1210" s="19" t="e">
        <f>VLOOKUP(Table2[[#This Row], [Author]],People!A:B,2,0)</f>
        <v>#VALUE!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/>
      </c>
      <c r="I1211" s="13" t="s">
        <v>276</v>
      </c>
      <c r="J1211" s="22" t="e">
        <f>VLOOKUP(Table2[[#This Row], [Author]],People!A:B,2,0)</f>
        <v>#VALUE!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/>
      </c>
      <c r="I1212" s="11" t="s">
        <v>276</v>
      </c>
      <c r="J1212" s="19" t="e">
        <f>VLOOKUP(Table2[[#This Row], [Author]],People!A:B,2,0)</f>
        <v>#VALUE!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/>
      </c>
      <c r="I1213" s="13" t="s">
        <v>276</v>
      </c>
      <c r="J1213" s="22" t="e">
        <f>VLOOKUP(Table2[[#This Row], [Author]],People!A:B,2,0)</f>
        <v>#VALUE!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/>
      </c>
      <c r="I1214" s="11" t="s">
        <v>276</v>
      </c>
      <c r="J1214" s="19" t="e">
        <f>VLOOKUP(Table2[[#This Row], [Author]],People!A:B,2,0)</f>
        <v>#VALUE!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/>
      </c>
      <c r="I1215" s="13" t="s">
        <v>276</v>
      </c>
      <c r="J1215" s="22" t="e">
        <f>VLOOKUP(Table2[[#This Row], [Author]],People!A:B,2,0)</f>
        <v>#VALUE!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/>
      </c>
      <c r="I1216" s="11" t="s">
        <v>276</v>
      </c>
      <c r="J1216" s="19" t="e">
        <f>VLOOKUP(Table2[[#This Row], [Author]],People!A:B,2,0)</f>
        <v>#VALUE!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/>
      </c>
      <c r="I1217" s="13" t="s">
        <v>276</v>
      </c>
      <c r="J1217" s="22" t="e">
        <f>VLOOKUP(Table2[[#This Row], [Author]],People!A:B,2,0)</f>
        <v>#VALUE!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/>
      </c>
      <c r="I1218" s="11" t="s">
        <v>276</v>
      </c>
      <c r="J1218" s="19" t="e">
        <f>VLOOKUP(Table2[[#This Row], [Author]],People!A:B,2,0)</f>
        <v>#VALUE!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/>
      </c>
      <c r="I1219" s="13" t="s">
        <v>276</v>
      </c>
      <c r="J1219" s="22" t="e">
        <f>VLOOKUP(Table2[[#This Row], [Author]],People!A:B,2,0)</f>
        <v>#VALUE!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/>
      </c>
      <c r="I1220" s="11" t="s">
        <v>276</v>
      </c>
      <c r="J1220" s="19" t="e">
        <f>VLOOKUP(Table2[[#This Row], [Author]],People!A:B,2,0)</f>
        <v>#VALUE!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/>
      </c>
      <c r="I1221" s="13" t="s">
        <v>276</v>
      </c>
      <c r="J1221" s="22" t="e">
        <f>VLOOKUP(Table2[[#This Row], [Author]],People!A:B,2,0)</f>
        <v>#VALUE!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/>
      </c>
      <c r="I1222" s="11" t="s">
        <v>276</v>
      </c>
      <c r="J1222" s="19" t="e">
        <f>VLOOKUP(Table2[[#This Row], [Author]],People!A:B,2,0)</f>
        <v>#VALUE!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/>
      </c>
      <c r="I1223" s="13" t="s">
        <v>276</v>
      </c>
      <c r="J1223" s="22" t="e">
        <f>VLOOKUP(Table2[[#This Row], [Author]],People!A:B,2,0)</f>
        <v>#VALUE!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/>
      </c>
      <c r="I1224" s="11" t="s">
        <v>276</v>
      </c>
      <c r="J1224" s="19" t="e">
        <f>VLOOKUP(Table2[[#This Row], [Author]],People!A:B,2,0)</f>
        <v>#VALUE!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/>
      </c>
      <c r="I1225" s="13" t="s">
        <v>276</v>
      </c>
      <c r="J1225" s="22" t="e">
        <f>VLOOKUP(Table2[[#This Row], [Author]],People!A:B,2,0)</f>
        <v>#VALUE!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/>
      </c>
      <c r="I1226" s="11" t="s">
        <v>276</v>
      </c>
      <c r="J1226" s="19" t="e">
        <f>VLOOKUP(Table2[[#This Row], [Author]],People!A:B,2,0)</f>
        <v>#VALUE!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/>
      </c>
      <c r="I1227" s="13" t="s">
        <v>276</v>
      </c>
      <c r="J1227" s="22" t="e">
        <f>VLOOKUP(Table2[[#This Row], [Author]],People!A:B,2,0)</f>
        <v>#VALUE!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/>
      </c>
      <c r="I1228" s="11" t="s">
        <v>276</v>
      </c>
      <c r="J1228" s="19" t="e">
        <f>VLOOKUP(Table2[[#This Row], [Author]],People!A:B,2,0)</f>
        <v>#VALUE!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/>
      </c>
      <c r="I1229" s="13" t="s">
        <v>276</v>
      </c>
      <c r="J1229" s="22" t="e">
        <f>VLOOKUP(Table2[[#This Row], [Author]],People!A:B,2,0)</f>
        <v>#VALUE!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/>
      </c>
      <c r="I1230" s="11" t="s">
        <v>276</v>
      </c>
      <c r="J1230" s="19" t="e">
        <f>VLOOKUP(Table2[[#This Row], [Author]],People!A:B,2,0)</f>
        <v>#VALUE!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/>
      </c>
      <c r="I1231" s="13" t="s">
        <v>276</v>
      </c>
      <c r="J1231" s="22" t="e">
        <f>VLOOKUP(Table2[[#This Row], [Author]],People!A:B,2,0)</f>
        <v>#VALUE!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/>
      </c>
      <c r="I1232" s="11" t="s">
        <v>276</v>
      </c>
      <c r="J1232" s="19" t="e">
        <f>VLOOKUP(Table2[[#This Row], [Author]],People!A:B,2,0)</f>
        <v>#VALUE!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/>
      </c>
      <c r="I1233" s="13" t="s">
        <v>276</v>
      </c>
      <c r="J1233" s="22" t="e">
        <f>VLOOKUP(Table2[[#This Row], [Author]],People!A:B,2,0)</f>
        <v>#VALUE!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/>
      </c>
      <c r="I1234" s="11" t="s">
        <v>276</v>
      </c>
      <c r="J1234" s="19" t="e">
        <f>VLOOKUP(Table2[[#This Row], [Author]],People!A:B,2,0)</f>
        <v>#VALUE!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/>
      </c>
      <c r="I1235" s="13" t="s">
        <v>276</v>
      </c>
      <c r="J1235" s="22" t="e">
        <f>VLOOKUP(Table2[[#This Row], [Author]],People!A:B,2,0)</f>
        <v>#VALUE!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/>
      </c>
      <c r="I1236" s="11" t="s">
        <v>276</v>
      </c>
      <c r="J1236" s="19" t="e">
        <f>VLOOKUP(Table2[[#This Row], [Author]],People!A:B,2,0)</f>
        <v>#VALUE!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/>
      </c>
      <c r="I1237" s="13" t="s">
        <v>276</v>
      </c>
      <c r="J1237" s="22" t="e">
        <f>VLOOKUP(Table2[[#This Row], [Author]],People!A:B,2,0)</f>
        <v>#VALUE!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/>
      </c>
      <c r="I1238" s="11" t="s">
        <v>276</v>
      </c>
      <c r="J1238" s="19" t="e">
        <f>VLOOKUP(Table2[[#This Row], [Author]],People!A:B,2,0)</f>
        <v>#VALUE!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/>
      </c>
      <c r="I1239" s="13" t="s">
        <v>276</v>
      </c>
      <c r="J1239" s="22" t="e">
        <f>VLOOKUP(Table2[[#This Row], [Author]],People!A:B,2,0)</f>
        <v>#VALUE!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/>
      </c>
      <c r="I1240" s="11" t="s">
        <v>276</v>
      </c>
      <c r="J1240" s="19" t="e">
        <f>VLOOKUP(Table2[[#This Row], [Author]],People!A:B,2,0)</f>
        <v>#VALUE!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/>
      </c>
      <c r="I1241" s="13" t="s">
        <v>276</v>
      </c>
      <c r="J1241" s="22" t="e">
        <f>VLOOKUP(Table2[[#This Row], [Author]],People!A:B,2,0)</f>
        <v>#VALUE!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/>
      </c>
      <c r="I1242" s="11" t="s">
        <v>276</v>
      </c>
      <c r="J1242" s="19" t="e">
        <f>VLOOKUP(Table2[[#This Row], [Author]],People!A:B,2,0)</f>
        <v>#VALUE!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/>
      </c>
      <c r="I1243" s="13" t="s">
        <v>276</v>
      </c>
      <c r="J1243" s="22" t="e">
        <f>VLOOKUP(Table2[[#This Row], [Author]],People!A:B,2,0)</f>
        <v>#VALUE!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/>
      </c>
      <c r="I1244" s="11" t="s">
        <v>276</v>
      </c>
      <c r="J1244" s="19" t="e">
        <f>VLOOKUP(Table2[[#This Row], [Author]],People!A:B,2,0)</f>
        <v>#VALUE!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276</v>
      </c>
      <c r="J1245" s="22" t="e">
        <f>VLOOKUP(Table2[[#This Row], [Author]],People!A:B,2,0)</f>
        <v>#VALUE!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276</v>
      </c>
      <c r="J1246" s="19" t="e">
        <f>VLOOKUP(Table2[[#This Row], [Author]],People!A:B,2,0)</f>
        <v>#VALUE!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276</v>
      </c>
      <c r="J1247" s="22" t="e">
        <f>VLOOKUP(Table2[[#This Row], [Author]],People!A:B,2,0)</f>
        <v>#VALUE!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276</v>
      </c>
      <c r="J1248" s="19" t="e">
        <f>VLOOKUP(Table2[[#This Row], [Author]],People!A:B,2,0)</f>
        <v>#VALUE!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276</v>
      </c>
      <c r="J1249" s="22" t="e">
        <f>VLOOKUP(Table2[[#This Row], [Author]],People!A:B,2,0)</f>
        <v>#VALUE!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276</v>
      </c>
      <c r="J1250" s="19" t="e">
        <f>VLOOKUP(Table2[[#This Row], [Author]],People!A:B,2,0)</f>
        <v>#VALUE!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276</v>
      </c>
      <c r="J1251" s="22" t="e">
        <f>VLOOKUP(Table2[[#This Row], [Author]],People!A:B,2,0)</f>
        <v>#VALUE!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276</v>
      </c>
      <c r="J1252" s="19" t="e">
        <f>VLOOKUP(Table2[[#This Row], [Author]],People!A:B,2,0)</f>
        <v>#VALUE!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276</v>
      </c>
      <c r="J1253" s="22" t="e">
        <f>VLOOKUP(Table2[[#This Row], [Author]],People!A:B,2,0)</f>
        <v>#VALUE!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276</v>
      </c>
      <c r="J1254" s="19" t="e">
        <f>VLOOKUP(Table2[[#This Row], [Author]],People!A:B,2,0)</f>
        <v>#VALUE!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276</v>
      </c>
      <c r="J1255" s="22" t="e">
        <f>VLOOKUP(Table2[[#This Row], [Author]],People!A:B,2,0)</f>
        <v>#VALUE!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276</v>
      </c>
      <c r="J1256" s="19" t="e">
        <f>VLOOKUP(Table2[[#This Row], [Author]],People!A:B,2,0)</f>
        <v>#VALUE!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276</v>
      </c>
      <c r="J1257" s="22" t="e">
        <f>VLOOKUP(Table2[[#This Row], [Author]],People!A:B,2,0)</f>
        <v>#VALUE!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276</v>
      </c>
      <c r="J1258" s="19" t="e">
        <f>VLOOKUP(Table2[[#This Row], [Author]],People!A:B,2,0)</f>
        <v>#VALUE!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276</v>
      </c>
      <c r="J1259" s="22" t="e">
        <f>VLOOKUP(Table2[[#This Row], [Author]],People!A:B,2,0)</f>
        <v>#VALUE!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276</v>
      </c>
      <c r="J1260" s="19" t="e">
        <f>VLOOKUP(Table2[[#This Row], [Author]],People!A:B,2,0)</f>
        <v>#VALUE!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276</v>
      </c>
      <c r="J1261" s="22" t="e">
        <f>VLOOKUP(Table2[[#This Row], [Author]],People!A:B,2,0)</f>
        <v>#VALUE!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276</v>
      </c>
      <c r="J1262" s="19" t="e">
        <f>VLOOKUP(Table2[[#This Row], [Author]],People!A:B,2,0)</f>
        <v>#VALUE!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276</v>
      </c>
      <c r="J1263" s="22" t="e">
        <f>VLOOKUP(Table2[[#This Row], [Author]],People!A:B,2,0)</f>
        <v>#VALUE!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276</v>
      </c>
      <c r="J1264" s="19" t="e">
        <f>VLOOKUP(Table2[[#This Row], [Author]],People!A:B,2,0)</f>
        <v>#VALUE!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276</v>
      </c>
      <c r="J1265" s="22" t="e">
        <f>VLOOKUP(Table2[[#This Row], [Author]],People!A:B,2,0)</f>
        <v>#VALUE!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276</v>
      </c>
      <c r="J1266" s="19" t="e">
        <f>VLOOKUP(Table2[[#This Row], [Author]],People!A:B,2,0)</f>
        <v>#VALUE!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276</v>
      </c>
      <c r="J1267" s="22" t="e">
        <f>VLOOKUP(Table2[[#This Row], [Author]],People!A:B,2,0)</f>
        <v>#VALUE!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276</v>
      </c>
      <c r="J1268" s="19" t="e">
        <f>VLOOKUP(Table2[[#This Row], [Author]],People!A:B,2,0)</f>
        <v>#VALUE!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276</v>
      </c>
      <c r="J1269" s="22" t="e">
        <f>VLOOKUP(Table2[[#This Row], [Author]],People!A:B,2,0)</f>
        <v>#VALUE!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276</v>
      </c>
      <c r="J1270" s="19" t="e">
        <f>VLOOKUP(Table2[[#This Row], [Author]],People!A:B,2,0)</f>
        <v>#VALUE!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276</v>
      </c>
      <c r="J1271" s="22" t="e">
        <f>VLOOKUP(Table2[[#This Row], [Author]],People!A:B,2,0)</f>
        <v>#VALUE!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276</v>
      </c>
      <c r="J1272" s="19" t="e">
        <f>VLOOKUP(Table2[[#This Row], [Author]],People!A:B,2,0)</f>
        <v>#VALUE!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276</v>
      </c>
      <c r="J1273" s="22" t="e">
        <f>VLOOKUP(Table2[[#This Row], [Author]],People!A:B,2,0)</f>
        <v>#VALUE!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276</v>
      </c>
      <c r="J1274" s="19" t="e">
        <f>VLOOKUP(Table2[[#This Row], [Author]],People!A:B,2,0)</f>
        <v>#VALUE!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276</v>
      </c>
      <c r="J1275" s="22" t="e">
        <f>VLOOKUP(Table2[[#This Row], [Author]],People!A:B,2,0)</f>
        <v>#VALUE!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276</v>
      </c>
      <c r="J1276" s="19" t="e">
        <f>VLOOKUP(Table2[[#This Row], [Author]],People!A:B,2,0)</f>
        <v>#VALUE!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276</v>
      </c>
      <c r="J1277" s="22" t="e">
        <f>VLOOKUP(Table2[[#This Row], [Author]],People!A:B,2,0)</f>
        <v>#VALUE!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276</v>
      </c>
      <c r="J1278" s="19" t="e">
        <f>VLOOKUP(Table2[[#This Row], [Author]],People!A:B,2,0)</f>
        <v>#VALUE!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276</v>
      </c>
      <c r="J1279" s="22" t="e">
        <f>VLOOKUP(Table2[[#This Row], [Author]],People!A:B,2,0)</f>
        <v>#VALUE!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276</v>
      </c>
      <c r="J1280" s="19" t="e">
        <f>VLOOKUP(Table2[[#This Row], [Author]],People!A:B,2,0)</f>
        <v>#VALUE!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276</v>
      </c>
      <c r="J1281" s="22" t="e">
        <f>VLOOKUP(Table2[[#This Row], [Author]],People!A:B,2,0)</f>
        <v>#VALUE!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276</v>
      </c>
      <c r="J1282" s="19" t="e">
        <f>VLOOKUP(Table2[[#This Row], [Author]],People!A:B,2,0)</f>
        <v>#VALUE!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276</v>
      </c>
      <c r="J1283" s="22" t="e">
        <f>VLOOKUP(Table2[[#This Row], [Author]],People!A:B,2,0)</f>
        <v>#VALUE!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276</v>
      </c>
      <c r="J1284" s="19" t="e">
        <f>VLOOKUP(Table2[[#This Row], [Author]],People!A:B,2,0)</f>
        <v>#VALUE!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276</v>
      </c>
      <c r="J1285" s="22" t="e">
        <f>VLOOKUP(Table2[[#This Row], [Author]],People!A:B,2,0)</f>
        <v>#VALUE!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276</v>
      </c>
      <c r="J1286" s="19" t="e">
        <f>VLOOKUP(Table2[[#This Row], [Author]],People!A:B,2,0)</f>
        <v>#VALUE!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276</v>
      </c>
      <c r="J1287" s="22" t="e">
        <f>VLOOKUP(Table2[[#This Row], [Author]],People!A:B,2,0)</f>
        <v>#VALUE!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276</v>
      </c>
      <c r="J1288" s="19" t="e">
        <f>VLOOKUP(Table2[[#This Row], [Author]],People!A:B,2,0)</f>
        <v>#VALUE!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276</v>
      </c>
      <c r="J1289" s="22" t="e">
        <f>VLOOKUP(Table2[[#This Row], [Author]],People!A:B,2,0)</f>
        <v>#VALUE!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276</v>
      </c>
      <c r="J1290" s="19" t="e">
        <f>VLOOKUP(Table2[[#This Row], [Author]],People!A:B,2,0)</f>
        <v>#VALUE!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276</v>
      </c>
      <c r="J1291" s="22" t="e">
        <f>VLOOKUP(Table2[[#This Row], [Author]],People!A:B,2,0)</f>
        <v>#VALUE!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276</v>
      </c>
      <c r="J1292" s="19" t="e">
        <f>VLOOKUP(Table2[[#This Row], [Author]],People!A:B,2,0)</f>
        <v>#VALUE!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276</v>
      </c>
      <c r="J1293" s="22" t="e">
        <f>VLOOKUP(Table2[[#This Row], [Author]],People!A:B,2,0)</f>
        <v>#VALUE!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276</v>
      </c>
      <c r="J1294" s="19" t="e">
        <f>VLOOKUP(Table2[[#This Row], [Author]],People!A:B,2,0)</f>
        <v>#VALUE!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e">
        <f>VLOOKUP(Table2[[#This Row], [Author]],People!A:B,2,0)</f>
        <v>#VALUE!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e">
        <f>VLOOKUP(Table2[[#This Row], [Author]],People!A:B,2,0)</f>
        <v>#VALUE!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e">
        <f>VLOOKUP(Table2[[#This Row], [Author]],People!A:B,2,0)</f>
        <v>#VALUE!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e">
        <f>VLOOKUP(Table2[[#This Row], [Author]],People!A:B,2,0)</f>
        <v>#VALUE!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e">
        <f>VLOOKUP(Table2[[#This Row], [Author]],People!A:B,2,0)</f>
        <v>#VALUE!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e">
        <f>VLOOKUP(Table2[[#This Row], [Author]],People!A:B,2,0)</f>
        <v>#VALUE!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e">
        <f>VLOOKUP(Table2[[#This Row], [Author]],People!A:B,2,0)</f>
        <v>#VALUE!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e">
        <f>VLOOKUP(Table2[[#This Row], [Author]],People!A:B,2,0)</f>
        <v>#VALUE!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e">
        <f>VLOOKUP(Table2[[#This Row], [Author]],People!A:B,2,0)</f>
        <v>#VALUE!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e">
        <f>VLOOKUP(Table2[[#This Row], [Author]],People!A:B,2,0)</f>
        <v>#VALUE!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e">
        <f>VLOOKUP(Table2[[#This Row], [Author]],People!A:B,2,0)</f>
        <v>#VALUE!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e">
        <f>VLOOKUP(Table2[[#This Row], [Author]],People!A:B,2,0)</f>
        <v>#VALUE!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e">
        <f>VLOOKUP(Table2[[#This Row], [Author]],People!A:B,2,0)</f>
        <v>#VALUE!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e">
        <f>VLOOKUP(Table2[[#This Row], [Author]],People!A:B,2,0)</f>
        <v>#VALUE!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e">
        <f>VLOOKUP(Table2[[#This Row], [Author]],People!A:B,2,0)</f>
        <v>#VALUE!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e">
        <f>VLOOKUP(Table2[[#This Row], [Author]],People!A:B,2,0)</f>
        <v>#VALUE!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e">
        <f>VLOOKUP(Table2[[#This Row], [Author]],People!A:B,2,0)</f>
        <v>#VALUE!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e">
        <f>VLOOKUP(Table2[[#This Row], [Author]],People!A:B,2,0)</f>
        <v>#VALUE!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e">
        <f>VLOOKUP(Table2[[#This Row], [Author]],People!A:B,2,0)</f>
        <v>#VALUE!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e">
        <f>VLOOKUP(Table2[[#This Row], [Author]],People!A:B,2,0)</f>
        <v>#VALUE!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e">
        <f>VLOOKUP(Table2[[#This Row], [Author]],People!A:B,2,0)</f>
        <v>#VALUE!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e">
        <f>VLOOKUP(Table2[[#This Row], [Author]],People!A:B,2,0)</f>
        <v>#VALUE!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e">
        <f>VLOOKUP(Table2[[#This Row], [Author]],People!A:B,2,0)</f>
        <v>#VALUE!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e">
        <f>VLOOKUP(Table2[[#This Row], [Author]],People!A:B,2,0)</f>
        <v>#VALUE!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e">
        <f>VLOOKUP(Table2[[#This Row], [Author]],People!A:B,2,0)</f>
        <v>#VALUE!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e">
        <f>VLOOKUP(Table2[[#This Row], [Author]],People!A:B,2,0)</f>
        <v>#VALUE!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e">
        <f>VLOOKUP(Table2[[#This Row], [Author]],People!A:B,2,0)</f>
        <v>#VALUE!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e">
        <f>VLOOKUP(Table2[[#This Row], [Author]],People!A:B,2,0)</f>
        <v>#VALUE!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e">
        <f>VLOOKUP(Table2[[#This Row], [Author]],People!A:B,2,0)</f>
        <v>#VALUE!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e">
        <f>VLOOKUP(Table2[[#This Row], [Author]],People!A:B,2,0)</f>
        <v>#VALUE!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e">
        <f>VLOOKUP(Table2[[#This Row], [Author]],People!A:B,2,0)</f>
        <v>#VALUE!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e">
        <f>VLOOKUP(Table2[[#This Row], [Author]],People!A:B,2,0)</f>
        <v>#VALUE!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#VALUE!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#VALUE!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#VALUE!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#VALUE!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#VALUE!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#VALUE!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#VALUE!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#VALUE!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#VALUE!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#VALUE!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#VALUE!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#VALUE!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#VALUE!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#VALUE!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#VALUE!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#VALUE!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#VALUE!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#VALUE!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#VALUE!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#VALUE!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#VALUE!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#VALUE!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#VALUE!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#VALUE!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>
        <f>IFERROR(VLOOKUP(Table2[[#This Row], [Ticket]],Okey!A:B,2,0),"")</f>
        <v>0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 x14ac:dyDescent="0.25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>
        <f>IFERROR(VLOOKUP(Table2[[#This Row], [Ticket]],Okey!A:B,2,0),"")</f>
        <v>0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 x14ac:dyDescent="0.25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>
        <f>IFERROR(VLOOKUP(Table2[[#This Row], [Ticket]],Okey!A:B,2,0),"")</f>
        <v>0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 x14ac:dyDescent="0.25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>
        <f>IFERROR(VLOOKUP(Table2[[#This Row], [Ticket]],Okey!A:B,2,0),"")</f>
        <v>0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 x14ac:dyDescent="0.25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>
        <f>IFERROR(VLOOKUP(Table2[[#This Row], [Ticket]],Okey!A:B,2,0),"")</f>
        <v>0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 x14ac:dyDescent="0.25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>
        <f>IFERROR(VLOOKUP(Table2[[#This Row], [Ticket]],Okey!A:B,2,0),"")</f>
        <v>0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>
        <f>IFERROR(VLOOKUP(Table2[[#This Row], [Ticket]],Okey!A:B,2,0),"")</f>
        <v>0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>
        <f>IFERROR(VLOOKUP(Table2[[#This Row], [Ticket]],Okey!A:B,2,0),"")</f>
        <v>0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>
        <f>IFERROR(VLOOKUP(Table2[[#This Row], [Ticket]],Okey!A:B,2,0),"")</f>
        <v>0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>
        <f>IFERROR(VLOOKUP(Table2[[#This Row], [Ticket]],Okey!A:B,2,0),"")</f>
        <v>0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>
        <f>IFERROR(VLOOKUP(Table2[[#This Row], [Ticket]],Okey!A:B,2,0),"")</f>
        <v>0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>
        <f>IFERROR(VLOOKUP(Table2[[#This Row], [Ticket]],Okey!A:B,2,0),"")</f>
        <v>0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>
        <f>IFERROR(VLOOKUP(Table2[[#This Row], [Ticket]],Okey!A:B,2,0),"")</f>
        <v>0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 x14ac:dyDescent="0.25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>
        <f>IFERROR(VLOOKUP(Table2[[#This Row], [Ticket]],Okey!A:B,2,0),"")</f>
        <v>0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 x14ac:dyDescent="0.25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>
        <f>IFERROR(VLOOKUP(Table2[[#This Row], [Ticket]],Okey!A:B,2,0),"")</f>
        <v>0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 x14ac:dyDescent="0.25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>
        <f>IFERROR(VLOOKUP(Table2[[#This Row], [Ticket]],Okey!A:B,2,0),"")</f>
        <v>0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 x14ac:dyDescent="0.25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>
        <f>IFERROR(VLOOKUP(Table2[[#This Row], [Ticket]],Okey!A:B,2,0),"")</f>
        <v>0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 x14ac:dyDescent="0.25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>
        <f>IFERROR(VLOOKUP(Table2[[#This Row], [Ticket]],Okey!A:B,2,0),"")</f>
        <v>0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 x14ac:dyDescent="0.25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>
        <f>IFERROR(VLOOKUP(Table2[[#This Row], [Ticket]],Okey!A:B,2,0),"")</f>
        <v>0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 x14ac:dyDescent="0.25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/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 x14ac:dyDescent="0.25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/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 x14ac:dyDescent="0.25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/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 x14ac:dyDescent="0.25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/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 x14ac:dyDescent="0.25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/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 x14ac:dyDescent="0.25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/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 x14ac:dyDescent="0.25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/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 x14ac:dyDescent="0.25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/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 x14ac:dyDescent="0.25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/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 x14ac:dyDescent="0.25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/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 x14ac:dyDescent="0.25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/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 x14ac:dyDescent="0.25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/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 x14ac:dyDescent="0.25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/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 x14ac:dyDescent="0.25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/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 x14ac:dyDescent="0.25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/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 x14ac:dyDescent="0.25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/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 x14ac:dyDescent="0.25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/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 x14ac:dyDescent="0.25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/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 x14ac:dyDescent="0.25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/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 x14ac:dyDescent="0.25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/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 x14ac:dyDescent="0.25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/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 x14ac:dyDescent="0.25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/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 x14ac:dyDescent="0.25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/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 x14ac:dyDescent="0.25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/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 x14ac:dyDescent="0.25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/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 x14ac:dyDescent="0.25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/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 x14ac:dyDescent="0.25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/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 x14ac:dyDescent="0.25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/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 x14ac:dyDescent="0.25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/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 x14ac:dyDescent="0.25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/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 x14ac:dyDescent="0.25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/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 x14ac:dyDescent="0.25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/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 x14ac:dyDescent="0.25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/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 x14ac:dyDescent="0.25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/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 x14ac:dyDescent="0.25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/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 x14ac:dyDescent="0.25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/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 x14ac:dyDescent="0.25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/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 x14ac:dyDescent="0.25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/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 x14ac:dyDescent="0.25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/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 x14ac:dyDescent="0.25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/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 x14ac:dyDescent="0.25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/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 x14ac:dyDescent="0.25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/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 x14ac:dyDescent="0.25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/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 x14ac:dyDescent="0.25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/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 x14ac:dyDescent="0.25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/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 x14ac:dyDescent="0.25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/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 x14ac:dyDescent="0.25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/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/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/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/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/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/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/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/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/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/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/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/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/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/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/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/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/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/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/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 x14ac:dyDescent="0.25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/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 x14ac:dyDescent="0.25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/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 x14ac:dyDescent="0.25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/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 x14ac:dyDescent="0.25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/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 x14ac:dyDescent="0.25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/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 x14ac:dyDescent="0.25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/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 x14ac:dyDescent="0.25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/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 x14ac:dyDescent="0.25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/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 x14ac:dyDescent="0.25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/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 x14ac:dyDescent="0.25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/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 x14ac:dyDescent="0.25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/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 x14ac:dyDescent="0.25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/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 x14ac:dyDescent="0.25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/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 x14ac:dyDescent="0.25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/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 x14ac:dyDescent="0.25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/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 x14ac:dyDescent="0.25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/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 x14ac:dyDescent="0.25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/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 x14ac:dyDescent="0.25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/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 x14ac:dyDescent="0.25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/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 x14ac:dyDescent="0.25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/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 x14ac:dyDescent="0.25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/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 x14ac:dyDescent="0.25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/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 x14ac:dyDescent="0.25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/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 x14ac:dyDescent="0.25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/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 x14ac:dyDescent="0.25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/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 x14ac:dyDescent="0.25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/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 x14ac:dyDescent="0.25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/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 x14ac:dyDescent="0.25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/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 x14ac:dyDescent="0.25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/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 x14ac:dyDescent="0.25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/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 x14ac:dyDescent="0.25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/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 x14ac:dyDescent="0.25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/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 x14ac:dyDescent="0.25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/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 x14ac:dyDescent="0.25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/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 x14ac:dyDescent="0.25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/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 x14ac:dyDescent="0.25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/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 x14ac:dyDescent="0.25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/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 x14ac:dyDescent="0.25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/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 x14ac:dyDescent="0.25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/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 x14ac:dyDescent="0.25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/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 x14ac:dyDescent="0.25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/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 x14ac:dyDescent="0.25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/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 x14ac:dyDescent="0.25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/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 x14ac:dyDescent="0.25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/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 x14ac:dyDescent="0.25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/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 x14ac:dyDescent="0.25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/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 x14ac:dyDescent="0.25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/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 x14ac:dyDescent="0.25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/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 x14ac:dyDescent="0.25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/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 x14ac:dyDescent="0.25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/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 x14ac:dyDescent="0.25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/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 x14ac:dyDescent="0.25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/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 x14ac:dyDescent="0.25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/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 x14ac:dyDescent="0.25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/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 x14ac:dyDescent="0.25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/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 x14ac:dyDescent="0.25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/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 x14ac:dyDescent="0.25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/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 x14ac:dyDescent="0.25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/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 x14ac:dyDescent="0.25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/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 x14ac:dyDescent="0.25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/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 x14ac:dyDescent="0.25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/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 x14ac:dyDescent="0.25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/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 x14ac:dyDescent="0.25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/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 x14ac:dyDescent="0.25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/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 x14ac:dyDescent="0.25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/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 x14ac:dyDescent="0.25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/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 x14ac:dyDescent="0.25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/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 x14ac:dyDescent="0.25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/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 x14ac:dyDescent="0.25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/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 x14ac:dyDescent="0.25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/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 x14ac:dyDescent="0.25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/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 x14ac:dyDescent="0.25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/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 x14ac:dyDescent="0.25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/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 x14ac:dyDescent="0.25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/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 x14ac:dyDescent="0.25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/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 x14ac:dyDescent="0.25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/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 x14ac:dyDescent="0.25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/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 x14ac:dyDescent="0.25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/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 x14ac:dyDescent="0.25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/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 x14ac:dyDescent="0.25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/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 x14ac:dyDescent="0.25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/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 x14ac:dyDescent="0.25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/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 x14ac:dyDescent="0.25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/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 x14ac:dyDescent="0.25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/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 x14ac:dyDescent="0.25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/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 x14ac:dyDescent="0.25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/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 x14ac:dyDescent="0.25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/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 x14ac:dyDescent="0.25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/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 x14ac:dyDescent="0.25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/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 x14ac:dyDescent="0.25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/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 x14ac:dyDescent="0.25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/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 x14ac:dyDescent="0.25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/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 x14ac:dyDescent="0.25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/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 x14ac:dyDescent="0.25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/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 x14ac:dyDescent="0.25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/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 x14ac:dyDescent="0.25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/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 x14ac:dyDescent="0.25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/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 x14ac:dyDescent="0.25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/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 x14ac:dyDescent="0.25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/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 x14ac:dyDescent="0.25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/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 x14ac:dyDescent="0.25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/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 x14ac:dyDescent="0.25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/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 x14ac:dyDescent="0.25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/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 x14ac:dyDescent="0.25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/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 x14ac:dyDescent="0.25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/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 x14ac:dyDescent="0.25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/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 x14ac:dyDescent="0.25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/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 x14ac:dyDescent="0.25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/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 x14ac:dyDescent="0.25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/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 x14ac:dyDescent="0.25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/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 x14ac:dyDescent="0.25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/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 x14ac:dyDescent="0.25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/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 x14ac:dyDescent="0.25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 x14ac:dyDescent="0.25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 x14ac:dyDescent="0.25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 x14ac:dyDescent="0.25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 x14ac:dyDescent="0.25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 x14ac:dyDescent="0.25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 x14ac:dyDescent="0.25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 x14ac:dyDescent="0.25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 x14ac:dyDescent="0.25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 x14ac:dyDescent="0.25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 x14ac:dyDescent="0.25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/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 x14ac:dyDescent="0.25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 x14ac:dyDescent="0.25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 x14ac:dyDescent="0.25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 x14ac:dyDescent="0.25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 x14ac:dyDescent="0.25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 x14ac:dyDescent="0.25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 x14ac:dyDescent="0.25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 x14ac:dyDescent="0.25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 x14ac:dyDescent="0.25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 x14ac:dyDescent="0.25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 x14ac:dyDescent="0.25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 x14ac:dyDescent="0.25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 x14ac:dyDescent="0.25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 x14ac:dyDescent="0.25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 x14ac:dyDescent="0.25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 x14ac:dyDescent="0.25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 x14ac:dyDescent="0.25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 x14ac:dyDescent="0.25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 x14ac:dyDescent="0.25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 x14ac:dyDescent="0.25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 x14ac:dyDescent="0.25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 x14ac:dyDescent="0.25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 x14ac:dyDescent="0.25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 x14ac:dyDescent="0.25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 x14ac:dyDescent="0.25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 x14ac:dyDescent="0.25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 x14ac:dyDescent="0.25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 x14ac:dyDescent="0.25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 x14ac:dyDescent="0.25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 x14ac:dyDescent="0.25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 x14ac:dyDescent="0.25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 x14ac:dyDescent="0.25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 x14ac:dyDescent="0.25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 x14ac:dyDescent="0.25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 x14ac:dyDescent="0.25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 x14ac:dyDescent="0.25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 x14ac:dyDescent="0.25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 x14ac:dyDescent="0.25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 x14ac:dyDescent="0.25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 x14ac:dyDescent="0.25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 x14ac:dyDescent="0.25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 x14ac:dyDescent="0.25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 x14ac:dyDescent="0.25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 x14ac:dyDescent="0.25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 x14ac:dyDescent="0.25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 x14ac:dyDescent="0.25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 x14ac:dyDescent="0.25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 x14ac:dyDescent="0.25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 x14ac:dyDescent="0.25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 x14ac:dyDescent="0.25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 x14ac:dyDescent="0.25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 x14ac:dyDescent="0.25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 x14ac:dyDescent="0.25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 x14ac:dyDescent="0.25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 x14ac:dyDescent="0.25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 x14ac:dyDescent="0.25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 x14ac:dyDescent="0.25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 x14ac:dyDescent="0.25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 x14ac:dyDescent="0.25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 x14ac:dyDescent="0.25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/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 x14ac:dyDescent="0.25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/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 x14ac:dyDescent="0.25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/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 x14ac:dyDescent="0.25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/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 x14ac:dyDescent="0.25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/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 x14ac:dyDescent="0.25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/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 x14ac:dyDescent="0.25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/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 x14ac:dyDescent="0.25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/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 x14ac:dyDescent="0.25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/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 x14ac:dyDescent="0.25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/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 x14ac:dyDescent="0.25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/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 x14ac:dyDescent="0.25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/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 x14ac:dyDescent="0.25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/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 x14ac:dyDescent="0.25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/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 x14ac:dyDescent="0.25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/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 x14ac:dyDescent="0.25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/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 x14ac:dyDescent="0.25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/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 x14ac:dyDescent="0.25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/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 x14ac:dyDescent="0.25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/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 x14ac:dyDescent="0.25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/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 x14ac:dyDescent="0.25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/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 x14ac:dyDescent="0.25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/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>
        <f>IFERROR(VLOOKUP(Table2[[#This Row], [Ticket]],Okey!A:B,2,0),"")</f>
        <v>0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 x14ac:dyDescent="0.25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>
        <f>IFERROR(VLOOKUP(Table2[[#This Row], [Ticket]],Okey!A:B,2,0),"")</f>
        <v>0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 x14ac:dyDescent="0.25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>
        <f>IFERROR(VLOOKUP(Table2[[#This Row], [Ticket]],Okey!A:B,2,0),"")</f>
        <v>0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 x14ac:dyDescent="0.25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>
        <f>IFERROR(VLOOKUP(Table2[[#This Row], [Ticket]],Okey!A:B,2,0),"")</f>
        <v>0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 x14ac:dyDescent="0.25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>
        <f>IFERROR(VLOOKUP(Table2[[#This Row], [Ticket]],Okey!A:B,2,0),"")</f>
        <v>0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 x14ac:dyDescent="0.25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>
        <f>IFERROR(VLOOKUP(Table2[[#This Row], [Ticket]],Okey!A:B,2,0),"")</f>
        <v>0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>
        <f>IFERROR(VLOOKUP(Table2[[#This Row], [Ticket]],Okey!A:B,2,0),"")</f>
        <v>0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>
        <f>IFERROR(VLOOKUP(Table2[[#This Row], [Ticket]],Okey!A:B,2,0),"")</f>
        <v>0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>
        <f>IFERROR(VLOOKUP(Table2[[#This Row], [Ticket]],Okey!A:B,2,0),"")</f>
        <v>0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>
        <f>IFERROR(VLOOKUP(Table2[[#This Row], [Ticket]],Okey!A:B,2,0),"")</f>
        <v>0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>
        <f>IFERROR(VLOOKUP(Table2[[#This Row], [Ticket]],Okey!A:B,2,0),"")</f>
        <v>0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>
        <f>IFERROR(VLOOKUP(Table2[[#This Row], [Ticket]],Okey!A:B,2,0),"")</f>
        <v>0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>
        <f>IFERROR(VLOOKUP(Table2[[#This Row], [Ticket]],Okey!A:B,2,0),"")</f>
        <v>0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 x14ac:dyDescent="0.25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>
        <f>IFERROR(VLOOKUP(Table2[[#This Row], [Ticket]],Okey!A:B,2,0),"")</f>
        <v>0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 x14ac:dyDescent="0.25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>
        <f>IFERROR(VLOOKUP(Table2[[#This Row], [Ticket]],Okey!A:B,2,0),"")</f>
        <v>0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 x14ac:dyDescent="0.25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>
        <f>IFERROR(VLOOKUP(Table2[[#This Row], [Ticket]],Okey!A:B,2,0),"")</f>
        <v>0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 x14ac:dyDescent="0.25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>
        <f>IFERROR(VLOOKUP(Table2[[#This Row], [Ticket]],Okey!A:B,2,0),"")</f>
        <v>0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 x14ac:dyDescent="0.25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>
        <f>IFERROR(VLOOKUP(Table2[[#This Row], [Ticket]],Okey!A:B,2,0),"")</f>
        <v>0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 x14ac:dyDescent="0.25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>
        <f>IFERROR(VLOOKUP(Table2[[#This Row], [Ticket]],Okey!A:B,2,0),"")</f>
        <v>0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 x14ac:dyDescent="0.25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/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 x14ac:dyDescent="0.25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/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 x14ac:dyDescent="0.25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/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 x14ac:dyDescent="0.25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/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 x14ac:dyDescent="0.25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/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 x14ac:dyDescent="0.25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/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 x14ac:dyDescent="0.25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/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 x14ac:dyDescent="0.25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/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 x14ac:dyDescent="0.25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/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 x14ac:dyDescent="0.25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/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 x14ac:dyDescent="0.25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/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 x14ac:dyDescent="0.25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/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 x14ac:dyDescent="0.25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/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 x14ac:dyDescent="0.25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/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 x14ac:dyDescent="0.25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/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 x14ac:dyDescent="0.25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/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 x14ac:dyDescent="0.25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/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 x14ac:dyDescent="0.25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/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 x14ac:dyDescent="0.25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/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 x14ac:dyDescent="0.25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/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 x14ac:dyDescent="0.25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/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 x14ac:dyDescent="0.25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/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 x14ac:dyDescent="0.25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/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 x14ac:dyDescent="0.25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/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 x14ac:dyDescent="0.25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/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 x14ac:dyDescent="0.25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/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 x14ac:dyDescent="0.25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/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 x14ac:dyDescent="0.25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/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 x14ac:dyDescent="0.25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/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 x14ac:dyDescent="0.25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/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 x14ac:dyDescent="0.25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/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 x14ac:dyDescent="0.25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/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 x14ac:dyDescent="0.25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/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 x14ac:dyDescent="0.25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/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 x14ac:dyDescent="0.25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/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 x14ac:dyDescent="0.25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/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 x14ac:dyDescent="0.25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/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 x14ac:dyDescent="0.25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/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 x14ac:dyDescent="0.25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/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 x14ac:dyDescent="0.25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/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 x14ac:dyDescent="0.25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/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 x14ac:dyDescent="0.25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/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 x14ac:dyDescent="0.25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/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 x14ac:dyDescent="0.25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/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 x14ac:dyDescent="0.25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/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 x14ac:dyDescent="0.25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/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 x14ac:dyDescent="0.25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/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/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/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/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/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/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/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/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/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/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/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/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/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/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/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/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/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/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/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 x14ac:dyDescent="0.25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/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 x14ac:dyDescent="0.25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/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 x14ac:dyDescent="0.25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/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 x14ac:dyDescent="0.25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/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 x14ac:dyDescent="0.25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/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 x14ac:dyDescent="0.25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/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 x14ac:dyDescent="0.25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/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 x14ac:dyDescent="0.25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/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 x14ac:dyDescent="0.25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/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 x14ac:dyDescent="0.25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/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 x14ac:dyDescent="0.25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/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 x14ac:dyDescent="0.25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/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 x14ac:dyDescent="0.25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/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 x14ac:dyDescent="0.25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/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 x14ac:dyDescent="0.25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/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 x14ac:dyDescent="0.25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/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 x14ac:dyDescent="0.25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/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 x14ac:dyDescent="0.25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/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 x14ac:dyDescent="0.25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/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 x14ac:dyDescent="0.25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/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 x14ac:dyDescent="0.25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/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 x14ac:dyDescent="0.25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/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 x14ac:dyDescent="0.25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/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 x14ac:dyDescent="0.25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/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 x14ac:dyDescent="0.25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/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 x14ac:dyDescent="0.25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/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 x14ac:dyDescent="0.25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/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 x14ac:dyDescent="0.25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/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 x14ac:dyDescent="0.25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/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 x14ac:dyDescent="0.25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/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 x14ac:dyDescent="0.25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/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 x14ac:dyDescent="0.25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/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 x14ac:dyDescent="0.25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/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 x14ac:dyDescent="0.25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/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 x14ac:dyDescent="0.25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/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 x14ac:dyDescent="0.25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/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 x14ac:dyDescent="0.25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/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 x14ac:dyDescent="0.25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/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 x14ac:dyDescent="0.25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/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 x14ac:dyDescent="0.25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/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 x14ac:dyDescent="0.25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/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 x14ac:dyDescent="0.25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/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 x14ac:dyDescent="0.25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/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 x14ac:dyDescent="0.25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/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 x14ac:dyDescent="0.25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/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 x14ac:dyDescent="0.25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/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 x14ac:dyDescent="0.25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/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 x14ac:dyDescent="0.25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/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 x14ac:dyDescent="0.25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/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 x14ac:dyDescent="0.25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/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 x14ac:dyDescent="0.25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/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 x14ac:dyDescent="0.25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/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 x14ac:dyDescent="0.25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/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 x14ac:dyDescent="0.25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/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 x14ac:dyDescent="0.25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/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 x14ac:dyDescent="0.25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/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 x14ac:dyDescent="0.25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/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 x14ac:dyDescent="0.25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/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 x14ac:dyDescent="0.25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/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 x14ac:dyDescent="0.25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/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 x14ac:dyDescent="0.25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/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 x14ac:dyDescent="0.25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/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 x14ac:dyDescent="0.25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/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 x14ac:dyDescent="0.25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/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 x14ac:dyDescent="0.25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/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 x14ac:dyDescent="0.25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/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 x14ac:dyDescent="0.25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/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 x14ac:dyDescent="0.25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/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 x14ac:dyDescent="0.25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/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 x14ac:dyDescent="0.25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/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 x14ac:dyDescent="0.25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/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 x14ac:dyDescent="0.25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/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 x14ac:dyDescent="0.25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/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 x14ac:dyDescent="0.25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/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 x14ac:dyDescent="0.25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/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 x14ac:dyDescent="0.25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/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 x14ac:dyDescent="0.25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/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 x14ac:dyDescent="0.25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/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 x14ac:dyDescent="0.25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/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 x14ac:dyDescent="0.25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/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 x14ac:dyDescent="0.25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/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 x14ac:dyDescent="0.25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/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 x14ac:dyDescent="0.25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/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 x14ac:dyDescent="0.25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/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 x14ac:dyDescent="0.25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/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 x14ac:dyDescent="0.25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/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 x14ac:dyDescent="0.25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/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 x14ac:dyDescent="0.25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/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 x14ac:dyDescent="0.25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/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 x14ac:dyDescent="0.25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/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 x14ac:dyDescent="0.25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/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 x14ac:dyDescent="0.25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/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 x14ac:dyDescent="0.25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/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 x14ac:dyDescent="0.25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/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 x14ac:dyDescent="0.25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/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 x14ac:dyDescent="0.25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/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 x14ac:dyDescent="0.25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/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 x14ac:dyDescent="0.25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/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 x14ac:dyDescent="0.25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/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 x14ac:dyDescent="0.25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/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 x14ac:dyDescent="0.25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/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 x14ac:dyDescent="0.25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/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 x14ac:dyDescent="0.25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/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 x14ac:dyDescent="0.25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/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 x14ac:dyDescent="0.25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/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 x14ac:dyDescent="0.25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/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 x14ac:dyDescent="0.25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/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 x14ac:dyDescent="0.25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/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 x14ac:dyDescent="0.25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/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 x14ac:dyDescent="0.25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/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 x14ac:dyDescent="0.25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/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 x14ac:dyDescent="0.25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/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 x14ac:dyDescent="0.25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 x14ac:dyDescent="0.25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 x14ac:dyDescent="0.25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 x14ac:dyDescent="0.25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 x14ac:dyDescent="0.25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 x14ac:dyDescent="0.25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 x14ac:dyDescent="0.25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 x14ac:dyDescent="0.25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 x14ac:dyDescent="0.25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 x14ac:dyDescent="0.25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 x14ac:dyDescent="0.25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/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 x14ac:dyDescent="0.25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 x14ac:dyDescent="0.25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 x14ac:dyDescent="0.25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 x14ac:dyDescent="0.25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 x14ac:dyDescent="0.25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 x14ac:dyDescent="0.25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 x14ac:dyDescent="0.25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 x14ac:dyDescent="0.25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 x14ac:dyDescent="0.25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 x14ac:dyDescent="0.25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 x14ac:dyDescent="0.25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 x14ac:dyDescent="0.25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 x14ac:dyDescent="0.25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 x14ac:dyDescent="0.25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 x14ac:dyDescent="0.25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 x14ac:dyDescent="0.25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 x14ac:dyDescent="0.25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 x14ac:dyDescent="0.25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 x14ac:dyDescent="0.25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 x14ac:dyDescent="0.25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 x14ac:dyDescent="0.25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 x14ac:dyDescent="0.25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 x14ac:dyDescent="0.25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 x14ac:dyDescent="0.25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 x14ac:dyDescent="0.25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 x14ac:dyDescent="0.25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 x14ac:dyDescent="0.25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 x14ac:dyDescent="0.25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 x14ac:dyDescent="0.25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 x14ac:dyDescent="0.25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 x14ac:dyDescent="0.25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 x14ac:dyDescent="0.25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 x14ac:dyDescent="0.25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 x14ac:dyDescent="0.25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 x14ac:dyDescent="0.25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 x14ac:dyDescent="0.25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 x14ac:dyDescent="0.25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 x14ac:dyDescent="0.25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 x14ac:dyDescent="0.25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 x14ac:dyDescent="0.25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 x14ac:dyDescent="0.25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 x14ac:dyDescent="0.25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 x14ac:dyDescent="0.25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 x14ac:dyDescent="0.25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 x14ac:dyDescent="0.25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 x14ac:dyDescent="0.25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 x14ac:dyDescent="0.25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 x14ac:dyDescent="0.25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 x14ac:dyDescent="0.25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 x14ac:dyDescent="0.25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 x14ac:dyDescent="0.25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 x14ac:dyDescent="0.25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 x14ac:dyDescent="0.25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 x14ac:dyDescent="0.25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 x14ac:dyDescent="0.25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 x14ac:dyDescent="0.25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 x14ac:dyDescent="0.25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 x14ac:dyDescent="0.25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 x14ac:dyDescent="0.25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 x14ac:dyDescent="0.25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/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 x14ac:dyDescent="0.25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/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 x14ac:dyDescent="0.25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/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 x14ac:dyDescent="0.25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/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 x14ac:dyDescent="0.25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/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 x14ac:dyDescent="0.25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/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 x14ac:dyDescent="0.25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/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 x14ac:dyDescent="0.25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/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 x14ac:dyDescent="0.25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/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 x14ac:dyDescent="0.25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/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 x14ac:dyDescent="0.25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/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 x14ac:dyDescent="0.25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/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 x14ac:dyDescent="0.25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/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 x14ac:dyDescent="0.25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/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 x14ac:dyDescent="0.25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/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 x14ac:dyDescent="0.25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/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 x14ac:dyDescent="0.25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/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 x14ac:dyDescent="0.25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/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 x14ac:dyDescent="0.25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/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 x14ac:dyDescent="0.25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/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 x14ac:dyDescent="0.25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/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 x14ac:dyDescent="0.25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/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 x14ac:dyDescent="0.25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/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 x14ac:dyDescent="0.25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/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 x14ac:dyDescent="0.25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/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 x14ac:dyDescent="0.25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/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 x14ac:dyDescent="0.25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/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 x14ac:dyDescent="0.25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/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 x14ac:dyDescent="0.25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/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 x14ac:dyDescent="0.25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/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 x14ac:dyDescent="0.25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/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 x14ac:dyDescent="0.25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/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 x14ac:dyDescent="0.25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/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 x14ac:dyDescent="0.25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/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 x14ac:dyDescent="0.25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/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 x14ac:dyDescent="0.25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/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 x14ac:dyDescent="0.25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/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 x14ac:dyDescent="0.25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/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 x14ac:dyDescent="0.25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/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 x14ac:dyDescent="0.25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/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 x14ac:dyDescent="0.25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/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 x14ac:dyDescent="0.25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/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 x14ac:dyDescent="0.25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/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 x14ac:dyDescent="0.25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/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 x14ac:dyDescent="0.25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/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 x14ac:dyDescent="0.25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/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 x14ac:dyDescent="0.25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/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 x14ac:dyDescent="0.25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/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 x14ac:dyDescent="0.25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/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 x14ac:dyDescent="0.25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/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 x14ac:dyDescent="0.25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/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 x14ac:dyDescent="0.25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/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 x14ac:dyDescent="0.25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/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 x14ac:dyDescent="0.25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/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 x14ac:dyDescent="0.25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/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 x14ac:dyDescent="0.25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/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 x14ac:dyDescent="0.25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/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 x14ac:dyDescent="0.25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/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 x14ac:dyDescent="0.25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/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 x14ac:dyDescent="0.25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/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 x14ac:dyDescent="0.25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/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 x14ac:dyDescent="0.25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/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 x14ac:dyDescent="0.25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/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 x14ac:dyDescent="0.25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/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 x14ac:dyDescent="0.25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/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 x14ac:dyDescent="0.25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/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 x14ac:dyDescent="0.25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/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 x14ac:dyDescent="0.25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/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 x14ac:dyDescent="0.25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/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 x14ac:dyDescent="0.25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/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 x14ac:dyDescent="0.25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/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 x14ac:dyDescent="0.25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/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 x14ac:dyDescent="0.25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/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 x14ac:dyDescent="0.25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/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 x14ac:dyDescent="0.25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/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 x14ac:dyDescent="0.25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/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 x14ac:dyDescent="0.25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/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 x14ac:dyDescent="0.25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/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 x14ac:dyDescent="0.25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/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 x14ac:dyDescent="0.25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/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 x14ac:dyDescent="0.25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/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 x14ac:dyDescent="0.25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/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 x14ac:dyDescent="0.25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/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 x14ac:dyDescent="0.25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/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 x14ac:dyDescent="0.25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/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 x14ac:dyDescent="0.25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/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 x14ac:dyDescent="0.25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/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 x14ac:dyDescent="0.25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/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 x14ac:dyDescent="0.25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/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 x14ac:dyDescent="0.25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/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 x14ac:dyDescent="0.25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/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 x14ac:dyDescent="0.25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/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 x14ac:dyDescent="0.25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/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 x14ac:dyDescent="0.25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/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 x14ac:dyDescent="0.25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/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 x14ac:dyDescent="0.25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/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 x14ac:dyDescent="0.25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/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 x14ac:dyDescent="0.25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/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 x14ac:dyDescent="0.25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/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 x14ac:dyDescent="0.25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/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 x14ac:dyDescent="0.25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/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 x14ac:dyDescent="0.25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/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 x14ac:dyDescent="0.25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/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 x14ac:dyDescent="0.25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/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 x14ac:dyDescent="0.25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/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 x14ac:dyDescent="0.25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/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 x14ac:dyDescent="0.25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/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 x14ac:dyDescent="0.25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/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 x14ac:dyDescent="0.25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/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 x14ac:dyDescent="0.25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/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 x14ac:dyDescent="0.25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/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 x14ac:dyDescent="0.25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/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 x14ac:dyDescent="0.25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/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 x14ac:dyDescent="0.25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/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 x14ac:dyDescent="0.25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/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 x14ac:dyDescent="0.25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/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 x14ac:dyDescent="0.25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/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 x14ac:dyDescent="0.25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/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 x14ac:dyDescent="0.25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/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 x14ac:dyDescent="0.25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/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 x14ac:dyDescent="0.25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/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 x14ac:dyDescent="0.25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/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 x14ac:dyDescent="0.25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/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 x14ac:dyDescent="0.25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/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 x14ac:dyDescent="0.25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/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 x14ac:dyDescent="0.25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/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 x14ac:dyDescent="0.25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/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 x14ac:dyDescent="0.25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/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 x14ac:dyDescent="0.25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/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 x14ac:dyDescent="0.25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/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 x14ac:dyDescent="0.25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/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 x14ac:dyDescent="0.25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/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 x14ac:dyDescent="0.25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/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 x14ac:dyDescent="0.25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/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 x14ac:dyDescent="0.25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/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 x14ac:dyDescent="0.25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/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 x14ac:dyDescent="0.25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/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 x14ac:dyDescent="0.25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/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 x14ac:dyDescent="0.25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/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 x14ac:dyDescent="0.25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/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 x14ac:dyDescent="0.25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/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 x14ac:dyDescent="0.25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/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 x14ac:dyDescent="0.25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/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 x14ac:dyDescent="0.25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/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 x14ac:dyDescent="0.25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/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 x14ac:dyDescent="0.25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/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 x14ac:dyDescent="0.25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/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 x14ac:dyDescent="0.25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/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 x14ac:dyDescent="0.25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/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 x14ac:dyDescent="0.25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/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 x14ac:dyDescent="0.25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/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 x14ac:dyDescent="0.25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/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 x14ac:dyDescent="0.25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/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 x14ac:dyDescent="0.25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/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 x14ac:dyDescent="0.25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/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 x14ac:dyDescent="0.25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/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 x14ac:dyDescent="0.25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/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 x14ac:dyDescent="0.25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/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 x14ac:dyDescent="0.25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/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 x14ac:dyDescent="0.25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/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 x14ac:dyDescent="0.25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/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 x14ac:dyDescent="0.25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/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 x14ac:dyDescent="0.25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/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 x14ac:dyDescent="0.25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/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 x14ac:dyDescent="0.25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/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 x14ac:dyDescent="0.25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/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 x14ac:dyDescent="0.25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/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 x14ac:dyDescent="0.25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/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 x14ac:dyDescent="0.25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/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 x14ac:dyDescent="0.25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/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 x14ac:dyDescent="0.25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/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 x14ac:dyDescent="0.25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/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 x14ac:dyDescent="0.25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/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 x14ac:dyDescent="0.25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/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 x14ac:dyDescent="0.25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/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 x14ac:dyDescent="0.25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/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 x14ac:dyDescent="0.25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/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 x14ac:dyDescent="0.25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/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 x14ac:dyDescent="0.25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/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 x14ac:dyDescent="0.25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/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 x14ac:dyDescent="0.25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/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 x14ac:dyDescent="0.25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/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 x14ac:dyDescent="0.25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/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 x14ac:dyDescent="0.25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/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 x14ac:dyDescent="0.25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/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 x14ac:dyDescent="0.25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/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 x14ac:dyDescent="0.25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/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 x14ac:dyDescent="0.25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/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 x14ac:dyDescent="0.25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/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 x14ac:dyDescent="0.25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/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 x14ac:dyDescent="0.25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/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 x14ac:dyDescent="0.25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/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 x14ac:dyDescent="0.25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/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 x14ac:dyDescent="0.25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/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 x14ac:dyDescent="0.25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/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 x14ac:dyDescent="0.25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/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 x14ac:dyDescent="0.25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/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 x14ac:dyDescent="0.25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/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 x14ac:dyDescent="0.25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/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 x14ac:dyDescent="0.25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/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 x14ac:dyDescent="0.25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/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 x14ac:dyDescent="0.25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/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 x14ac:dyDescent="0.25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/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 x14ac:dyDescent="0.25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/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 x14ac:dyDescent="0.25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/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 x14ac:dyDescent="0.25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/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 x14ac:dyDescent="0.25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/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 x14ac:dyDescent="0.25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/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 x14ac:dyDescent="0.25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/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 x14ac:dyDescent="0.25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/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 x14ac:dyDescent="0.25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/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 x14ac:dyDescent="0.25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/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 x14ac:dyDescent="0.25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/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 x14ac:dyDescent="0.25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/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 x14ac:dyDescent="0.25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/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 x14ac:dyDescent="0.25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/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 x14ac:dyDescent="0.25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/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 x14ac:dyDescent="0.25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/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 x14ac:dyDescent="0.25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/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 x14ac:dyDescent="0.25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/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 x14ac:dyDescent="0.25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/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 x14ac:dyDescent="0.25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/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 x14ac:dyDescent="0.25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/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 x14ac:dyDescent="0.25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/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 x14ac:dyDescent="0.25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/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 x14ac:dyDescent="0.25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/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 x14ac:dyDescent="0.25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/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 x14ac:dyDescent="0.25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/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 x14ac:dyDescent="0.25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/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 x14ac:dyDescent="0.25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/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 x14ac:dyDescent="0.25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/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 x14ac:dyDescent="0.25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/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 x14ac:dyDescent="0.25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/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 x14ac:dyDescent="0.25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/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 x14ac:dyDescent="0.25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/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 x14ac:dyDescent="0.25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/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 x14ac:dyDescent="0.25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/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 x14ac:dyDescent="0.25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/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 x14ac:dyDescent="0.25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/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 x14ac:dyDescent="0.25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/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 x14ac:dyDescent="0.25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/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 x14ac:dyDescent="0.25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/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 x14ac:dyDescent="0.25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/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 x14ac:dyDescent="0.25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/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 x14ac:dyDescent="0.25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/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 x14ac:dyDescent="0.25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/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 x14ac:dyDescent="0.25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/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 x14ac:dyDescent="0.25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/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 x14ac:dyDescent="0.25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/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 x14ac:dyDescent="0.25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/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 x14ac:dyDescent="0.25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/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 x14ac:dyDescent="0.25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/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 x14ac:dyDescent="0.25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/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 x14ac:dyDescent="0.25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/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 x14ac:dyDescent="0.25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/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 x14ac:dyDescent="0.25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/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 x14ac:dyDescent="0.25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/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 x14ac:dyDescent="0.25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/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 x14ac:dyDescent="0.25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/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 x14ac:dyDescent="0.25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/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 x14ac:dyDescent="0.25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/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 x14ac:dyDescent="0.25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/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 x14ac:dyDescent="0.25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/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 x14ac:dyDescent="0.25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/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 x14ac:dyDescent="0.25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/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 x14ac:dyDescent="0.25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/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 x14ac:dyDescent="0.25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/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 x14ac:dyDescent="0.25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/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 x14ac:dyDescent="0.25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/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 x14ac:dyDescent="0.25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/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 x14ac:dyDescent="0.25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/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 x14ac:dyDescent="0.25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/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 x14ac:dyDescent="0.25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/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 x14ac:dyDescent="0.25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/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 x14ac:dyDescent="0.25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/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 x14ac:dyDescent="0.25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/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 x14ac:dyDescent="0.25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/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 x14ac:dyDescent="0.25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/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 x14ac:dyDescent="0.25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/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 x14ac:dyDescent="0.25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/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 x14ac:dyDescent="0.25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/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 x14ac:dyDescent="0.25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/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 x14ac:dyDescent="0.25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/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 x14ac:dyDescent="0.25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/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 x14ac:dyDescent="0.25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/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 x14ac:dyDescent="0.25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/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 x14ac:dyDescent="0.25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/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 x14ac:dyDescent="0.25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/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 x14ac:dyDescent="0.25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/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 x14ac:dyDescent="0.25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/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 x14ac:dyDescent="0.25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/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 x14ac:dyDescent="0.25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/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 x14ac:dyDescent="0.25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/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 x14ac:dyDescent="0.25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/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 x14ac:dyDescent="0.25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/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 x14ac:dyDescent="0.25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/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 x14ac:dyDescent="0.25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/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 x14ac:dyDescent="0.25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/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 x14ac:dyDescent="0.25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/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 x14ac:dyDescent="0.25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/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 x14ac:dyDescent="0.25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/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 x14ac:dyDescent="0.25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/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 x14ac:dyDescent="0.25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/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 x14ac:dyDescent="0.25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/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 x14ac:dyDescent="0.25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/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 x14ac:dyDescent="0.25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/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 x14ac:dyDescent="0.25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/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 x14ac:dyDescent="0.25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/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 x14ac:dyDescent="0.25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/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 x14ac:dyDescent="0.25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/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 x14ac:dyDescent="0.25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/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 x14ac:dyDescent="0.25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/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 x14ac:dyDescent="0.25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/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 x14ac:dyDescent="0.25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/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 x14ac:dyDescent="0.25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/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 x14ac:dyDescent="0.25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/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 x14ac:dyDescent="0.25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/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 x14ac:dyDescent="0.25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/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 x14ac:dyDescent="0.25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/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 x14ac:dyDescent="0.25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/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 x14ac:dyDescent="0.25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/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 x14ac:dyDescent="0.25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/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 x14ac:dyDescent="0.25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/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 x14ac:dyDescent="0.25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/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 x14ac:dyDescent="0.25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/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 x14ac:dyDescent="0.25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/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 x14ac:dyDescent="0.25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/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 x14ac:dyDescent="0.25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/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 x14ac:dyDescent="0.25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/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 x14ac:dyDescent="0.25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/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 x14ac:dyDescent="0.25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/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 x14ac:dyDescent="0.25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/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 x14ac:dyDescent="0.25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/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 x14ac:dyDescent="0.25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/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 x14ac:dyDescent="0.25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/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 x14ac:dyDescent="0.25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/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 x14ac:dyDescent="0.25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/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 x14ac:dyDescent="0.25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/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 x14ac:dyDescent="0.25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/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 x14ac:dyDescent="0.25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/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 x14ac:dyDescent="0.25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/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 x14ac:dyDescent="0.25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/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 x14ac:dyDescent="0.25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/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 x14ac:dyDescent="0.25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/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 x14ac:dyDescent="0.25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/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 x14ac:dyDescent="0.25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/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 x14ac:dyDescent="0.25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/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 x14ac:dyDescent="0.25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/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 x14ac:dyDescent="0.25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/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 x14ac:dyDescent="0.25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/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 x14ac:dyDescent="0.25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/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 x14ac:dyDescent="0.25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/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 x14ac:dyDescent="0.25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/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 x14ac:dyDescent="0.25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/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 x14ac:dyDescent="0.25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/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 x14ac:dyDescent="0.25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/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 x14ac:dyDescent="0.25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/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 x14ac:dyDescent="0.25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/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 x14ac:dyDescent="0.25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/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 x14ac:dyDescent="0.25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/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 x14ac:dyDescent="0.25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/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 x14ac:dyDescent="0.25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/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 x14ac:dyDescent="0.25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/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 x14ac:dyDescent="0.25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/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 x14ac:dyDescent="0.25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/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 x14ac:dyDescent="0.25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/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 x14ac:dyDescent="0.25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/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 x14ac:dyDescent="0.25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/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 x14ac:dyDescent="0.25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/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 x14ac:dyDescent="0.25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/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 x14ac:dyDescent="0.25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/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 x14ac:dyDescent="0.25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/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 x14ac:dyDescent="0.25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/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 x14ac:dyDescent="0.25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/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 x14ac:dyDescent="0.25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/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 x14ac:dyDescent="0.25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/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 x14ac:dyDescent="0.25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/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 x14ac:dyDescent="0.25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/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 x14ac:dyDescent="0.25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/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 x14ac:dyDescent="0.25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/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 x14ac:dyDescent="0.25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/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 x14ac:dyDescent="0.25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/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 x14ac:dyDescent="0.25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/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 x14ac:dyDescent="0.25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/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 x14ac:dyDescent="0.25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/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 x14ac:dyDescent="0.25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/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 x14ac:dyDescent="0.25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/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 x14ac:dyDescent="0.25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/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 x14ac:dyDescent="0.25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/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 x14ac:dyDescent="0.25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/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 x14ac:dyDescent="0.25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/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 x14ac:dyDescent="0.25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/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 x14ac:dyDescent="0.25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/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 x14ac:dyDescent="0.25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/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 x14ac:dyDescent="0.25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/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 x14ac:dyDescent="0.25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/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 x14ac:dyDescent="0.25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/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 x14ac:dyDescent="0.25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/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 x14ac:dyDescent="0.25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/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 x14ac:dyDescent="0.25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/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 x14ac:dyDescent="0.25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/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 x14ac:dyDescent="0.25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/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 x14ac:dyDescent="0.25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/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 x14ac:dyDescent="0.25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/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 x14ac:dyDescent="0.25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/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 x14ac:dyDescent="0.25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/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 x14ac:dyDescent="0.25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/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 x14ac:dyDescent="0.25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/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 x14ac:dyDescent="0.25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/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 x14ac:dyDescent="0.25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/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 x14ac:dyDescent="0.25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/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 x14ac:dyDescent="0.25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/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 x14ac:dyDescent="0.25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/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 x14ac:dyDescent="0.25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/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 x14ac:dyDescent="0.25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/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 x14ac:dyDescent="0.25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/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 x14ac:dyDescent="0.25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/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 x14ac:dyDescent="0.25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/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 x14ac:dyDescent="0.25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/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 x14ac:dyDescent="0.25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/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 x14ac:dyDescent="0.25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/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 x14ac:dyDescent="0.25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/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 x14ac:dyDescent="0.25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/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 x14ac:dyDescent="0.25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/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 x14ac:dyDescent="0.25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/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 x14ac:dyDescent="0.25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/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 x14ac:dyDescent="0.25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/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 x14ac:dyDescent="0.25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/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 x14ac:dyDescent="0.25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/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 x14ac:dyDescent="0.25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/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 x14ac:dyDescent="0.25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/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 x14ac:dyDescent="0.25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/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 x14ac:dyDescent="0.25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/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 x14ac:dyDescent="0.25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/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 x14ac:dyDescent="0.25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/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 x14ac:dyDescent="0.25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/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 x14ac:dyDescent="0.25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/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 x14ac:dyDescent="0.25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/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 x14ac:dyDescent="0.25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/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 x14ac:dyDescent="0.25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/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 x14ac:dyDescent="0.25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/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 x14ac:dyDescent="0.25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/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 x14ac:dyDescent="0.25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/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 x14ac:dyDescent="0.25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/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 x14ac:dyDescent="0.25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/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 x14ac:dyDescent="0.25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/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 x14ac:dyDescent="0.25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/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 x14ac:dyDescent="0.25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/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 x14ac:dyDescent="0.25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/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 x14ac:dyDescent="0.25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/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 x14ac:dyDescent="0.25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/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 x14ac:dyDescent="0.25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/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 x14ac:dyDescent="0.25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/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 x14ac:dyDescent="0.25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/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 x14ac:dyDescent="0.25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/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 x14ac:dyDescent="0.25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/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 x14ac:dyDescent="0.25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/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 x14ac:dyDescent="0.25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/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 x14ac:dyDescent="0.25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/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 x14ac:dyDescent="0.25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/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 x14ac:dyDescent="0.25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/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 x14ac:dyDescent="0.25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/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 x14ac:dyDescent="0.25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/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 x14ac:dyDescent="0.25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/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 x14ac:dyDescent="0.25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/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 x14ac:dyDescent="0.25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/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 x14ac:dyDescent="0.25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/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 x14ac:dyDescent="0.25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/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 x14ac:dyDescent="0.25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/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 x14ac:dyDescent="0.25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/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 x14ac:dyDescent="0.25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/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 x14ac:dyDescent="0.25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/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 x14ac:dyDescent="0.25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/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 x14ac:dyDescent="0.25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/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 x14ac:dyDescent="0.25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/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 x14ac:dyDescent="0.25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/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 x14ac:dyDescent="0.25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/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 x14ac:dyDescent="0.25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/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 x14ac:dyDescent="0.25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/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 x14ac:dyDescent="0.25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/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 x14ac:dyDescent="0.25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/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 x14ac:dyDescent="0.25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/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 x14ac:dyDescent="0.25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/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 x14ac:dyDescent="0.25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/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 x14ac:dyDescent="0.25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/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 x14ac:dyDescent="0.25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/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 x14ac:dyDescent="0.25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/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 x14ac:dyDescent="0.25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/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 x14ac:dyDescent="0.25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/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 x14ac:dyDescent="0.25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/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 x14ac:dyDescent="0.25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/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 x14ac:dyDescent="0.25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/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 x14ac:dyDescent="0.25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/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 x14ac:dyDescent="0.25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/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 x14ac:dyDescent="0.25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/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 x14ac:dyDescent="0.25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/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 x14ac:dyDescent="0.25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/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 x14ac:dyDescent="0.25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/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 x14ac:dyDescent="0.25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/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 x14ac:dyDescent="0.25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/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 x14ac:dyDescent="0.25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/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 x14ac:dyDescent="0.25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/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 x14ac:dyDescent="0.25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/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 x14ac:dyDescent="0.25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/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 x14ac:dyDescent="0.25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/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 x14ac:dyDescent="0.25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/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 x14ac:dyDescent="0.25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/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 x14ac:dyDescent="0.25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/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 x14ac:dyDescent="0.25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/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 x14ac:dyDescent="0.25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/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 x14ac:dyDescent="0.25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/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 x14ac:dyDescent="0.25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/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 x14ac:dyDescent="0.25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/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 x14ac:dyDescent="0.25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/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 x14ac:dyDescent="0.25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/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 x14ac:dyDescent="0.25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/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 x14ac:dyDescent="0.25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/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 x14ac:dyDescent="0.25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/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 x14ac:dyDescent="0.25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/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 x14ac:dyDescent="0.25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/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 x14ac:dyDescent="0.25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/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 x14ac:dyDescent="0.25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/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 x14ac:dyDescent="0.25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/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 x14ac:dyDescent="0.25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/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 x14ac:dyDescent="0.25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/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 x14ac:dyDescent="0.25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/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 x14ac:dyDescent="0.25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/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 x14ac:dyDescent="0.25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/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 x14ac:dyDescent="0.25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/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 x14ac:dyDescent="0.25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/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 x14ac:dyDescent="0.25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/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 x14ac:dyDescent="0.25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/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 x14ac:dyDescent="0.25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/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 x14ac:dyDescent="0.25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/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 x14ac:dyDescent="0.25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/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 x14ac:dyDescent="0.25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/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 x14ac:dyDescent="0.25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/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 x14ac:dyDescent="0.25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/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 x14ac:dyDescent="0.25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/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 x14ac:dyDescent="0.25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/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 x14ac:dyDescent="0.25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/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 x14ac:dyDescent="0.25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/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 x14ac:dyDescent="0.25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/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 x14ac:dyDescent="0.25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/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 x14ac:dyDescent="0.25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/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 x14ac:dyDescent="0.25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/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 x14ac:dyDescent="0.25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/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 x14ac:dyDescent="0.25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/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 x14ac:dyDescent="0.25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/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 x14ac:dyDescent="0.25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/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 x14ac:dyDescent="0.25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/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 x14ac:dyDescent="0.25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/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 x14ac:dyDescent="0.25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/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 x14ac:dyDescent="0.25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/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 x14ac:dyDescent="0.25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/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 x14ac:dyDescent="0.25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/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 x14ac:dyDescent="0.25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/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 x14ac:dyDescent="0.25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/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 x14ac:dyDescent="0.25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/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 x14ac:dyDescent="0.25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/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 x14ac:dyDescent="0.25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/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 x14ac:dyDescent="0.25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/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 x14ac:dyDescent="0.25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/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 x14ac:dyDescent="0.25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/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 x14ac:dyDescent="0.25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/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 x14ac:dyDescent="0.25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/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 x14ac:dyDescent="0.25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/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 x14ac:dyDescent="0.25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/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 x14ac:dyDescent="0.25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/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 x14ac:dyDescent="0.25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/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 x14ac:dyDescent="0.25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/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 x14ac:dyDescent="0.25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/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 x14ac:dyDescent="0.25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/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 x14ac:dyDescent="0.25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/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 x14ac:dyDescent="0.25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/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 x14ac:dyDescent="0.25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/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 x14ac:dyDescent="0.25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/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 x14ac:dyDescent="0.25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/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 x14ac:dyDescent="0.25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/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 x14ac:dyDescent="0.25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/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 x14ac:dyDescent="0.25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/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 x14ac:dyDescent="0.25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/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 x14ac:dyDescent="0.25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/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 x14ac:dyDescent="0.25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/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 x14ac:dyDescent="0.25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/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 x14ac:dyDescent="0.25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/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 x14ac:dyDescent="0.25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/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 x14ac:dyDescent="0.25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/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 x14ac:dyDescent="0.25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/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 x14ac:dyDescent="0.25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/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 x14ac:dyDescent="0.25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/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 x14ac:dyDescent="0.25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/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 x14ac:dyDescent="0.25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/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 x14ac:dyDescent="0.25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/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 x14ac:dyDescent="0.25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/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 x14ac:dyDescent="0.25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/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 x14ac:dyDescent="0.25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/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 x14ac:dyDescent="0.25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/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 x14ac:dyDescent="0.25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/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 x14ac:dyDescent="0.25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/>
      </c>
      <c r="I868" s="47" t="s">
        <v>5290</v>
      </c>
      <c r="J868" s="47" t="e">
        <f>VLOOKUP(Table2[[#This Row], [Author]],People!A:B,2,0)</f>
        <v>#VALUE!</v>
      </c>
      <c r="K868" s="47" t="s">
        <v>6396</v>
      </c>
      <c r="L868" s="47"/>
      <c r="M868" s="49" t="s">
        <v>6110</v>
      </c>
    </row>
    <row r="869" spans="1:13" x14ac:dyDescent="0.25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/>
      </c>
      <c r="I869" s="47" t="s">
        <v>5290</v>
      </c>
      <c r="J869" s="47" t="e">
        <f>VLOOKUP(Table2[[#This Row], [Author]],People!A:B,2,0)</f>
        <v>#VALUE!</v>
      </c>
      <c r="K869" s="47" t="s">
        <v>6396</v>
      </c>
      <c r="L869" s="47"/>
      <c r="M869" s="49" t="s">
        <v>6110</v>
      </c>
    </row>
    <row r="870" spans="1:13" x14ac:dyDescent="0.25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/>
      </c>
      <c r="I870" s="47" t="s">
        <v>5290</v>
      </c>
      <c r="J870" s="47" t="e">
        <f>VLOOKUP(Table2[[#This Row], [Author]],People!A:B,2,0)</f>
        <v>#VALUE!</v>
      </c>
      <c r="K870" s="47" t="s">
        <v>6396</v>
      </c>
      <c r="L870" s="47"/>
      <c r="M870" s="49" t="s">
        <v>6110</v>
      </c>
    </row>
    <row r="871" spans="1:13" x14ac:dyDescent="0.25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/>
      </c>
      <c r="I871" s="47" t="s">
        <v>5290</v>
      </c>
      <c r="J871" s="47" t="e">
        <f>VLOOKUP(Table2[[#This Row], [Author]],People!A:B,2,0)</f>
        <v>#VALUE!</v>
      </c>
      <c r="K871" s="47" t="s">
        <v>6396</v>
      </c>
      <c r="L871" s="47"/>
      <c r="M871" s="49" t="s">
        <v>6110</v>
      </c>
    </row>
    <row r="872" spans="1:13" x14ac:dyDescent="0.25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/>
      </c>
      <c r="I872" s="47" t="s">
        <v>5290</v>
      </c>
      <c r="J872" s="47" t="e">
        <f>VLOOKUP(Table2[[#This Row], [Author]],People!A:B,2,0)</f>
        <v>#VALUE!</v>
      </c>
      <c r="K872" s="47" t="s">
        <v>6396</v>
      </c>
      <c r="L872" s="47"/>
      <c r="M872" s="49" t="s">
        <v>6110</v>
      </c>
    </row>
    <row r="873" spans="1:13" x14ac:dyDescent="0.25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/>
      </c>
      <c r="I873" s="47" t="s">
        <v>5290</v>
      </c>
      <c r="J873" s="47" t="e">
        <f>VLOOKUP(Table2[[#This Row], [Author]],People!A:B,2,0)</f>
        <v>#VALUE!</v>
      </c>
      <c r="K873" s="47" t="s">
        <v>6396</v>
      </c>
      <c r="L873" s="47"/>
      <c r="M873" s="49" t="s">
        <v>6110</v>
      </c>
    </row>
    <row r="874" spans="1:13" x14ac:dyDescent="0.25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/>
      </c>
      <c r="I874" s="47" t="s">
        <v>5290</v>
      </c>
      <c r="J874" s="47" t="e">
        <f>VLOOKUP(Table2[[#This Row], [Author]],People!A:B,2,0)</f>
        <v>#VALUE!</v>
      </c>
      <c r="K874" s="47" t="s">
        <v>6396</v>
      </c>
      <c r="L874" s="47"/>
      <c r="M874" s="49" t="s">
        <v>6110</v>
      </c>
    </row>
    <row r="875" spans="1:13" x14ac:dyDescent="0.25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/>
      </c>
      <c r="I875" s="47" t="s">
        <v>5290</v>
      </c>
      <c r="J875" s="47" t="e">
        <f>VLOOKUP(Table2[[#This Row], [Author]],People!A:B,2,0)</f>
        <v>#VALUE!</v>
      </c>
      <c r="K875" s="47" t="s">
        <v>6396</v>
      </c>
      <c r="L875" s="47"/>
      <c r="M875" s="49" t="s">
        <v>6110</v>
      </c>
    </row>
    <row r="876" spans="1:13" x14ac:dyDescent="0.25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/>
      </c>
      <c r="I876" s="47" t="s">
        <v>5290</v>
      </c>
      <c r="J876" s="47" t="e">
        <f>VLOOKUP(Table2[[#This Row], [Author]],People!A:B,2,0)</f>
        <v>#VALUE!</v>
      </c>
      <c r="K876" s="47" t="s">
        <v>6396</v>
      </c>
      <c r="L876" s="47"/>
      <c r="M876" s="49" t="s">
        <v>6110</v>
      </c>
    </row>
    <row r="877" spans="1:13" x14ac:dyDescent="0.25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/>
      </c>
      <c r="I877" s="47" t="s">
        <v>5290</v>
      </c>
      <c r="J877" s="47" t="e">
        <f>VLOOKUP(Table2[[#This Row], [Author]],People!A:B,2,0)</f>
        <v>#VALUE!</v>
      </c>
      <c r="K877" s="47" t="s">
        <v>6396</v>
      </c>
      <c r="L877" s="47"/>
      <c r="M877" s="49" t="s">
        <v>6110</v>
      </c>
    </row>
    <row r="878" spans="1:13" x14ac:dyDescent="0.25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/>
      </c>
      <c r="I878" s="47" t="s">
        <v>5290</v>
      </c>
      <c r="J878" s="47" t="e">
        <f>VLOOKUP(Table2[[#This Row], [Author]],People!A:B,2,0)</f>
        <v>#VALUE!</v>
      </c>
      <c r="K878" s="47" t="s">
        <v>6455</v>
      </c>
      <c r="L878" s="47"/>
      <c r="M878" s="49" t="s">
        <v>6110</v>
      </c>
    </row>
    <row r="879" spans="1:13" x14ac:dyDescent="0.25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/>
      </c>
      <c r="I879" s="47" t="s">
        <v>5290</v>
      </c>
      <c r="J879" s="47" t="e">
        <f>VLOOKUP(Table2[[#This Row], [Author]],People!A:B,2,0)</f>
        <v>#VALUE!</v>
      </c>
      <c r="K879" s="47" t="s">
        <v>6455</v>
      </c>
      <c r="L879" s="47"/>
      <c r="M879" s="49" t="s">
        <v>6110</v>
      </c>
    </row>
    <row r="880" spans="1:13" x14ac:dyDescent="0.25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/>
      </c>
      <c r="I880" s="47" t="s">
        <v>5290</v>
      </c>
      <c r="J880" s="47" t="e">
        <f>VLOOKUP(Table2[[#This Row], [Author]],People!A:B,2,0)</f>
        <v>#VALUE!</v>
      </c>
      <c r="K880" s="47" t="s">
        <v>6455</v>
      </c>
      <c r="L880" s="47"/>
      <c r="M880" s="49" t="s">
        <v>6110</v>
      </c>
    </row>
    <row r="881" spans="1:13" x14ac:dyDescent="0.25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/>
      </c>
      <c r="I881" s="47" t="s">
        <v>5290</v>
      </c>
      <c r="J881" s="47" t="e">
        <f>VLOOKUP(Table2[[#This Row], [Author]],People!A:B,2,0)</f>
        <v>#VALUE!</v>
      </c>
      <c r="K881" s="47" t="s">
        <v>6455</v>
      </c>
      <c r="L881" s="47"/>
      <c r="M881" s="49" t="s">
        <v>6110</v>
      </c>
    </row>
    <row r="882" spans="1:13" x14ac:dyDescent="0.25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/>
      </c>
      <c r="I882" s="47" t="s">
        <v>5290</v>
      </c>
      <c r="J882" s="47" t="e">
        <f>VLOOKUP(Table2[[#This Row], [Author]],People!A:B,2,0)</f>
        <v>#VALUE!</v>
      </c>
      <c r="K882" s="47" t="s">
        <v>6455</v>
      </c>
      <c r="L882" s="47"/>
      <c r="M882" s="49" t="s">
        <v>6110</v>
      </c>
    </row>
    <row r="883" spans="1:13" x14ac:dyDescent="0.25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/>
      </c>
      <c r="I883" s="47" t="s">
        <v>5290</v>
      </c>
      <c r="J883" s="47" t="e">
        <f>VLOOKUP(Table2[[#This Row], [Author]],People!A:B,2,0)</f>
        <v>#VALUE!</v>
      </c>
      <c r="K883" s="47" t="s">
        <v>6455</v>
      </c>
      <c r="L883" s="47"/>
      <c r="M883" s="49" t="s">
        <v>6110</v>
      </c>
    </row>
    <row r="884" spans="1:13" x14ac:dyDescent="0.25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/>
      </c>
      <c r="I884" s="47" t="s">
        <v>5290</v>
      </c>
      <c r="J884" s="47" t="e">
        <f>VLOOKUP(Table2[[#This Row], [Author]],People!A:B,2,0)</f>
        <v>#VALUE!</v>
      </c>
      <c r="K884" s="47" t="s">
        <v>6455</v>
      </c>
      <c r="L884" s="47"/>
      <c r="M884" s="49" t="s">
        <v>6110</v>
      </c>
    </row>
    <row r="885" spans="1:13" x14ac:dyDescent="0.25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/>
      </c>
      <c r="I885" s="47" t="s">
        <v>5290</v>
      </c>
      <c r="J885" s="47" t="e">
        <f>VLOOKUP(Table2[[#This Row], [Author]],People!A:B,2,0)</f>
        <v>#VALUE!</v>
      </c>
      <c r="K885" s="47" t="s">
        <v>6455</v>
      </c>
      <c r="L885" s="47"/>
      <c r="M885" s="49" t="s">
        <v>6110</v>
      </c>
    </row>
    <row r="886" spans="1:13" x14ac:dyDescent="0.25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/>
      </c>
      <c r="I886" s="47" t="s">
        <v>5290</v>
      </c>
      <c r="J886" s="47" t="e">
        <f>VLOOKUP(Table2[[#This Row], [Author]],People!A:B,2,0)</f>
        <v>#VALUE!</v>
      </c>
      <c r="K886" s="47" t="s">
        <v>6455</v>
      </c>
      <c r="L886" s="47"/>
      <c r="M886" s="49" t="s">
        <v>6110</v>
      </c>
    </row>
    <row r="887" spans="1:13" x14ac:dyDescent="0.25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/>
      </c>
      <c r="I887" s="47" t="s">
        <v>5290</v>
      </c>
      <c r="J887" s="47" t="e">
        <f>VLOOKUP(Table2[[#This Row], [Author]],People!A:B,2,0)</f>
        <v>#VALUE!</v>
      </c>
      <c r="K887" s="47" t="s">
        <v>6397</v>
      </c>
      <c r="L887" s="47"/>
      <c r="M887" s="49" t="s">
        <v>4778</v>
      </c>
    </row>
    <row r="888" spans="1:13" x14ac:dyDescent="0.25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/>
      </c>
      <c r="I888" s="47" t="s">
        <v>5290</v>
      </c>
      <c r="J888" s="47" t="e">
        <f>VLOOKUP(Table2[[#This Row], [Author]],People!A:B,2,0)</f>
        <v>#VALUE!</v>
      </c>
      <c r="K888" s="47" t="s">
        <v>6397</v>
      </c>
      <c r="L888" s="47"/>
      <c r="M888" s="49" t="s">
        <v>4778</v>
      </c>
    </row>
    <row r="889" spans="1:13" x14ac:dyDescent="0.25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/>
      </c>
      <c r="I889" s="47" t="s">
        <v>5290</v>
      </c>
      <c r="J889" s="47" t="e">
        <f>VLOOKUP(Table2[[#This Row], [Author]],People!A:B,2,0)</f>
        <v>#VALUE!</v>
      </c>
      <c r="K889" s="47" t="s">
        <v>6396</v>
      </c>
      <c r="L889" s="47"/>
      <c r="M889" s="49" t="s">
        <v>4799</v>
      </c>
    </row>
    <row r="890" spans="1:13" x14ac:dyDescent="0.25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/>
      </c>
      <c r="I890" s="47" t="s">
        <v>5290</v>
      </c>
      <c r="J890" s="47" t="e">
        <f>VLOOKUP(Table2[[#This Row], [Author]],People!A:B,2,0)</f>
        <v>#VALUE!</v>
      </c>
      <c r="K890" s="47" t="s">
        <v>6396</v>
      </c>
      <c r="L890" s="47"/>
      <c r="M890" s="49" t="s">
        <v>4799</v>
      </c>
    </row>
    <row r="891" spans="1:13" x14ac:dyDescent="0.25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/>
      </c>
      <c r="I891" s="47" t="s">
        <v>5290</v>
      </c>
      <c r="J891" s="47" t="e">
        <f>VLOOKUP(Table2[[#This Row], [Author]],People!A:B,2,0)</f>
        <v>#VALUE!</v>
      </c>
      <c r="K891" s="47" t="s">
        <v>6396</v>
      </c>
      <c r="L891" s="47"/>
      <c r="M891" s="49" t="s">
        <v>4799</v>
      </c>
    </row>
    <row r="892" spans="1:13" x14ac:dyDescent="0.25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/>
      </c>
      <c r="I892" s="47" t="s">
        <v>5290</v>
      </c>
      <c r="J892" s="47" t="e">
        <f>VLOOKUP(Table2[[#This Row], [Author]],People!A:B,2,0)</f>
        <v>#VALUE!</v>
      </c>
      <c r="K892" s="47" t="s">
        <v>6396</v>
      </c>
      <c r="L892" s="47"/>
      <c r="M892" s="49" t="s">
        <v>4799</v>
      </c>
    </row>
    <row r="893" spans="1:13" x14ac:dyDescent="0.25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/>
      </c>
      <c r="I893" s="47" t="s">
        <v>5290</v>
      </c>
      <c r="J893" s="47" t="e">
        <f>VLOOKUP(Table2[[#This Row], [Author]],People!A:B,2,0)</f>
        <v>#VALUE!</v>
      </c>
      <c r="K893" s="47" t="s">
        <v>6396</v>
      </c>
      <c r="L893" s="47"/>
      <c r="M893" s="49" t="s">
        <v>4799</v>
      </c>
    </row>
    <row r="894" spans="1:13" x14ac:dyDescent="0.25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/>
      </c>
      <c r="I894" s="47" t="s">
        <v>5290</v>
      </c>
      <c r="J894" s="47" t="e">
        <f>VLOOKUP(Table2[[#This Row], [Author]],People!A:B,2,0)</f>
        <v>#VALUE!</v>
      </c>
      <c r="K894" s="47" t="s">
        <v>6396</v>
      </c>
      <c r="L894" s="47"/>
      <c r="M894" s="49" t="s">
        <v>4799</v>
      </c>
    </row>
    <row r="895" spans="1:13" x14ac:dyDescent="0.25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/>
      </c>
      <c r="I895" s="47" t="s">
        <v>5290</v>
      </c>
      <c r="J895" s="47" t="e">
        <f>VLOOKUP(Table2[[#This Row], [Author]],People!A:B,2,0)</f>
        <v>#VALUE!</v>
      </c>
      <c r="K895" s="47" t="s">
        <v>6396</v>
      </c>
      <c r="L895" s="47"/>
      <c r="M895" s="49" t="s">
        <v>4799</v>
      </c>
    </row>
    <row r="896" spans="1:13" x14ac:dyDescent="0.25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/>
      </c>
      <c r="I896" s="47" t="s">
        <v>5290</v>
      </c>
      <c r="J896" s="47" t="e">
        <f>VLOOKUP(Table2[[#This Row], [Author]],People!A:B,2,0)</f>
        <v>#VALUE!</v>
      </c>
      <c r="K896" s="47" t="s">
        <v>6396</v>
      </c>
      <c r="L896" s="47"/>
      <c r="M896" s="49" t="s">
        <v>4799</v>
      </c>
    </row>
    <row r="897" spans="1:13" x14ac:dyDescent="0.25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/>
      </c>
      <c r="I897" s="47" t="s">
        <v>5290</v>
      </c>
      <c r="J897" s="47" t="e">
        <f>VLOOKUP(Table2[[#This Row], [Author]],People!A:B,2,0)</f>
        <v>#VALUE!</v>
      </c>
      <c r="K897" s="47" t="s">
        <v>6396</v>
      </c>
      <c r="L897" s="47"/>
      <c r="M897" s="49" t="s">
        <v>4799</v>
      </c>
    </row>
    <row r="898" spans="1:13" x14ac:dyDescent="0.25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/>
      </c>
      <c r="I898" s="47" t="s">
        <v>5290</v>
      </c>
      <c r="J898" s="47" t="e">
        <f>VLOOKUP(Table2[[#This Row], [Author]],People!A:B,2,0)</f>
        <v>#VALUE!</v>
      </c>
      <c r="K898" s="47" t="s">
        <v>6396</v>
      </c>
      <c r="L898" s="47"/>
      <c r="M898" s="49" t="s">
        <v>4799</v>
      </c>
    </row>
    <row r="899" spans="1:13" x14ac:dyDescent="0.25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/>
      </c>
      <c r="I899" s="47" t="s">
        <v>5290</v>
      </c>
      <c r="J899" s="47" t="e">
        <f>VLOOKUP(Table2[[#This Row], [Author]],People!A:B,2,0)</f>
        <v>#VALUE!</v>
      </c>
      <c r="K899" s="47" t="s">
        <v>6396</v>
      </c>
      <c r="L899" s="47"/>
      <c r="M899" s="49" t="s">
        <v>4799</v>
      </c>
    </row>
    <row r="900" spans="1:13" x14ac:dyDescent="0.25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/>
      </c>
      <c r="I900" s="47" t="s">
        <v>5290</v>
      </c>
      <c r="J900" s="47" t="e">
        <f>VLOOKUP(Table2[[#This Row], [Author]],People!A:B,2,0)</f>
        <v>#VALUE!</v>
      </c>
      <c r="K900" s="47" t="s">
        <v>6396</v>
      </c>
      <c r="L900" s="47"/>
      <c r="M900" s="49" t="s">
        <v>4799</v>
      </c>
    </row>
    <row r="901" spans="1:13" x14ac:dyDescent="0.25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/>
      </c>
      <c r="I901" s="47" t="s">
        <v>5290</v>
      </c>
      <c r="J901" s="47" t="e">
        <f>VLOOKUP(Table2[[#This Row], [Author]],People!A:B,2,0)</f>
        <v>#VALUE!</v>
      </c>
      <c r="K901" s="47" t="s">
        <v>6396</v>
      </c>
      <c r="L901" s="47"/>
      <c r="M901" s="49" t="s">
        <v>4799</v>
      </c>
    </row>
    <row r="902" spans="1:13" x14ac:dyDescent="0.25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/>
      </c>
      <c r="I902" s="47" t="s">
        <v>5290</v>
      </c>
      <c r="J902" s="47" t="e">
        <f>VLOOKUP(Table2[[#This Row], [Author]],People!A:B,2,0)</f>
        <v>#VALUE!</v>
      </c>
      <c r="K902" s="47" t="s">
        <v>6396</v>
      </c>
      <c r="L902" s="47"/>
      <c r="M902" s="49" t="s">
        <v>4799</v>
      </c>
    </row>
    <row r="903" spans="1:13" x14ac:dyDescent="0.25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/>
      </c>
      <c r="I903" s="47" t="s">
        <v>5290</v>
      </c>
      <c r="J903" s="47" t="e">
        <f>VLOOKUP(Table2[[#This Row], [Author]],People!A:B,2,0)</f>
        <v>#VALUE!</v>
      </c>
      <c r="K903" s="47" t="s">
        <v>6396</v>
      </c>
      <c r="L903" s="47"/>
      <c r="M903" s="49" t="s">
        <v>4799</v>
      </c>
    </row>
    <row r="904" spans="1:13" x14ac:dyDescent="0.25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/>
      </c>
      <c r="I904" s="47" t="s">
        <v>5290</v>
      </c>
      <c r="J904" s="47" t="e">
        <f>VLOOKUP(Table2[[#This Row], [Author]],People!A:B,2,0)</f>
        <v>#VALUE!</v>
      </c>
      <c r="K904" s="47" t="s">
        <v>6396</v>
      </c>
      <c r="L904" s="47"/>
      <c r="M904" s="49" t="s">
        <v>4799</v>
      </c>
    </row>
    <row r="905" spans="1:13" x14ac:dyDescent="0.25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/>
      </c>
      <c r="I905" s="47" t="s">
        <v>5290</v>
      </c>
      <c r="J905" s="47" t="e">
        <f>VLOOKUP(Table2[[#This Row], [Author]],People!A:B,2,0)</f>
        <v>#VALUE!</v>
      </c>
      <c r="K905" s="47" t="s">
        <v>6396</v>
      </c>
      <c r="L905" s="47"/>
      <c r="M905" s="49" t="s">
        <v>4799</v>
      </c>
    </row>
    <row r="906" spans="1:13" x14ac:dyDescent="0.25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/>
      </c>
      <c r="I906" s="47" t="s">
        <v>5290</v>
      </c>
      <c r="J906" s="47" t="e">
        <f>VLOOKUP(Table2[[#This Row], [Author]],People!A:B,2,0)</f>
        <v>#VALUE!</v>
      </c>
      <c r="K906" s="47" t="s">
        <v>6396</v>
      </c>
      <c r="L906" s="47"/>
      <c r="M906" s="49" t="s">
        <v>4799</v>
      </c>
    </row>
    <row r="907" spans="1:13" x14ac:dyDescent="0.25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/>
      </c>
      <c r="I907" s="47" t="s">
        <v>5290</v>
      </c>
      <c r="J907" s="47" t="e">
        <f>VLOOKUP(Table2[[#This Row], [Author]],People!A:B,2,0)</f>
        <v>#VALUE!</v>
      </c>
      <c r="K907" s="47" t="s">
        <v>6396</v>
      </c>
      <c r="L907" s="47"/>
      <c r="M907" s="49" t="s">
        <v>4799</v>
      </c>
    </row>
    <row r="908" spans="1:13" x14ac:dyDescent="0.25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/>
      </c>
      <c r="I908" s="47" t="s">
        <v>5290</v>
      </c>
      <c r="J908" s="47" t="e">
        <f>VLOOKUP(Table2[[#This Row], [Author]],People!A:B,2,0)</f>
        <v>#VALUE!</v>
      </c>
      <c r="K908" s="47" t="s">
        <v>6397</v>
      </c>
      <c r="L908" s="47"/>
      <c r="M908" s="49" t="s">
        <v>4799</v>
      </c>
    </row>
    <row r="909" spans="1:13" x14ac:dyDescent="0.25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/>
      </c>
      <c r="I909" s="47" t="s">
        <v>5290</v>
      </c>
      <c r="J909" s="47" t="e">
        <f>VLOOKUP(Table2[[#This Row], [Author]],People!A:B,2,0)</f>
        <v>#VALUE!</v>
      </c>
      <c r="K909" s="47" t="s">
        <v>6397</v>
      </c>
      <c r="L909" s="47"/>
      <c r="M909" s="49" t="s">
        <v>4799</v>
      </c>
    </row>
    <row r="910" spans="1:13" x14ac:dyDescent="0.25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/>
      </c>
      <c r="I910" s="47" t="s">
        <v>5290</v>
      </c>
      <c r="J910" s="47" t="e">
        <f>VLOOKUP(Table2[[#This Row], [Author]],People!A:B,2,0)</f>
        <v>#VALUE!</v>
      </c>
      <c r="K910" s="47" t="s">
        <v>6397</v>
      </c>
      <c r="L910" s="47"/>
      <c r="M910" s="49" t="s">
        <v>4799</v>
      </c>
    </row>
    <row r="911" spans="1:13" x14ac:dyDescent="0.25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/>
      </c>
      <c r="I911" s="47" t="s">
        <v>5290</v>
      </c>
      <c r="J911" s="47" t="e">
        <f>VLOOKUP(Table2[[#This Row], [Author]],People!A:B,2,0)</f>
        <v>#VALUE!</v>
      </c>
      <c r="K911" s="47" t="s">
        <v>6397</v>
      </c>
      <c r="L911" s="47"/>
      <c r="M911" s="49" t="s">
        <v>4799</v>
      </c>
    </row>
    <row r="912" spans="1:13" x14ac:dyDescent="0.25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/>
      </c>
      <c r="I912" s="47" t="s">
        <v>5290</v>
      </c>
      <c r="J912" s="47" t="e">
        <f>VLOOKUP(Table2[[#This Row], [Author]],People!A:B,2,0)</f>
        <v>#VALUE!</v>
      </c>
      <c r="K912" s="47" t="s">
        <v>6397</v>
      </c>
      <c r="L912" s="47"/>
      <c r="M912" s="49" t="s">
        <v>4799</v>
      </c>
    </row>
    <row r="913" spans="1:13" x14ac:dyDescent="0.25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/>
      </c>
      <c r="I913" s="47" t="s">
        <v>5290</v>
      </c>
      <c r="J913" s="47" t="e">
        <f>VLOOKUP(Table2[[#This Row], [Author]],People!A:B,2,0)</f>
        <v>#VALUE!</v>
      </c>
      <c r="K913" s="47" t="s">
        <v>6397</v>
      </c>
      <c r="L913" s="47"/>
      <c r="M913" s="49" t="s">
        <v>4799</v>
      </c>
    </row>
    <row r="914" spans="1:13" x14ac:dyDescent="0.25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/>
      </c>
      <c r="I914" s="47" t="s">
        <v>5290</v>
      </c>
      <c r="J914" s="47" t="e">
        <f>VLOOKUP(Table2[[#This Row], [Author]],People!A:B,2,0)</f>
        <v>#VALUE!</v>
      </c>
      <c r="K914" s="47" t="s">
        <v>6397</v>
      </c>
      <c r="L914" s="47"/>
      <c r="M914" s="49" t="s">
        <v>4799</v>
      </c>
    </row>
    <row r="915" spans="1:13" x14ac:dyDescent="0.25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/>
      </c>
      <c r="I915" s="47" t="s">
        <v>5290</v>
      </c>
      <c r="J915" s="47" t="e">
        <f>VLOOKUP(Table2[[#This Row], [Author]],People!A:B,2,0)</f>
        <v>#VALUE!</v>
      </c>
      <c r="K915" s="47" t="s">
        <v>6397</v>
      </c>
      <c r="L915" s="47"/>
      <c r="M915" s="49" t="s">
        <v>4799</v>
      </c>
    </row>
    <row r="916" spans="1:13" x14ac:dyDescent="0.25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/>
      </c>
      <c r="I916" s="47" t="s">
        <v>5290</v>
      </c>
      <c r="J916" s="47" t="e">
        <f>VLOOKUP(Table2[[#This Row], [Author]],People!A:B,2,0)</f>
        <v>#VALUE!</v>
      </c>
      <c r="K916" s="47" t="s">
        <v>6397</v>
      </c>
      <c r="L916" s="47"/>
      <c r="M916" s="49" t="s">
        <v>4799</v>
      </c>
    </row>
    <row r="917" spans="1:13" x14ac:dyDescent="0.25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/>
      </c>
      <c r="I917" s="47" t="s">
        <v>5290</v>
      </c>
      <c r="J917" s="47" t="e">
        <f>VLOOKUP(Table2[[#This Row], [Author]],People!A:B,2,0)</f>
        <v>#VALUE!</v>
      </c>
      <c r="K917" s="47" t="s">
        <v>6397</v>
      </c>
      <c r="L917" s="47"/>
      <c r="M917" s="49" t="s">
        <v>4799</v>
      </c>
    </row>
    <row r="918" spans="1:13" x14ac:dyDescent="0.25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/>
      </c>
      <c r="I918" s="47" t="s">
        <v>5290</v>
      </c>
      <c r="J918" s="47" t="e">
        <f>VLOOKUP(Table2[[#This Row], [Author]],People!A:B,2,0)</f>
        <v>#VALUE!</v>
      </c>
      <c r="K918" s="47" t="s">
        <v>6397</v>
      </c>
      <c r="L918" s="47"/>
      <c r="M918" s="49" t="s">
        <v>4799</v>
      </c>
    </row>
    <row r="919" spans="1:13" x14ac:dyDescent="0.25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/>
      </c>
      <c r="I919" s="47" t="s">
        <v>5290</v>
      </c>
      <c r="J919" s="47" t="e">
        <f>VLOOKUP(Table2[[#This Row], [Author]],People!A:B,2,0)</f>
        <v>#VALUE!</v>
      </c>
      <c r="K919" s="47" t="s">
        <v>6397</v>
      </c>
      <c r="L919" s="47"/>
      <c r="M919" s="49" t="s">
        <v>4799</v>
      </c>
    </row>
    <row r="920" spans="1:13" x14ac:dyDescent="0.25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/>
      </c>
      <c r="I920" s="47" t="s">
        <v>5290</v>
      </c>
      <c r="J920" s="47" t="e">
        <f>VLOOKUP(Table2[[#This Row], [Author]],People!A:B,2,0)</f>
        <v>#VALUE!</v>
      </c>
      <c r="K920" s="47" t="s">
        <v>6397</v>
      </c>
      <c r="L920" s="47"/>
      <c r="M920" s="49" t="s">
        <v>4799</v>
      </c>
    </row>
    <row r="921" spans="1:13" x14ac:dyDescent="0.25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/>
      </c>
      <c r="I921" s="47" t="s">
        <v>5290</v>
      </c>
      <c r="J921" s="47" t="e">
        <f>VLOOKUP(Table2[[#This Row], [Author]],People!A:B,2,0)</f>
        <v>#VALUE!</v>
      </c>
      <c r="K921" s="47" t="s">
        <v>6397</v>
      </c>
      <c r="L921" s="47"/>
      <c r="M921" s="49" t="s">
        <v>4799</v>
      </c>
    </row>
    <row r="922" spans="1:13" x14ac:dyDescent="0.25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/>
      </c>
      <c r="I922" s="47" t="s">
        <v>5290</v>
      </c>
      <c r="J922" s="47" t="e">
        <f>VLOOKUP(Table2[[#This Row], [Author]],People!A:B,2,0)</f>
        <v>#VALUE!</v>
      </c>
      <c r="K922" s="47" t="s">
        <v>6397</v>
      </c>
      <c r="L922" s="47"/>
      <c r="M922" s="49" t="s">
        <v>4799</v>
      </c>
    </row>
    <row r="923" spans="1:13" x14ac:dyDescent="0.25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/>
      </c>
      <c r="I923" s="47" t="s">
        <v>5290</v>
      </c>
      <c r="J923" s="47" t="e">
        <f>VLOOKUP(Table2[[#This Row], [Author]],People!A:B,2,0)</f>
        <v>#VALUE!</v>
      </c>
      <c r="K923" s="47" t="s">
        <v>6397</v>
      </c>
      <c r="L923" s="47"/>
      <c r="M923" s="49" t="s">
        <v>4799</v>
      </c>
    </row>
    <row r="924" spans="1:13" x14ac:dyDescent="0.25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/>
      </c>
      <c r="I924" s="47" t="s">
        <v>5290</v>
      </c>
      <c r="J924" s="47" t="e">
        <f>VLOOKUP(Table2[[#This Row], [Author]],People!A:B,2,0)</f>
        <v>#VALUE!</v>
      </c>
      <c r="K924" s="47" t="s">
        <v>6397</v>
      </c>
      <c r="L924" s="47"/>
      <c r="M924" s="49" t="s">
        <v>4799</v>
      </c>
    </row>
    <row r="925" spans="1:13" x14ac:dyDescent="0.25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/>
      </c>
      <c r="I925" s="47" t="s">
        <v>5290</v>
      </c>
      <c r="J925" s="47" t="e">
        <f>VLOOKUP(Table2[[#This Row], [Author]],People!A:B,2,0)</f>
        <v>#VALUE!</v>
      </c>
      <c r="K925" s="47" t="s">
        <v>6397</v>
      </c>
      <c r="L925" s="47"/>
      <c r="M925" s="49" t="s">
        <v>4799</v>
      </c>
    </row>
    <row r="926" spans="1:13" x14ac:dyDescent="0.25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/>
      </c>
      <c r="I926" s="47" t="s">
        <v>5290</v>
      </c>
      <c r="J926" s="47" t="e">
        <f>VLOOKUP(Table2[[#This Row], [Author]],People!A:B,2,0)</f>
        <v>#VALUE!</v>
      </c>
      <c r="K926" s="47" t="s">
        <v>6397</v>
      </c>
      <c r="L926" s="47"/>
      <c r="M926" s="49" t="s">
        <v>4799</v>
      </c>
    </row>
    <row r="927" spans="1:13" x14ac:dyDescent="0.25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/>
      </c>
      <c r="I927" s="47" t="s">
        <v>5290</v>
      </c>
      <c r="J927" s="47" t="e">
        <f>VLOOKUP(Table2[[#This Row], [Author]],People!A:B,2,0)</f>
        <v>#VALUE!</v>
      </c>
      <c r="K927" s="47" t="s">
        <v>6397</v>
      </c>
      <c r="L927" s="47"/>
      <c r="M927" s="49" t="s">
        <v>4799</v>
      </c>
    </row>
    <row r="928" spans="1:13" x14ac:dyDescent="0.25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/>
      </c>
      <c r="I928" s="47" t="s">
        <v>5290</v>
      </c>
      <c r="J928" s="47" t="e">
        <f>VLOOKUP(Table2[[#This Row], [Author]],People!A:B,2,0)</f>
        <v>#VALUE!</v>
      </c>
      <c r="K928" s="47" t="s">
        <v>6397</v>
      </c>
      <c r="L928" s="47"/>
      <c r="M928" s="49" t="s">
        <v>4799</v>
      </c>
    </row>
    <row r="929" spans="1:13" x14ac:dyDescent="0.25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/>
      </c>
      <c r="I929" s="47" t="s">
        <v>5290</v>
      </c>
      <c r="J929" s="47" t="e">
        <f>VLOOKUP(Table2[[#This Row], [Author]],People!A:B,2,0)</f>
        <v>#VALUE!</v>
      </c>
      <c r="K929" s="47" t="s">
        <v>6397</v>
      </c>
      <c r="L929" s="47"/>
      <c r="M929" s="49" t="s">
        <v>4799</v>
      </c>
    </row>
    <row r="930" spans="1:13" x14ac:dyDescent="0.25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/>
      </c>
      <c r="I930" s="47" t="s">
        <v>5290</v>
      </c>
      <c r="J930" s="47" t="e">
        <f>VLOOKUP(Table2[[#This Row], [Author]],People!A:B,2,0)</f>
        <v>#VALUE!</v>
      </c>
      <c r="K930" s="47" t="s">
        <v>6397</v>
      </c>
      <c r="L930" s="47"/>
      <c r="M930" s="49" t="s">
        <v>4799</v>
      </c>
    </row>
    <row r="931" spans="1:13" x14ac:dyDescent="0.25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/>
      </c>
      <c r="I931" s="47" t="s">
        <v>5290</v>
      </c>
      <c r="J931" s="47" t="e">
        <f>VLOOKUP(Table2[[#This Row], [Author]],People!A:B,2,0)</f>
        <v>#VALUE!</v>
      </c>
      <c r="K931" s="47" t="s">
        <v>6397</v>
      </c>
      <c r="L931" s="47"/>
      <c r="M931" s="49" t="s">
        <v>4799</v>
      </c>
    </row>
    <row r="932" spans="1:13" x14ac:dyDescent="0.25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/>
      </c>
      <c r="I932" s="47" t="s">
        <v>5290</v>
      </c>
      <c r="J932" s="47" t="e">
        <f>VLOOKUP(Table2[[#This Row], [Author]],People!A:B,2,0)</f>
        <v>#VALUE!</v>
      </c>
      <c r="K932" s="47" t="s">
        <v>6397</v>
      </c>
      <c r="L932" s="47"/>
      <c r="M932" s="49" t="s">
        <v>4799</v>
      </c>
    </row>
    <row r="933" spans="1:13" x14ac:dyDescent="0.25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/>
      </c>
      <c r="I933" s="47" t="s">
        <v>5290</v>
      </c>
      <c r="J933" s="47" t="e">
        <f>VLOOKUP(Table2[[#This Row], [Author]],People!A:B,2,0)</f>
        <v>#VALUE!</v>
      </c>
      <c r="K933" s="47" t="s">
        <v>6397</v>
      </c>
      <c r="L933" s="47"/>
      <c r="M933" s="49" t="s">
        <v>4799</v>
      </c>
    </row>
    <row r="934" spans="1:13" x14ac:dyDescent="0.25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/>
      </c>
      <c r="I934" s="47" t="s">
        <v>5290</v>
      </c>
      <c r="J934" s="47" t="e">
        <f>VLOOKUP(Table2[[#This Row], [Author]],People!A:B,2,0)</f>
        <v>#VALUE!</v>
      </c>
      <c r="K934" s="47" t="s">
        <v>6397</v>
      </c>
      <c r="L934" s="47"/>
      <c r="M934" s="49" t="s">
        <v>4799</v>
      </c>
    </row>
    <row r="935" spans="1:13" x14ac:dyDescent="0.25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/>
      </c>
      <c r="I935" s="47" t="s">
        <v>5290</v>
      </c>
      <c r="J935" s="47" t="e">
        <f>VLOOKUP(Table2[[#This Row], [Author]],People!A:B,2,0)</f>
        <v>#VALUE!</v>
      </c>
      <c r="K935" s="47" t="s">
        <v>6397</v>
      </c>
      <c r="L935" s="47"/>
      <c r="M935" s="49" t="s">
        <v>4799</v>
      </c>
    </row>
    <row r="936" spans="1:13" x14ac:dyDescent="0.25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/>
      </c>
      <c r="I936" s="47" t="s">
        <v>5290</v>
      </c>
      <c r="J936" s="47" t="e">
        <f>VLOOKUP(Table2[[#This Row], [Author]],People!A:B,2,0)</f>
        <v>#VALUE!</v>
      </c>
      <c r="K936" s="47" t="s">
        <v>6397</v>
      </c>
      <c r="L936" s="47"/>
      <c r="M936" s="49" t="s">
        <v>4799</v>
      </c>
    </row>
    <row r="937" spans="1:13" x14ac:dyDescent="0.25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/>
      </c>
      <c r="I937" s="47" t="s">
        <v>5290</v>
      </c>
      <c r="J937" s="47" t="e">
        <f>VLOOKUP(Table2[[#This Row], [Author]],People!A:B,2,0)</f>
        <v>#VALUE!</v>
      </c>
      <c r="K937" s="47" t="s">
        <v>6397</v>
      </c>
      <c r="L937" s="47"/>
      <c r="M937" s="49" t="s">
        <v>4799</v>
      </c>
    </row>
    <row r="938" spans="1:13" x14ac:dyDescent="0.25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/>
      </c>
      <c r="I938" s="47" t="s">
        <v>5290</v>
      </c>
      <c r="J938" s="47" t="e">
        <f>VLOOKUP(Table2[[#This Row], [Author]],People!A:B,2,0)</f>
        <v>#VALUE!</v>
      </c>
      <c r="K938" s="47" t="s">
        <v>6567</v>
      </c>
      <c r="L938" s="47"/>
      <c r="M938" s="49" t="s">
        <v>4799</v>
      </c>
    </row>
    <row r="939" spans="1:13" x14ac:dyDescent="0.25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/>
      </c>
      <c r="I939" s="47" t="s">
        <v>5290</v>
      </c>
      <c r="J939" s="47" t="e">
        <f>VLOOKUP(Table2[[#This Row], [Author]],People!A:B,2,0)</f>
        <v>#VALUE!</v>
      </c>
      <c r="K939" s="47" t="s">
        <v>6567</v>
      </c>
      <c r="L939" s="47"/>
      <c r="M939" s="49" t="s">
        <v>4799</v>
      </c>
    </row>
    <row r="940" spans="1:13" x14ac:dyDescent="0.25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/>
      </c>
      <c r="I940" s="47" t="s">
        <v>5290</v>
      </c>
      <c r="J940" s="47" t="e">
        <f>VLOOKUP(Table2[[#This Row], [Author]],People!A:B,2,0)</f>
        <v>#VALUE!</v>
      </c>
      <c r="K940" s="47" t="s">
        <v>6567</v>
      </c>
      <c r="L940" s="47"/>
      <c r="M940" s="49" t="s">
        <v>4799</v>
      </c>
    </row>
    <row r="941" spans="1:13" x14ac:dyDescent="0.25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/>
      </c>
      <c r="I941" s="47" t="s">
        <v>5290</v>
      </c>
      <c r="J941" s="47" t="e">
        <f>VLOOKUP(Table2[[#This Row], [Author]],People!A:B,2,0)</f>
        <v>#VALUE!</v>
      </c>
      <c r="K941" s="47" t="s">
        <v>6567</v>
      </c>
      <c r="L941" s="47"/>
      <c r="M941" s="49" t="s">
        <v>4799</v>
      </c>
    </row>
    <row r="942" spans="1:13" x14ac:dyDescent="0.25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/>
      </c>
      <c r="I942" s="47" t="s">
        <v>5290</v>
      </c>
      <c r="J942" s="47" t="e">
        <f>VLOOKUP(Table2[[#This Row], [Author]],People!A:B,2,0)</f>
        <v>#VALUE!</v>
      </c>
      <c r="K942" s="47" t="s">
        <v>6567</v>
      </c>
      <c r="L942" s="47"/>
      <c r="M942" s="49" t="s">
        <v>4799</v>
      </c>
    </row>
    <row r="943" spans="1:13" x14ac:dyDescent="0.25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/>
      </c>
      <c r="I943" s="47" t="s">
        <v>5290</v>
      </c>
      <c r="J943" s="47" t="e">
        <f>VLOOKUP(Table2[[#This Row], [Author]],People!A:B,2,0)</f>
        <v>#VALUE!</v>
      </c>
      <c r="K943" s="47" t="s">
        <v>6567</v>
      </c>
      <c r="L943" s="47"/>
      <c r="M943" s="49" t="s">
        <v>4799</v>
      </c>
    </row>
    <row r="944" spans="1:13" x14ac:dyDescent="0.25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/>
      </c>
      <c r="I944" s="47" t="s">
        <v>5290</v>
      </c>
      <c r="J944" s="47" t="e">
        <f>VLOOKUP(Table2[[#This Row], [Author]],People!A:B,2,0)</f>
        <v>#VALUE!</v>
      </c>
      <c r="K944" s="47" t="s">
        <v>6567</v>
      </c>
      <c r="L944" s="47"/>
      <c r="M944" s="49" t="s">
        <v>4799</v>
      </c>
    </row>
    <row r="945" spans="1:13" x14ac:dyDescent="0.25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/>
      </c>
      <c r="I945" s="47" t="s">
        <v>5290</v>
      </c>
      <c r="J945" s="47" t="e">
        <f>VLOOKUP(Table2[[#This Row], [Author]],People!A:B,2,0)</f>
        <v>#VALUE!</v>
      </c>
      <c r="K945" s="47" t="s">
        <v>6567</v>
      </c>
      <c r="L945" s="47"/>
      <c r="M945" s="49" t="s">
        <v>4799</v>
      </c>
    </row>
    <row r="946" spans="1:13" x14ac:dyDescent="0.25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/>
      </c>
      <c r="I946" s="47" t="s">
        <v>5290</v>
      </c>
      <c r="J946" s="47" t="e">
        <f>VLOOKUP(Table2[[#This Row], [Author]],People!A:B,2,0)</f>
        <v>#VALUE!</v>
      </c>
      <c r="K946" s="47" t="s">
        <v>6567</v>
      </c>
      <c r="L946" s="47"/>
      <c r="M946" s="49" t="s">
        <v>4799</v>
      </c>
    </row>
    <row r="947" spans="1:13" x14ac:dyDescent="0.25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/>
      </c>
      <c r="I947" s="47" t="s">
        <v>5290</v>
      </c>
      <c r="J947" s="47" t="e">
        <f>VLOOKUP(Table2[[#This Row], [Author]],People!A:B,2,0)</f>
        <v>#VALUE!</v>
      </c>
      <c r="K947" s="47" t="s">
        <v>6567</v>
      </c>
      <c r="L947" s="47"/>
      <c r="M947" s="49" t="s">
        <v>4799</v>
      </c>
    </row>
    <row r="948" spans="1:13" x14ac:dyDescent="0.25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/>
      </c>
      <c r="I948" s="47" t="s">
        <v>5290</v>
      </c>
      <c r="J948" s="47" t="e">
        <f>VLOOKUP(Table2[[#This Row], [Author]],People!A:B,2,0)</f>
        <v>#VALUE!</v>
      </c>
      <c r="K948" s="47" t="s">
        <v>6567</v>
      </c>
      <c r="L948" s="47"/>
      <c r="M948" s="49" t="s">
        <v>4799</v>
      </c>
    </row>
    <row r="949" spans="1:13" x14ac:dyDescent="0.25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/>
      </c>
      <c r="I949" s="47" t="s">
        <v>5290</v>
      </c>
      <c r="J949" s="47" t="e">
        <f>VLOOKUP(Table2[[#This Row], [Author]],People!A:B,2,0)</f>
        <v>#VALUE!</v>
      </c>
      <c r="K949" s="47" t="s">
        <v>6567</v>
      </c>
      <c r="L949" s="47"/>
      <c r="M949" s="49" t="s">
        <v>4799</v>
      </c>
    </row>
    <row r="950" spans="1:13" x14ac:dyDescent="0.25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/>
      </c>
      <c r="I950" s="47" t="s">
        <v>5290</v>
      </c>
      <c r="J950" s="47" t="e">
        <f>VLOOKUP(Table2[[#This Row], [Author]],People!A:B,2,0)</f>
        <v>#VALUE!</v>
      </c>
      <c r="K950" s="47" t="s">
        <v>6567</v>
      </c>
      <c r="L950" s="47"/>
      <c r="M950" s="49" t="s">
        <v>4799</v>
      </c>
    </row>
    <row r="951" spans="1:13" x14ac:dyDescent="0.25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/>
      </c>
      <c r="I951" s="47" t="s">
        <v>5290</v>
      </c>
      <c r="J951" s="47" t="e">
        <f>VLOOKUP(Table2[[#This Row], [Author]],People!A:B,2,0)</f>
        <v>#VALUE!</v>
      </c>
      <c r="K951" s="47" t="s">
        <v>6567</v>
      </c>
      <c r="L951" s="47"/>
      <c r="M951" s="49" t="s">
        <v>4799</v>
      </c>
    </row>
    <row r="952" spans="1:13" x14ac:dyDescent="0.25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/>
      </c>
      <c r="I952" s="47" t="s">
        <v>5290</v>
      </c>
      <c r="J952" s="47" t="e">
        <f>VLOOKUP(Table2[[#This Row], [Author]],People!A:B,2,0)</f>
        <v>#VALUE!</v>
      </c>
      <c r="K952" s="47" t="s">
        <v>6567</v>
      </c>
      <c r="L952" s="47"/>
      <c r="M952" s="49" t="s">
        <v>4799</v>
      </c>
    </row>
    <row r="953" spans="1:13" x14ac:dyDescent="0.25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/>
      </c>
      <c r="I953" s="47" t="s">
        <v>5290</v>
      </c>
      <c r="J953" s="47" t="e">
        <f>VLOOKUP(Table2[[#This Row], [Author]],People!A:B,2,0)</f>
        <v>#VALUE!</v>
      </c>
      <c r="K953" s="47" t="s">
        <v>6567</v>
      </c>
      <c r="L953" s="47"/>
      <c r="M953" s="49" t="s">
        <v>4799</v>
      </c>
    </row>
    <row r="954" spans="1:13" x14ac:dyDescent="0.25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/>
      </c>
      <c r="I954" s="47" t="s">
        <v>5290</v>
      </c>
      <c r="J954" s="47" t="e">
        <f>VLOOKUP(Table2[[#This Row], [Author]],People!A:B,2,0)</f>
        <v>#VALUE!</v>
      </c>
      <c r="K954" s="47" t="s">
        <v>6567</v>
      </c>
      <c r="L954" s="47"/>
      <c r="M954" s="49" t="s">
        <v>4799</v>
      </c>
    </row>
    <row r="955" spans="1:13" x14ac:dyDescent="0.25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/>
      </c>
      <c r="I955" s="47" t="s">
        <v>5290</v>
      </c>
      <c r="J955" s="47" t="e">
        <f>VLOOKUP(Table2[[#This Row], [Author]],People!A:B,2,0)</f>
        <v>#VALUE!</v>
      </c>
      <c r="K955" s="47" t="s">
        <v>6567</v>
      </c>
      <c r="L955" s="47"/>
      <c r="M955" s="49" t="s">
        <v>4799</v>
      </c>
    </row>
    <row r="956" spans="1:13" x14ac:dyDescent="0.25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/>
      </c>
      <c r="I956" s="47" t="s">
        <v>5290</v>
      </c>
      <c r="J956" s="47" t="e">
        <f>VLOOKUP(Table2[[#This Row], [Author]],People!A:B,2,0)</f>
        <v>#VALUE!</v>
      </c>
      <c r="K956" s="47" t="s">
        <v>6567</v>
      </c>
      <c r="L956" s="47"/>
      <c r="M956" s="49" t="s">
        <v>4799</v>
      </c>
    </row>
    <row r="957" spans="1:13" x14ac:dyDescent="0.25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/>
      </c>
      <c r="I957" s="47" t="s">
        <v>5290</v>
      </c>
      <c r="J957" s="47" t="e">
        <f>VLOOKUP(Table2[[#This Row], [Author]],People!A:B,2,0)</f>
        <v>#VALUE!</v>
      </c>
      <c r="K957" s="47" t="s">
        <v>6567</v>
      </c>
      <c r="L957" s="47"/>
      <c r="M957" s="49" t="s">
        <v>4799</v>
      </c>
    </row>
    <row r="958" spans="1:13" x14ac:dyDescent="0.25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/>
      </c>
      <c r="I958" s="47" t="s">
        <v>5290</v>
      </c>
      <c r="J958" s="47" t="e">
        <f>VLOOKUP(Table2[[#This Row], [Author]],People!A:B,2,0)</f>
        <v>#VALUE!</v>
      </c>
      <c r="K958" s="47" t="s">
        <v>6567</v>
      </c>
      <c r="L958" s="47"/>
      <c r="M958" s="49" t="s">
        <v>4799</v>
      </c>
    </row>
    <row r="959" spans="1:13" x14ac:dyDescent="0.25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/>
      </c>
      <c r="I959" s="47" t="s">
        <v>5290</v>
      </c>
      <c r="J959" s="47" t="e">
        <f>VLOOKUP(Table2[[#This Row], [Author]],People!A:B,2,0)</f>
        <v>#VALUE!</v>
      </c>
      <c r="K959" s="47" t="s">
        <v>6567</v>
      </c>
      <c r="L959" s="47"/>
      <c r="M959" s="49" t="s">
        <v>4799</v>
      </c>
    </row>
    <row r="960" spans="1:13" x14ac:dyDescent="0.25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/>
      </c>
      <c r="I960" s="47" t="s">
        <v>5290</v>
      </c>
      <c r="J960" s="47" t="e">
        <f>VLOOKUP(Table2[[#This Row], [Author]],People!A:B,2,0)</f>
        <v>#VALUE!</v>
      </c>
      <c r="K960" s="47" t="s">
        <v>6567</v>
      </c>
      <c r="L960" s="47"/>
      <c r="M960" s="49" t="s">
        <v>4799</v>
      </c>
    </row>
    <row r="961" spans="1:13" x14ac:dyDescent="0.25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/>
      </c>
      <c r="I961" s="47" t="s">
        <v>5290</v>
      </c>
      <c r="J961" s="47" t="e">
        <f>VLOOKUP(Table2[[#This Row], [Author]],People!A:B,2,0)</f>
        <v>#VALUE!</v>
      </c>
      <c r="K961" s="47" t="s">
        <v>6567</v>
      </c>
      <c r="L961" s="47"/>
      <c r="M961" s="49" t="s">
        <v>4799</v>
      </c>
    </row>
    <row r="962" spans="1:13" x14ac:dyDescent="0.25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/>
      </c>
      <c r="I962" s="47" t="s">
        <v>5290</v>
      </c>
      <c r="J962" s="47" t="e">
        <f>VLOOKUP(Table2[[#This Row], [Author]],People!A:B,2,0)</f>
        <v>#VALUE!</v>
      </c>
      <c r="K962" s="47" t="s">
        <v>6567</v>
      </c>
      <c r="L962" s="47"/>
      <c r="M962" s="49" t="s">
        <v>4799</v>
      </c>
    </row>
    <row r="963" spans="1:13" x14ac:dyDescent="0.25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/>
      </c>
      <c r="I963" s="47" t="s">
        <v>5290</v>
      </c>
      <c r="J963" s="47" t="e">
        <f>VLOOKUP(Table2[[#This Row], [Author]],People!A:B,2,0)</f>
        <v>#VALUE!</v>
      </c>
      <c r="K963" s="47" t="s">
        <v>6567</v>
      </c>
      <c r="L963" s="47"/>
      <c r="M963" s="49" t="s">
        <v>4799</v>
      </c>
    </row>
    <row r="964" spans="1:13" x14ac:dyDescent="0.25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/>
      </c>
      <c r="I964" s="47" t="s">
        <v>5290</v>
      </c>
      <c r="J964" s="47" t="e">
        <f>VLOOKUP(Table2[[#This Row], [Author]],People!A:B,2,0)</f>
        <v>#VALUE!</v>
      </c>
      <c r="K964" s="47" t="s">
        <v>6567</v>
      </c>
      <c r="L964" s="47"/>
      <c r="M964" s="49" t="s">
        <v>4799</v>
      </c>
    </row>
    <row r="965" spans="1:13" x14ac:dyDescent="0.25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/>
      </c>
      <c r="I965" s="47" t="s">
        <v>5290</v>
      </c>
      <c r="J965" s="47" t="e">
        <f>VLOOKUP(Table2[[#This Row], [Author]],People!A:B,2,0)</f>
        <v>#VALUE!</v>
      </c>
      <c r="K965" s="47" t="s">
        <v>6567</v>
      </c>
      <c r="L965" s="47"/>
      <c r="M965" s="49" t="s">
        <v>4799</v>
      </c>
    </row>
    <row r="966" spans="1:13" x14ac:dyDescent="0.25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/>
      </c>
      <c r="I966" s="47" t="s">
        <v>5290</v>
      </c>
      <c r="J966" s="47" t="e">
        <f>VLOOKUP(Table2[[#This Row], [Author]],People!A:B,2,0)</f>
        <v>#VALUE!</v>
      </c>
      <c r="K966" s="47" t="s">
        <v>6567</v>
      </c>
      <c r="L966" s="47"/>
      <c r="M966" s="49" t="s">
        <v>4799</v>
      </c>
    </row>
    <row r="967" spans="1:13" x14ac:dyDescent="0.25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/>
      </c>
      <c r="I967" s="47" t="s">
        <v>5290</v>
      </c>
      <c r="J967" s="47" t="e">
        <f>VLOOKUP(Table2[[#This Row], [Author]],People!A:B,2,0)</f>
        <v>#VALUE!</v>
      </c>
      <c r="K967" s="47" t="s">
        <v>6567</v>
      </c>
      <c r="L967" s="47"/>
      <c r="M967" s="49" t="s">
        <v>4799</v>
      </c>
    </row>
    <row r="968" spans="1:13" x14ac:dyDescent="0.25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/>
      </c>
      <c r="I968" s="47" t="s">
        <v>5290</v>
      </c>
      <c r="J968" s="47" t="e">
        <f>VLOOKUP(Table2[[#This Row], [Author]],People!A:B,2,0)</f>
        <v>#VALUE!</v>
      </c>
      <c r="K968" s="47" t="s">
        <v>6567</v>
      </c>
      <c r="L968" s="47"/>
      <c r="M968" s="49" t="s">
        <v>4799</v>
      </c>
    </row>
    <row r="969" spans="1:13" x14ac:dyDescent="0.25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/>
      </c>
      <c r="I969" s="47" t="s">
        <v>5290</v>
      </c>
      <c r="J969" s="47" t="e">
        <f>VLOOKUP(Table2[[#This Row], [Author]],People!A:B,2,0)</f>
        <v>#VALUE!</v>
      </c>
      <c r="K969" s="47" t="s">
        <v>6567</v>
      </c>
      <c r="L969" s="47"/>
      <c r="M969" s="49" t="s">
        <v>4799</v>
      </c>
    </row>
    <row r="970" spans="1:13" x14ac:dyDescent="0.25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/>
      </c>
      <c r="I970" s="47" t="s">
        <v>5290</v>
      </c>
      <c r="J970" s="47" t="e">
        <f>VLOOKUP(Table2[[#This Row], [Author]],People!A:B,2,0)</f>
        <v>#VALUE!</v>
      </c>
      <c r="K970" s="47" t="s">
        <v>6567</v>
      </c>
      <c r="L970" s="47"/>
      <c r="M970" s="49" t="s">
        <v>4799</v>
      </c>
    </row>
    <row r="971" spans="1:13" x14ac:dyDescent="0.25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/>
      </c>
      <c r="I971" s="47" t="s">
        <v>5290</v>
      </c>
      <c r="J971" s="47" t="e">
        <f>VLOOKUP(Table2[[#This Row], [Author]],People!A:B,2,0)</f>
        <v>#VALUE!</v>
      </c>
      <c r="K971" s="47" t="s">
        <v>6567</v>
      </c>
      <c r="L971" s="47"/>
      <c r="M971" s="49" t="s">
        <v>4799</v>
      </c>
    </row>
    <row r="972" spans="1:13" x14ac:dyDescent="0.25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/>
      </c>
      <c r="I972" s="47" t="s">
        <v>5290</v>
      </c>
      <c r="J972" s="47" t="e">
        <f>VLOOKUP(Table2[[#This Row], [Author]],People!A:B,2,0)</f>
        <v>#VALUE!</v>
      </c>
      <c r="K972" s="47" t="s">
        <v>6567</v>
      </c>
      <c r="L972" s="47"/>
      <c r="M972" s="49" t="s">
        <v>4799</v>
      </c>
    </row>
    <row r="973" spans="1:13" x14ac:dyDescent="0.25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/>
      </c>
      <c r="I973" s="47" t="s">
        <v>5290</v>
      </c>
      <c r="J973" s="47" t="e">
        <f>VLOOKUP(Table2[[#This Row], [Author]],People!A:B,2,0)</f>
        <v>#VALUE!</v>
      </c>
      <c r="K973" s="47" t="s">
        <v>6567</v>
      </c>
      <c r="L973" s="47"/>
      <c r="M973" s="49" t="s">
        <v>4799</v>
      </c>
    </row>
    <row r="974" spans="1:13" x14ac:dyDescent="0.25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/>
      </c>
      <c r="I974" s="47" t="s">
        <v>5290</v>
      </c>
      <c r="J974" s="47" t="e">
        <f>VLOOKUP(Table2[[#This Row], [Author]],People!A:B,2,0)</f>
        <v>#VALUE!</v>
      </c>
      <c r="K974" s="47" t="s">
        <v>6567</v>
      </c>
      <c r="L974" s="47"/>
      <c r="M974" s="49" t="s">
        <v>4799</v>
      </c>
    </row>
    <row r="975" spans="1:13" x14ac:dyDescent="0.25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/>
      </c>
      <c r="I975" s="47" t="s">
        <v>5290</v>
      </c>
      <c r="J975" s="47" t="e">
        <f>VLOOKUP(Table2[[#This Row], [Author]],People!A:B,2,0)</f>
        <v>#VALUE!</v>
      </c>
      <c r="K975" s="47" t="s">
        <v>6567</v>
      </c>
      <c r="L975" s="47"/>
      <c r="M975" s="49" t="s">
        <v>4799</v>
      </c>
    </row>
    <row r="976" spans="1:13" x14ac:dyDescent="0.25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/>
      </c>
      <c r="I976" s="47" t="s">
        <v>5290</v>
      </c>
      <c r="J976" s="47" t="e">
        <f>VLOOKUP(Table2[[#This Row], [Author]],People!A:B,2,0)</f>
        <v>#VALUE!</v>
      </c>
      <c r="K976" s="47" t="s">
        <v>6567</v>
      </c>
      <c r="L976" s="47"/>
      <c r="M976" s="49" t="s">
        <v>4799</v>
      </c>
    </row>
    <row r="977" spans="1:13" x14ac:dyDescent="0.25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/>
      </c>
      <c r="I977" s="47" t="s">
        <v>5290</v>
      </c>
      <c r="J977" s="47" t="e">
        <f>VLOOKUP(Table2[[#This Row], [Author]],People!A:B,2,0)</f>
        <v>#VALUE!</v>
      </c>
      <c r="K977" s="47" t="s">
        <v>6567</v>
      </c>
      <c r="L977" s="47"/>
      <c r="M977" s="49" t="s">
        <v>4799</v>
      </c>
    </row>
    <row r="978" spans="1:13" x14ac:dyDescent="0.25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/>
      </c>
      <c r="I978" s="47" t="s">
        <v>5290</v>
      </c>
      <c r="J978" s="47" t="e">
        <f>VLOOKUP(Table2[[#This Row], [Author]],People!A:B,2,0)</f>
        <v>#VALUE!</v>
      </c>
      <c r="K978" s="47" t="s">
        <v>6618</v>
      </c>
      <c r="L978" s="47"/>
      <c r="M978" s="49" t="s">
        <v>4778</v>
      </c>
    </row>
    <row r="979" spans="1:13" x14ac:dyDescent="0.25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/>
      </c>
      <c r="I979" s="47" t="s">
        <v>5290</v>
      </c>
      <c r="J979" s="47" t="e">
        <f>VLOOKUP(Table2[[#This Row], [Author]],People!A:B,2,0)</f>
        <v>#VALUE!</v>
      </c>
      <c r="K979" s="47" t="s">
        <v>6618</v>
      </c>
      <c r="L979" s="47"/>
      <c r="M979" s="49" t="s">
        <v>4778</v>
      </c>
    </row>
    <row r="980" spans="1:13" x14ac:dyDescent="0.25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/>
      </c>
      <c r="I980" s="47" t="s">
        <v>5290</v>
      </c>
      <c r="J980" s="47" t="e">
        <f>VLOOKUP(Table2[[#This Row], [Author]],People!A:B,2,0)</f>
        <v>#VALUE!</v>
      </c>
      <c r="K980" s="47" t="s">
        <v>6618</v>
      </c>
      <c r="L980" s="47"/>
      <c r="M980" s="49" t="s">
        <v>4778</v>
      </c>
    </row>
    <row r="981" spans="1:13" x14ac:dyDescent="0.25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/>
      </c>
      <c r="I981" s="47" t="s">
        <v>5290</v>
      </c>
      <c r="J981" s="47" t="e">
        <f>VLOOKUP(Table2[[#This Row], [Author]],People!A:B,2,0)</f>
        <v>#VALUE!</v>
      </c>
      <c r="K981" s="47" t="s">
        <v>6618</v>
      </c>
      <c r="L981" s="47"/>
      <c r="M981" s="49" t="s">
        <v>4778</v>
      </c>
    </row>
    <row r="982" spans="1:13" x14ac:dyDescent="0.25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/>
      </c>
      <c r="I982" s="47" t="s">
        <v>5290</v>
      </c>
      <c r="J982" s="47" t="e">
        <f>VLOOKUP(Table2[[#This Row], [Author]],People!A:B,2,0)</f>
        <v>#VALUE!</v>
      </c>
      <c r="K982" s="47" t="s">
        <v>6618</v>
      </c>
      <c r="L982" s="47"/>
      <c r="M982" s="49" t="s">
        <v>4778</v>
      </c>
    </row>
    <row r="983" spans="1:13" x14ac:dyDescent="0.25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/>
      </c>
      <c r="I983" s="47" t="s">
        <v>5290</v>
      </c>
      <c r="J983" s="47" t="e">
        <f>VLOOKUP(Table2[[#This Row], [Author]],People!A:B,2,0)</f>
        <v>#VALUE!</v>
      </c>
      <c r="K983" s="47" t="s">
        <v>6618</v>
      </c>
      <c r="L983" s="47"/>
      <c r="M983" s="49" t="s">
        <v>4778</v>
      </c>
    </row>
    <row r="984" spans="1:13" x14ac:dyDescent="0.25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/>
      </c>
      <c r="I984" s="47" t="s">
        <v>5290</v>
      </c>
      <c r="J984" s="47" t="e">
        <f>VLOOKUP(Table2[[#This Row], [Author]],People!A:B,2,0)</f>
        <v>#VALUE!</v>
      </c>
      <c r="K984" s="47" t="s">
        <v>6618</v>
      </c>
      <c r="L984" s="47"/>
      <c r="M984" s="49" t="s">
        <v>4778</v>
      </c>
    </row>
    <row r="985" spans="1:13" x14ac:dyDescent="0.25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/>
      </c>
      <c r="I985" s="47" t="s">
        <v>5290</v>
      </c>
      <c r="J985" s="47" t="e">
        <f>VLOOKUP(Table2[[#This Row], [Author]],People!A:B,2,0)</f>
        <v>#VALUE!</v>
      </c>
      <c r="K985" s="47" t="s">
        <v>6618</v>
      </c>
      <c r="L985" s="47"/>
      <c r="M985" s="49" t="s">
        <v>4778</v>
      </c>
    </row>
    <row r="986" spans="1:13" x14ac:dyDescent="0.25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/>
      </c>
      <c r="I986" s="47" t="s">
        <v>5290</v>
      </c>
      <c r="J986" s="47" t="e">
        <f>VLOOKUP(Table2[[#This Row], [Author]],People!A:B,2,0)</f>
        <v>#VALUE!</v>
      </c>
      <c r="K986" s="47" t="s">
        <v>6618</v>
      </c>
      <c r="L986" s="47"/>
      <c r="M986" s="49" t="s">
        <v>4778</v>
      </c>
    </row>
    <row r="987" spans="1:13" x14ac:dyDescent="0.25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/>
      </c>
      <c r="I987" s="47" t="s">
        <v>5290</v>
      </c>
      <c r="J987" s="47" t="e">
        <f>VLOOKUP(Table2[[#This Row], [Author]],People!A:B,2,0)</f>
        <v>#VALUE!</v>
      </c>
      <c r="K987" s="47" t="s">
        <v>6618</v>
      </c>
      <c r="L987" s="47"/>
      <c r="M987" s="49" t="s">
        <v>4778</v>
      </c>
    </row>
    <row r="988" spans="1:13" x14ac:dyDescent="0.25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/>
      </c>
      <c r="I988" s="47" t="s">
        <v>5290</v>
      </c>
      <c r="J988" s="47" t="e">
        <f>VLOOKUP(Table2[[#This Row], [Author]],People!A:B,2,0)</f>
        <v>#VALUE!</v>
      </c>
      <c r="K988" s="47" t="s">
        <v>6618</v>
      </c>
      <c r="L988" s="47"/>
      <c r="M988" s="49" t="s">
        <v>6354</v>
      </c>
    </row>
    <row r="989" spans="1:13" x14ac:dyDescent="0.25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/>
      </c>
      <c r="I989" s="47" t="s">
        <v>5290</v>
      </c>
      <c r="J989" s="47" t="e">
        <f>VLOOKUP(Table2[[#This Row], [Author]],People!A:B,2,0)</f>
        <v>#VALUE!</v>
      </c>
      <c r="K989" s="47" t="s">
        <v>6618</v>
      </c>
      <c r="L989" s="47"/>
      <c r="M989" s="49" t="s">
        <v>6354</v>
      </c>
    </row>
    <row r="990" spans="1:13" x14ac:dyDescent="0.25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/>
      </c>
      <c r="I990" s="47" t="s">
        <v>5290</v>
      </c>
      <c r="J990" s="47" t="e">
        <f>VLOOKUP(Table2[[#This Row], [Author]],People!A:B,2,0)</f>
        <v>#VALUE!</v>
      </c>
      <c r="K990" s="47" t="s">
        <v>6618</v>
      </c>
      <c r="L990" s="47"/>
      <c r="M990" s="49" t="s">
        <v>6354</v>
      </c>
    </row>
    <row r="991" spans="1:13" x14ac:dyDescent="0.25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/>
      </c>
      <c r="I991" s="47" t="s">
        <v>5290</v>
      </c>
      <c r="J991" s="47" t="e">
        <f>VLOOKUP(Table2[[#This Row], [Author]],People!A:B,2,0)</f>
        <v>#VALUE!</v>
      </c>
      <c r="K991" s="47" t="s">
        <v>6618</v>
      </c>
      <c r="L991" s="47"/>
      <c r="M991" s="49" t="s">
        <v>6354</v>
      </c>
    </row>
    <row r="992" spans="1:13" x14ac:dyDescent="0.25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/>
      </c>
      <c r="I992" s="47" t="s">
        <v>5290</v>
      </c>
      <c r="J992" s="47" t="e">
        <f>VLOOKUP(Table2[[#This Row], [Author]],People!A:B,2,0)</f>
        <v>#VALUE!</v>
      </c>
      <c r="K992" s="47" t="s">
        <v>6618</v>
      </c>
      <c r="L992" s="47"/>
      <c r="M992" s="49" t="s">
        <v>6354</v>
      </c>
    </row>
    <row r="993" spans="1:13" x14ac:dyDescent="0.25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/>
      </c>
      <c r="I993" s="47" t="s">
        <v>5290</v>
      </c>
      <c r="J993" s="47" t="e">
        <f>VLOOKUP(Table2[[#This Row], [Author]],People!A:B,2,0)</f>
        <v>#VALUE!</v>
      </c>
      <c r="K993" s="47" t="s">
        <v>6618</v>
      </c>
      <c r="L993" s="47"/>
      <c r="M993" s="49" t="s">
        <v>6354</v>
      </c>
    </row>
    <row r="994" spans="1:13" x14ac:dyDescent="0.25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/>
      </c>
      <c r="I994" s="47" t="s">
        <v>5290</v>
      </c>
      <c r="J994" s="47" t="e">
        <f>VLOOKUP(Table2[[#This Row], [Author]],People!A:B,2,0)</f>
        <v>#VALUE!</v>
      </c>
      <c r="K994" s="47" t="s">
        <v>6618</v>
      </c>
      <c r="L994" s="47"/>
      <c r="M994" s="49" t="s">
        <v>6354</v>
      </c>
    </row>
    <row r="995" spans="1:13" x14ac:dyDescent="0.25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/>
      </c>
      <c r="I995" s="47" t="s">
        <v>5290</v>
      </c>
      <c r="J995" s="47" t="e">
        <f>VLOOKUP(Table2[[#This Row], [Author]],People!A:B,2,0)</f>
        <v>#VALUE!</v>
      </c>
      <c r="K995" s="47" t="s">
        <v>6618</v>
      </c>
      <c r="L995" s="47"/>
      <c r="M995" s="49" t="s">
        <v>6354</v>
      </c>
    </row>
    <row r="996" spans="1:13" x14ac:dyDescent="0.25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/>
      </c>
      <c r="I996" s="47" t="s">
        <v>5290</v>
      </c>
      <c r="J996" s="47" t="e">
        <f>VLOOKUP(Table2[[#This Row], [Author]],People!A:B,2,0)</f>
        <v>#VALUE!</v>
      </c>
      <c r="K996" s="47" t="s">
        <v>6618</v>
      </c>
      <c r="L996" s="47"/>
      <c r="M996" s="49" t="s">
        <v>6354</v>
      </c>
    </row>
    <row r="997" spans="1:13" x14ac:dyDescent="0.25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/>
      </c>
      <c r="I997" s="47" t="s">
        <v>5290</v>
      </c>
      <c r="J997" s="47" t="e">
        <f>VLOOKUP(Table2[[#This Row], [Author]],People!A:B,2,0)</f>
        <v>#VALUE!</v>
      </c>
      <c r="K997" s="47" t="s">
        <v>6618</v>
      </c>
      <c r="L997" s="47"/>
      <c r="M997" s="49" t="s">
        <v>6354</v>
      </c>
    </row>
    <row r="998" spans="1:13" x14ac:dyDescent="0.25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/>
      </c>
      <c r="I998" s="47" t="s">
        <v>5290</v>
      </c>
      <c r="J998" s="47" t="e">
        <f>VLOOKUP(Table2[[#This Row], [Author]],People!A:B,2,0)</f>
        <v>#VALUE!</v>
      </c>
      <c r="K998" s="47" t="s">
        <v>6618</v>
      </c>
      <c r="L998" s="47"/>
      <c r="M998" s="49" t="s">
        <v>6593</v>
      </c>
    </row>
    <row r="999" spans="1:13" x14ac:dyDescent="0.25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/>
      </c>
      <c r="I999" s="47" t="s">
        <v>5290</v>
      </c>
      <c r="J999" s="47" t="e">
        <f>VLOOKUP(Table2[[#This Row], [Author]],People!A:B,2,0)</f>
        <v>#VALUE!</v>
      </c>
      <c r="K999" s="47" t="s">
        <v>6397</v>
      </c>
      <c r="L999" s="47"/>
      <c r="M999" s="49" t="s">
        <v>1613</v>
      </c>
    </row>
    <row r="1000" spans="1:13" x14ac:dyDescent="0.25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/>
      </c>
      <c r="I1000" s="47" t="s">
        <v>5290</v>
      </c>
      <c r="J1000" s="47" t="e">
        <f>VLOOKUP(Table2[[#This Row], [Author]],People!A:B,2,0)</f>
        <v>#VALUE!</v>
      </c>
      <c r="K1000" s="47" t="s">
        <v>6397</v>
      </c>
      <c r="L1000" s="47"/>
      <c r="M1000" s="49" t="s">
        <v>1613</v>
      </c>
    </row>
    <row r="1001" spans="1:13" x14ac:dyDescent="0.25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/>
      </c>
      <c r="I1001" s="47" t="s">
        <v>5290</v>
      </c>
      <c r="J1001" s="47" t="e">
        <f>VLOOKUP(Table2[[#This Row], [Author]],People!A:B,2,0)</f>
        <v>#VALUE!</v>
      </c>
      <c r="K1001" s="47" t="s">
        <v>6397</v>
      </c>
      <c r="L1001" s="47"/>
      <c r="M1001" s="49" t="s">
        <v>1613</v>
      </c>
    </row>
    <row r="1002" spans="1:13" x14ac:dyDescent="0.25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/>
      </c>
      <c r="I1002" s="47" t="s">
        <v>5290</v>
      </c>
      <c r="J1002" s="47" t="e">
        <f>VLOOKUP(Table2[[#This Row], [Author]],People!A:B,2,0)</f>
        <v>#VALUE!</v>
      </c>
      <c r="K1002" s="47" t="s">
        <v>6397</v>
      </c>
      <c r="L1002" s="47"/>
      <c r="M1002" s="49" t="s">
        <v>1613</v>
      </c>
    </row>
    <row r="1003" spans="1:13" x14ac:dyDescent="0.25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/>
      </c>
      <c r="I1003" s="47" t="s">
        <v>5290</v>
      </c>
      <c r="J1003" s="47" t="e">
        <f>VLOOKUP(Table2[[#This Row], [Author]],People!A:B,2,0)</f>
        <v>#VALUE!</v>
      </c>
      <c r="K1003" s="47" t="s">
        <v>6618</v>
      </c>
      <c r="L1003" s="47"/>
      <c r="M1003" s="49" t="s">
        <v>6617</v>
      </c>
    </row>
    <row r="1004" spans="1:13" x14ac:dyDescent="0.25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/>
      </c>
      <c r="I1004" s="47" t="s">
        <v>5290</v>
      </c>
      <c r="J1004" s="47" t="e">
        <f>VLOOKUP(Table2[[#This Row], [Author]],People!A:B,2,0)</f>
        <v>#VALUE!</v>
      </c>
      <c r="K1004" s="47" t="s">
        <v>6618</v>
      </c>
      <c r="L1004" s="47"/>
      <c r="M1004" s="49" t="s">
        <v>4799</v>
      </c>
    </row>
    <row r="1005" spans="1:13" x14ac:dyDescent="0.25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/>
      </c>
      <c r="I1005" s="47" t="s">
        <v>5290</v>
      </c>
      <c r="J1005" s="47" t="e">
        <f>VLOOKUP(Table2[[#This Row], [Author]],People!A:B,2,0)</f>
        <v>#VALUE!</v>
      </c>
      <c r="K1005" s="47" t="s">
        <v>6618</v>
      </c>
      <c r="L1005" s="47"/>
      <c r="M1005" s="49" t="s">
        <v>4799</v>
      </c>
    </row>
    <row r="1006" spans="1:13" x14ac:dyDescent="0.25">
      <c r="A1006" s="48">
        <f t="shared" si="15"/>
        <v>1005</v>
      </c>
      <c r="B1006" s="47" t="s">
        <v>3295</v>
      </c>
      <c r="C1006" s="47" t="s">
        <v>6622</v>
      </c>
      <c r="D1006" s="47" t="s">
        <v>6620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/>
      </c>
      <c r="I1006" s="47" t="s">
        <v>5290</v>
      </c>
      <c r="J1006" s="47" t="e">
        <f>VLOOKUP(Table2[[#This Row], [Author]],People!A:B,2,0)</f>
        <v>#VALUE!</v>
      </c>
      <c r="K1006" s="47"/>
      <c r="L1006" s="47"/>
      <c r="M1006" s="49" t="s">
        <v>1230</v>
      </c>
    </row>
    <row r="1007" spans="1:13" x14ac:dyDescent="0.25">
      <c r="A1007" s="48">
        <f t="shared" si="15"/>
        <v>1006</v>
      </c>
      <c r="B1007" s="47" t="s">
        <v>3295</v>
      </c>
      <c r="C1007" s="47" t="s">
        <v>6622</v>
      </c>
      <c r="D1007" s="47" t="s">
        <v>6621</v>
      </c>
      <c r="E1007" s="47" t="s">
        <v>6623</v>
      </c>
      <c r="F1007" s="47" t="s">
        <v>6346</v>
      </c>
      <c r="G1007" s="47" t="s">
        <v>14</v>
      </c>
      <c r="H1007" s="47" t="str">
        <f>IFERROR(VLOOKUP(Table2[[#This Row], [Ticket]],Okey!A:B,2,0),"")</f>
        <v/>
      </c>
      <c r="I1007" s="47" t="s">
        <v>5290</v>
      </c>
      <c r="J1007" s="47" t="e">
        <f>VLOOKUP(Table2[[#This Row], [Author]],People!A:B,2,0)</f>
        <v>#VALUE!</v>
      </c>
      <c r="K1007" s="47"/>
      <c r="L1007" s="47"/>
      <c r="M1007" s="49" t="s">
        <v>1230</v>
      </c>
    </row>
    <row r="1008" spans="1:13" x14ac:dyDescent="0.25">
      <c r="A1008" s="48">
        <f t="shared" si="15"/>
        <v>1007</v>
      </c>
      <c r="B1008" s="47" t="s">
        <v>3295</v>
      </c>
      <c r="C1008" s="47" t="s">
        <v>6628</v>
      </c>
      <c r="D1008" s="47" t="s">
        <v>6624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/>
      </c>
      <c r="I1008" s="47" t="s">
        <v>5290</v>
      </c>
      <c r="J1008" s="47" t="e">
        <f>VLOOKUP(Table2[[#This Row], [Author]],People!A:B,2,0)</f>
        <v>#VALUE!</v>
      </c>
      <c r="K1008" s="47"/>
      <c r="L1008" s="47"/>
      <c r="M1008" s="49" t="s">
        <v>6354</v>
      </c>
    </row>
    <row r="1009" spans="1:13" x14ac:dyDescent="0.25">
      <c r="A1009" s="48">
        <f t="shared" si="15"/>
        <v>1008</v>
      </c>
      <c r="B1009" s="47" t="s">
        <v>3295</v>
      </c>
      <c r="C1009" s="47" t="s">
        <v>6628</v>
      </c>
      <c r="D1009" s="47" t="s">
        <v>6625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/>
      </c>
      <c r="I1009" s="47" t="s">
        <v>5290</v>
      </c>
      <c r="J1009" s="47" t="e">
        <f>VLOOKUP(Table2[[#This Row], [Author]],People!A:B,2,0)</f>
        <v>#VALUE!</v>
      </c>
      <c r="K1009" s="47"/>
      <c r="L1009" s="47"/>
      <c r="M1009" s="49" t="s">
        <v>6354</v>
      </c>
    </row>
    <row r="1010" spans="1:13" x14ac:dyDescent="0.25">
      <c r="A1010" s="48">
        <f t="shared" si="15"/>
        <v>1009</v>
      </c>
      <c r="B1010" s="47" t="s">
        <v>3295</v>
      </c>
      <c r="C1010" s="47" t="s">
        <v>6628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/>
      </c>
      <c r="I1010" s="47" t="s">
        <v>5290</v>
      </c>
      <c r="J1010" s="47" t="e">
        <f>VLOOKUP(Table2[[#This Row], [Author]],People!A:B,2,0)</f>
        <v>#VALUE!</v>
      </c>
      <c r="K1010" s="47"/>
      <c r="L1010" s="47"/>
      <c r="M1010" s="49" t="s">
        <v>6354</v>
      </c>
    </row>
    <row r="1011" spans="1:13" x14ac:dyDescent="0.25">
      <c r="A1011" s="48">
        <f t="shared" si="15"/>
        <v>1010</v>
      </c>
      <c r="B1011" s="47" t="s">
        <v>3295</v>
      </c>
      <c r="C1011" s="47" t="s">
        <v>6628</v>
      </c>
      <c r="D1011" s="47" t="s">
        <v>6626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/>
      </c>
      <c r="I1011" s="47" t="s">
        <v>5290</v>
      </c>
      <c r="J1011" s="47" t="e">
        <f>VLOOKUP(Table2[[#This Row], [Author]],People!A:B,2,0)</f>
        <v>#VALUE!</v>
      </c>
      <c r="K1011" s="47"/>
      <c r="L1011" s="47"/>
      <c r="M1011" s="49" t="s">
        <v>6354</v>
      </c>
    </row>
    <row r="1012" spans="1:13" x14ac:dyDescent="0.25">
      <c r="A1012" s="48">
        <f t="shared" si="15"/>
        <v>1011</v>
      </c>
      <c r="B1012" s="47" t="s">
        <v>3295</v>
      </c>
      <c r="C1012" s="47" t="s">
        <v>6628</v>
      </c>
      <c r="D1012" s="47" t="s">
        <v>6627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/>
      </c>
      <c r="I1012" s="47" t="s">
        <v>5290</v>
      </c>
      <c r="J1012" s="47" t="e">
        <f>VLOOKUP(Table2[[#This Row], [Author]],People!A:B,2,0)</f>
        <v>#VALUE!</v>
      </c>
      <c r="K1012" s="47"/>
      <c r="L1012" s="47"/>
      <c r="M1012" s="49" t="s">
        <v>6354</v>
      </c>
    </row>
    <row r="1013" spans="1:13" x14ac:dyDescent="0.25">
      <c r="A1013" s="48">
        <f t="shared" si="15"/>
        <v>1012</v>
      </c>
      <c r="B1013" s="47" t="s">
        <v>3295</v>
      </c>
      <c r="C1013" s="47" t="s">
        <v>6631</v>
      </c>
      <c r="D1013" s="47" t="s">
        <v>6637</v>
      </c>
      <c r="E1013" s="47" t="s">
        <v>6629</v>
      </c>
      <c r="F1013" s="47" t="s">
        <v>6630</v>
      </c>
      <c r="G1013" s="47" t="s">
        <v>14</v>
      </c>
      <c r="H1013" s="47" t="str">
        <f>IFERROR(VLOOKUP(Table2[[#This Row], [Ticket]],Okey!A:B,2,0),"")</f>
        <v/>
      </c>
      <c r="I1013" s="47" t="s">
        <v>5290</v>
      </c>
      <c r="J1013" s="47" t="e">
        <f>VLOOKUP(Table2[[#This Row], [Author]],People!A:B,2,0)</f>
        <v>#VALUE!</v>
      </c>
      <c r="K1013" s="47"/>
      <c r="L1013" s="47"/>
      <c r="M1013" s="49" t="s">
        <v>4786</v>
      </c>
    </row>
    <row r="1014" spans="1:13" x14ac:dyDescent="0.25">
      <c r="A1014" s="48">
        <f t="shared" si="15"/>
        <v>1013</v>
      </c>
      <c r="B1014" s="47" t="s">
        <v>3295</v>
      </c>
      <c r="C1014" s="47" t="s">
        <v>6632</v>
      </c>
      <c r="D1014" s="47" t="s">
        <v>6633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/>
      </c>
      <c r="I1014" s="47" t="s">
        <v>5290</v>
      </c>
      <c r="J1014" s="47" t="e">
        <f>VLOOKUP(Table2[[#This Row], [Author]],People!A:B,2,0)</f>
        <v>#VALUE!</v>
      </c>
      <c r="K1014" s="47"/>
      <c r="L1014" s="47"/>
      <c r="M1014" s="49" t="s">
        <v>6354</v>
      </c>
    </row>
    <row r="1015" spans="1:13" x14ac:dyDescent="0.25">
      <c r="A1015" s="48">
        <f t="shared" si="15"/>
        <v>1014</v>
      </c>
      <c r="B1015" s="47" t="s">
        <v>3295</v>
      </c>
      <c r="C1015" s="47" t="s">
        <v>6632</v>
      </c>
      <c r="D1015" s="47" t="s">
        <v>6634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/>
      </c>
      <c r="I1015" s="47" t="s">
        <v>5290</v>
      </c>
      <c r="J1015" s="47" t="e">
        <f>VLOOKUP(Table2[[#This Row], [Author]],People!A:B,2,0)</f>
        <v>#VALUE!</v>
      </c>
      <c r="K1015" s="47"/>
      <c r="L1015" s="47"/>
      <c r="M1015" s="49" t="s">
        <v>6354</v>
      </c>
    </row>
    <row r="1016" spans="1:13" x14ac:dyDescent="0.25">
      <c r="A1016" s="48">
        <f t="shared" si="15"/>
        <v>1015</v>
      </c>
      <c r="B1016" s="47" t="s">
        <v>3295</v>
      </c>
      <c r="C1016" s="47" t="s">
        <v>6632</v>
      </c>
      <c r="D1016" s="47" t="s">
        <v>6635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/>
      </c>
      <c r="I1016" s="47" t="s">
        <v>5290</v>
      </c>
      <c r="J1016" s="47" t="e">
        <f>VLOOKUP(Table2[[#This Row], [Author]],People!A:B,2,0)</f>
        <v>#VALUE!</v>
      </c>
      <c r="K1016" s="47"/>
      <c r="L1016" s="47"/>
      <c r="M1016" s="49" t="s">
        <v>6354</v>
      </c>
    </row>
    <row r="1017" spans="1:13" x14ac:dyDescent="0.25">
      <c r="A1017" s="48">
        <f t="shared" si="15"/>
        <v>1016</v>
      </c>
      <c r="B1017" s="47" t="s">
        <v>3295</v>
      </c>
      <c r="C1017" s="47" t="s">
        <v>6632</v>
      </c>
      <c r="D1017" s="47" t="s">
        <v>6636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/>
      </c>
      <c r="I1017" s="47" t="s">
        <v>5290</v>
      </c>
      <c r="J1017" s="47" t="e">
        <f>VLOOKUP(Table2[[#This Row], [Author]],People!A:B,2,0)</f>
        <v>#VALUE!</v>
      </c>
      <c r="K1017" s="47"/>
      <c r="L1017" s="47"/>
      <c r="M1017" s="49" t="s">
        <v>6354</v>
      </c>
    </row>
    <row r="1018" spans="1:13" x14ac:dyDescent="0.25">
      <c r="A1018" s="48">
        <f t="shared" si="15"/>
        <v>1017</v>
      </c>
      <c r="B1018" s="47" t="s">
        <v>3295</v>
      </c>
      <c r="C1018" s="47" t="s">
        <v>6632</v>
      </c>
      <c r="D1018" s="47" t="s">
        <v>6584</v>
      </c>
      <c r="E1018" s="47"/>
      <c r="F1018" s="47" t="s">
        <v>6633</v>
      </c>
      <c r="G1018" s="47" t="s">
        <v>13</v>
      </c>
      <c r="H1018" s="47" t="str">
        <f>IFERROR(VLOOKUP(Table2[[#This Row], [Ticket]],Okey!A:B,2,0),"")</f>
        <v/>
      </c>
      <c r="I1018" s="47" t="s">
        <v>5290</v>
      </c>
      <c r="J1018" s="47" t="e">
        <f>VLOOKUP(Table2[[#This Row], [Author]],People!A:B,2,0)</f>
        <v>#VALUE!</v>
      </c>
      <c r="K1018" s="47"/>
      <c r="L1018" s="47"/>
      <c r="M1018" s="49" t="s">
        <v>6354</v>
      </c>
    </row>
    <row r="1019" spans="1:13" x14ac:dyDescent="0.25">
      <c r="A1019" s="48">
        <f t="shared" si="15"/>
        <v>1018</v>
      </c>
      <c r="B1019" s="47" t="s">
        <v>3295</v>
      </c>
      <c r="C1019" s="47" t="s">
        <v>6632</v>
      </c>
      <c r="D1019" s="47" t="s">
        <v>6586</v>
      </c>
      <c r="E1019" s="47"/>
      <c r="F1019" s="47" t="s">
        <v>6634</v>
      </c>
      <c r="G1019" s="47" t="s">
        <v>13</v>
      </c>
      <c r="H1019" s="47" t="str">
        <f>IFERROR(VLOOKUP(Table2[[#This Row], [Ticket]],Okey!A:B,2,0),"")</f>
        <v/>
      </c>
      <c r="I1019" s="47" t="s">
        <v>5290</v>
      </c>
      <c r="J1019" s="47" t="e">
        <f>VLOOKUP(Table2[[#This Row], [Author]],People!A:B,2,0)</f>
        <v>#VALUE!</v>
      </c>
      <c r="K1019" s="47"/>
      <c r="L1019" s="47"/>
      <c r="M1019" s="49" t="s">
        <v>6354</v>
      </c>
    </row>
    <row r="1020" spans="1:13" x14ac:dyDescent="0.25">
      <c r="A1020" s="48">
        <f t="shared" si="15"/>
        <v>1019</v>
      </c>
      <c r="B1020" s="47" t="s">
        <v>3295</v>
      </c>
      <c r="C1020" s="47" t="s">
        <v>6632</v>
      </c>
      <c r="D1020" s="47" t="s">
        <v>6588</v>
      </c>
      <c r="E1020" s="47"/>
      <c r="F1020" s="47" t="s">
        <v>6635</v>
      </c>
      <c r="G1020" s="47" t="s">
        <v>13</v>
      </c>
      <c r="H1020" s="47" t="str">
        <f>IFERROR(VLOOKUP(Table2[[#This Row], [Ticket]],Okey!A:B,2,0),"")</f>
        <v/>
      </c>
      <c r="I1020" s="47" t="s">
        <v>5290</v>
      </c>
      <c r="J1020" s="47" t="e">
        <f>VLOOKUP(Table2[[#This Row], [Author]],People!A:B,2,0)</f>
        <v>#VALUE!</v>
      </c>
      <c r="K1020" s="47"/>
      <c r="L1020" s="47"/>
      <c r="M1020" s="49" t="s">
        <v>6354</v>
      </c>
    </row>
    <row r="1021" spans="1:13" x14ac:dyDescent="0.25">
      <c r="A1021" s="48">
        <f t="shared" si="15"/>
        <v>1020</v>
      </c>
      <c r="B1021" s="47" t="s">
        <v>3295</v>
      </c>
      <c r="C1021" s="47" t="s">
        <v>6632</v>
      </c>
      <c r="D1021" s="47" t="s">
        <v>6590</v>
      </c>
      <c r="E1021" s="47"/>
      <c r="F1021" s="47" t="s">
        <v>6636</v>
      </c>
      <c r="G1021" s="47" t="s">
        <v>13</v>
      </c>
      <c r="H1021" s="47" t="str">
        <f>IFERROR(VLOOKUP(Table2[[#This Row], [Ticket]],Okey!A:B,2,0),"")</f>
        <v/>
      </c>
      <c r="I1021" s="47" t="s">
        <v>5290</v>
      </c>
      <c r="J1021" s="47" t="e">
        <f>VLOOKUP(Table2[[#This Row], [Author]],People!A:B,2,0)</f>
        <v>#VALUE!</v>
      </c>
      <c r="K1021" s="47"/>
      <c r="L1021" s="47"/>
      <c r="M1021" s="49" t="s">
        <v>6354</v>
      </c>
    </row>
    <row r="1022" spans="1:13" x14ac:dyDescent="0.25">
      <c r="A1022" s="48">
        <f t="shared" si="15"/>
        <v>1021</v>
      </c>
      <c r="B1022" s="47" t="s">
        <v>3295</v>
      </c>
      <c r="C1022" s="47" t="s">
        <v>6632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/>
      </c>
      <c r="I1022" s="47" t="s">
        <v>5290</v>
      </c>
      <c r="J1022" s="47" t="e">
        <f>VLOOKUP(Table2[[#This Row], [Author]],People!A:B,2,0)</f>
        <v>#VALUE!</v>
      </c>
      <c r="K1022" s="47"/>
      <c r="L1022" s="47"/>
      <c r="M1022" s="49" t="s">
        <v>6354</v>
      </c>
    </row>
    <row r="1023" spans="1:13" x14ac:dyDescent="0.25">
      <c r="A1023" s="48">
        <f t="shared" si="15"/>
        <v>1022</v>
      </c>
      <c r="B1023" s="47" t="s">
        <v>3295</v>
      </c>
      <c r="C1023" s="47" t="s">
        <v>6632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/>
      </c>
      <c r="I1023" s="47" t="s">
        <v>5290</v>
      </c>
      <c r="J1023" s="47" t="e">
        <f>VLOOKUP(Table2[[#This Row], [Author]],People!A:B,2,0)</f>
        <v>#VALUE!</v>
      </c>
      <c r="K1023" s="47"/>
      <c r="L1023" s="47"/>
      <c r="M1023" s="49" t="s">
        <v>6354</v>
      </c>
    </row>
    <row r="1024" spans="1:13" x14ac:dyDescent="0.25">
      <c r="A1024" s="48">
        <f t="shared" si="15"/>
        <v>1023</v>
      </c>
      <c r="B1024" s="47" t="s">
        <v>3295</v>
      </c>
      <c r="C1024" s="47" t="s">
        <v>6632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/>
      </c>
      <c r="I1024" s="47" t="s">
        <v>5290</v>
      </c>
      <c r="J1024" s="47" t="e">
        <f>VLOOKUP(Table2[[#This Row], [Author]],People!A:B,2,0)</f>
        <v>#VALUE!</v>
      </c>
      <c r="K1024" s="47"/>
      <c r="L1024" s="47"/>
      <c r="M1024" s="49" t="s">
        <v>6354</v>
      </c>
    </row>
    <row r="1025" spans="1:13" x14ac:dyDescent="0.25">
      <c r="A1025" s="48">
        <f t="shared" si="15"/>
        <v>1024</v>
      </c>
      <c r="B1025" s="47" t="s">
        <v>3295</v>
      </c>
      <c r="C1025" s="47" t="s">
        <v>6632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/>
      </c>
      <c r="I1025" s="47" t="s">
        <v>5290</v>
      </c>
      <c r="J1025" s="47" t="e">
        <f>VLOOKUP(Table2[[#This Row], [Author]],People!A:B,2,0)</f>
        <v>#VALUE!</v>
      </c>
      <c r="K1025" s="47"/>
      <c r="L1025" s="47"/>
      <c r="M1025" s="49" t="s">
        <v>6354</v>
      </c>
    </row>
    <row r="1026" spans="1:13" x14ac:dyDescent="0.25">
      <c r="A1026" s="48">
        <f t="shared" si="15"/>
        <v>1025</v>
      </c>
      <c r="B1026" s="47" t="s">
        <v>3295</v>
      </c>
      <c r="C1026" s="47" t="s">
        <v>6638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/>
      </c>
      <c r="I1026" s="47" t="s">
        <v>5290</v>
      </c>
      <c r="J1026" s="47" t="e">
        <f>VLOOKUP(Table2[[#This Row], [Author]],People!A:B,2,0)</f>
        <v>#VALUE!</v>
      </c>
      <c r="K1026" s="47"/>
      <c r="L1026" s="47"/>
      <c r="M1026" s="49" t="s">
        <v>1613</v>
      </c>
    </row>
    <row r="1027" spans="1:13" x14ac:dyDescent="0.25">
      <c r="A1027" s="48">
        <f t="shared" ref="A1027:A1090" si="16">1+A1026</f>
        <v>1026</v>
      </c>
      <c r="B1027" s="47" t="s">
        <v>3295</v>
      </c>
      <c r="C1027" s="47" t="s">
        <v>6639</v>
      </c>
      <c r="D1027" s="47" t="s">
        <v>6646</v>
      </c>
      <c r="E1027" s="47" t="s">
        <v>6640</v>
      </c>
      <c r="F1027" s="47" t="s">
        <v>5278</v>
      </c>
      <c r="G1027" s="47" t="s">
        <v>14</v>
      </c>
      <c r="H1027" s="47" t="str">
        <f>IFERROR(VLOOKUP(Table2[[#This Row], [Ticket]],Okey!A:B,2,0),"")</f>
        <v/>
      </c>
      <c r="I1027" s="47" t="s">
        <v>5290</v>
      </c>
      <c r="J1027" s="47" t="e">
        <f>VLOOKUP(Table2[[#This Row], [Author]],People!A:B,2,0)</f>
        <v>#VALUE!</v>
      </c>
      <c r="K1027" s="47"/>
      <c r="L1027" s="47"/>
      <c r="M1027" s="49" t="s">
        <v>6354</v>
      </c>
    </row>
    <row r="1028" spans="1:13" x14ac:dyDescent="0.25">
      <c r="A1028" s="48">
        <f t="shared" si="16"/>
        <v>1027</v>
      </c>
      <c r="B1028" s="47" t="s">
        <v>3295</v>
      </c>
      <c r="C1028" s="47" t="s">
        <v>6639</v>
      </c>
      <c r="D1028" s="47" t="s">
        <v>6643</v>
      </c>
      <c r="E1028" s="47" t="s">
        <v>6640</v>
      </c>
      <c r="F1028" s="47" t="s">
        <v>6646</v>
      </c>
      <c r="G1028" s="47" t="s">
        <v>14</v>
      </c>
      <c r="H1028" s="47" t="str">
        <f>IFERROR(VLOOKUP(Table2[[#This Row], [Ticket]],Okey!A:B,2,0),"")</f>
        <v/>
      </c>
      <c r="I1028" s="47" t="s">
        <v>5290</v>
      </c>
      <c r="J1028" s="47" t="e">
        <f>VLOOKUP(Table2[[#This Row], [Author]],People!A:B,2,0)</f>
        <v>#VALUE!</v>
      </c>
      <c r="K1028" s="47"/>
      <c r="L1028" s="47"/>
      <c r="M1028" s="49" t="s">
        <v>6354</v>
      </c>
    </row>
    <row r="1029" spans="1:13" x14ac:dyDescent="0.25">
      <c r="A1029" s="48">
        <f t="shared" si="16"/>
        <v>1028</v>
      </c>
      <c r="B1029" s="47" t="s">
        <v>3295</v>
      </c>
      <c r="C1029" s="47" t="s">
        <v>6639</v>
      </c>
      <c r="D1029" s="47" t="s">
        <v>6647</v>
      </c>
      <c r="E1029" s="47" t="s">
        <v>6641</v>
      </c>
      <c r="F1029" s="47" t="s">
        <v>5278</v>
      </c>
      <c r="G1029" s="47" t="s">
        <v>14</v>
      </c>
      <c r="H1029" s="47" t="str">
        <f>IFERROR(VLOOKUP(Table2[[#This Row], [Ticket]],Okey!A:B,2,0),"")</f>
        <v/>
      </c>
      <c r="I1029" s="47" t="s">
        <v>5290</v>
      </c>
      <c r="J1029" s="47" t="e">
        <f>VLOOKUP(Table2[[#This Row], [Author]],People!A:B,2,0)</f>
        <v>#VALUE!</v>
      </c>
      <c r="K1029" s="47"/>
      <c r="L1029" s="47"/>
      <c r="M1029" s="49" t="s">
        <v>6354</v>
      </c>
    </row>
    <row r="1030" spans="1:13" x14ac:dyDescent="0.25">
      <c r="A1030" s="48">
        <f t="shared" si="16"/>
        <v>1029</v>
      </c>
      <c r="B1030" s="47" t="s">
        <v>3295</v>
      </c>
      <c r="C1030" s="47" t="s">
        <v>6639</v>
      </c>
      <c r="D1030" s="47" t="s">
        <v>6644</v>
      </c>
      <c r="E1030" s="47" t="s">
        <v>6641</v>
      </c>
      <c r="F1030" s="47" t="s">
        <v>6647</v>
      </c>
      <c r="G1030" s="47" t="s">
        <v>14</v>
      </c>
      <c r="H1030" s="47" t="str">
        <f>IFERROR(VLOOKUP(Table2[[#This Row], [Ticket]],Okey!A:B,2,0),"")</f>
        <v/>
      </c>
      <c r="I1030" s="47" t="s">
        <v>5290</v>
      </c>
      <c r="J1030" s="47" t="e">
        <f>VLOOKUP(Table2[[#This Row], [Author]],People!A:B,2,0)</f>
        <v>#VALUE!</v>
      </c>
      <c r="K1030" s="47"/>
      <c r="L1030" s="47"/>
      <c r="M1030" s="49" t="s">
        <v>6354</v>
      </c>
    </row>
    <row r="1031" spans="1:13" x14ac:dyDescent="0.25">
      <c r="A1031" s="48">
        <f t="shared" si="16"/>
        <v>1030</v>
      </c>
      <c r="B1031" s="47" t="s">
        <v>3295</v>
      </c>
      <c r="C1031" s="47" t="s">
        <v>6639</v>
      </c>
      <c r="D1031" s="47" t="s">
        <v>6645</v>
      </c>
      <c r="E1031" s="47" t="s">
        <v>6642</v>
      </c>
      <c r="F1031" s="47" t="s">
        <v>5278</v>
      </c>
      <c r="G1031" s="47" t="s">
        <v>14</v>
      </c>
      <c r="H1031" s="47" t="str">
        <f>IFERROR(VLOOKUP(Table2[[#This Row], [Ticket]],Okey!A:B,2,0),"")</f>
        <v/>
      </c>
      <c r="I1031" s="47" t="s">
        <v>5290</v>
      </c>
      <c r="J1031" s="47" t="e">
        <f>VLOOKUP(Table2[[#This Row], [Author]],People!A:B,2,0)</f>
        <v>#VALUE!</v>
      </c>
      <c r="K1031" s="47"/>
      <c r="L1031" s="47"/>
      <c r="M1031" s="49" t="s">
        <v>6354</v>
      </c>
    </row>
    <row r="1032" spans="1:13" x14ac:dyDescent="0.25">
      <c r="A1032" s="48">
        <f t="shared" si="16"/>
        <v>1031</v>
      </c>
      <c r="B1032" s="47" t="s">
        <v>3295</v>
      </c>
      <c r="C1032" s="47" t="s">
        <v>6639</v>
      </c>
      <c r="D1032" s="61" t="s">
        <v>5278</v>
      </c>
      <c r="E1032" s="47" t="s">
        <v>6642</v>
      </c>
      <c r="F1032" s="47"/>
      <c r="G1032" s="47" t="s">
        <v>15</v>
      </c>
      <c r="H1032" s="47" t="str">
        <f>IFERROR(VLOOKUP(Table2[[#This Row], [Ticket]],Okey!A:B,2,0),"")</f>
        <v/>
      </c>
      <c r="I1032" s="47" t="s">
        <v>5290</v>
      </c>
      <c r="J1032" s="47" t="e">
        <f>VLOOKUP(Table2[[#This Row], [Author]],People!A:B,2,0)</f>
        <v>#VALUE!</v>
      </c>
      <c r="K1032" s="47"/>
      <c r="L1032" s="47"/>
      <c r="M1032" s="49" t="s">
        <v>6354</v>
      </c>
    </row>
    <row r="1033" spans="1:13" x14ac:dyDescent="0.25">
      <c r="A1033" s="48">
        <f t="shared" si="16"/>
        <v>1032</v>
      </c>
      <c r="B1033" s="47" t="s">
        <v>3295</v>
      </c>
      <c r="C1033" s="47" t="s">
        <v>6639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/>
      </c>
      <c r="I1033" s="47" t="s">
        <v>5290</v>
      </c>
      <c r="J1033" s="47" t="e">
        <f>VLOOKUP(Table2[[#This Row], [Author]],People!A:B,2,0)</f>
        <v>#VALUE!</v>
      </c>
      <c r="K1033" s="47"/>
      <c r="L1033" s="47"/>
      <c r="M1033" s="49" t="s">
        <v>6354</v>
      </c>
    </row>
    <row r="1034" spans="1:13" x14ac:dyDescent="0.25">
      <c r="A1034" s="48">
        <f t="shared" si="16"/>
        <v>1033</v>
      </c>
      <c r="B1034" s="47" t="s">
        <v>3295</v>
      </c>
      <c r="C1034" s="47" t="s">
        <v>6649</v>
      </c>
      <c r="D1034" s="62" t="s">
        <v>3661</v>
      </c>
      <c r="E1034" s="63" t="s">
        <v>6648</v>
      </c>
      <c r="F1034" s="47"/>
      <c r="G1034" s="47" t="s">
        <v>15</v>
      </c>
      <c r="H1034" s="47" t="str">
        <f>IFERROR(VLOOKUP(Table2[[#This Row], [Ticket]],Okey!A:B,2,0),"")</f>
        <v/>
      </c>
      <c r="I1034" s="47" t="s">
        <v>5290</v>
      </c>
      <c r="J1034" s="47" t="e">
        <f>VLOOKUP(Table2[[#This Row], [Author]],People!A:B,2,0)</f>
        <v>#VALUE!</v>
      </c>
      <c r="K1034" s="47"/>
      <c r="L1034" s="47"/>
      <c r="M1034" s="49" t="s">
        <v>4778</v>
      </c>
    </row>
    <row r="1035" spans="1:13" x14ac:dyDescent="0.25">
      <c r="A1035" s="48">
        <f t="shared" si="16"/>
        <v>1034</v>
      </c>
      <c r="B1035" s="47" t="s">
        <v>3295</v>
      </c>
      <c r="C1035" s="47" t="s">
        <v>6654</v>
      </c>
      <c r="D1035" s="59" t="s">
        <v>6655</v>
      </c>
      <c r="E1035" s="47" t="s">
        <v>6650</v>
      </c>
      <c r="F1035" s="47" t="s">
        <v>6653</v>
      </c>
      <c r="G1035" s="47" t="s">
        <v>14</v>
      </c>
      <c r="H1035" s="47" t="str">
        <f>IFERROR(VLOOKUP(Table2[[#This Row], [Ticket]],Okey!A:B,2,0),"")</f>
        <v/>
      </c>
      <c r="I1035" s="47" t="s">
        <v>5290</v>
      </c>
      <c r="J1035" s="47" t="e">
        <f>VLOOKUP(Table2[[#This Row], [Author]],People!A:B,2,0)</f>
        <v>#VALUE!</v>
      </c>
      <c r="K1035" s="47"/>
      <c r="L1035" s="47"/>
      <c r="M1035" s="49" t="s">
        <v>1613</v>
      </c>
    </row>
    <row r="1036" spans="1:13" x14ac:dyDescent="0.25">
      <c r="A1036" s="48">
        <f t="shared" si="16"/>
        <v>1035</v>
      </c>
      <c r="B1036" s="47" t="s">
        <v>3295</v>
      </c>
      <c r="C1036" s="47" t="s">
        <v>6654</v>
      </c>
      <c r="D1036" s="59" t="s">
        <v>6656</v>
      </c>
      <c r="E1036" s="47" t="s">
        <v>6651</v>
      </c>
      <c r="F1036" s="47" t="s">
        <v>6653</v>
      </c>
      <c r="G1036" s="47" t="s">
        <v>14</v>
      </c>
      <c r="H1036" s="47" t="str">
        <f>IFERROR(VLOOKUP(Table2[[#This Row], [Ticket]],Okey!A:B,2,0),"")</f>
        <v/>
      </c>
      <c r="I1036" s="47" t="s">
        <v>5290</v>
      </c>
      <c r="J1036" s="47" t="e">
        <f>VLOOKUP(Table2[[#This Row], [Author]],People!A:B,2,0)</f>
        <v>#VALUE!</v>
      </c>
      <c r="K1036" s="47"/>
      <c r="L1036" s="47"/>
      <c r="M1036" s="49" t="s">
        <v>1613</v>
      </c>
    </row>
    <row r="1037" spans="1:13" x14ac:dyDescent="0.25">
      <c r="A1037" s="48">
        <f t="shared" si="16"/>
        <v>1036</v>
      </c>
      <c r="B1037" s="47" t="s">
        <v>3295</v>
      </c>
      <c r="C1037" s="47" t="s">
        <v>6654</v>
      </c>
      <c r="D1037" s="59" t="s">
        <v>6657</v>
      </c>
      <c r="E1037" s="47" t="s">
        <v>6652</v>
      </c>
      <c r="F1037" s="47" t="s">
        <v>6653</v>
      </c>
      <c r="G1037" s="47" t="s">
        <v>14</v>
      </c>
      <c r="H1037" s="47" t="str">
        <f>IFERROR(VLOOKUP(Table2[[#This Row], [Ticket]],Okey!A:B,2,0),"")</f>
        <v/>
      </c>
      <c r="I1037" s="47" t="s">
        <v>5290</v>
      </c>
      <c r="J1037" s="47" t="e">
        <f>VLOOKUP(Table2[[#This Row], [Author]],People!A:B,2,0)</f>
        <v>#VALUE!</v>
      </c>
      <c r="K1037" s="47"/>
      <c r="L1037" s="47"/>
      <c r="M1037" s="49" t="s">
        <v>1613</v>
      </c>
    </row>
    <row r="1038" spans="1:13" x14ac:dyDescent="0.25">
      <c r="A1038" s="48">
        <f t="shared" si="16"/>
        <v>1037</v>
      </c>
      <c r="B1038" s="47" t="s">
        <v>3295</v>
      </c>
      <c r="C1038" s="47" t="s">
        <v>6658</v>
      </c>
      <c r="D1038" s="47" t="s">
        <v>6683</v>
      </c>
      <c r="E1038" s="47" t="s">
        <v>6659</v>
      </c>
      <c r="F1038" s="47" t="s">
        <v>6112</v>
      </c>
      <c r="G1038" s="47" t="s">
        <v>14</v>
      </c>
      <c r="H1038" s="47" t="str">
        <f>IFERROR(VLOOKUP(Table2[[#This Row], [Ticket]],Okey!A:B,2,0),"")</f>
        <v/>
      </c>
      <c r="I1038" s="47" t="s">
        <v>5290</v>
      </c>
      <c r="J1038" s="47" t="e">
        <f>VLOOKUP(Table2[[#This Row], [Author]],People!A:B,2,0)</f>
        <v>#VALUE!</v>
      </c>
      <c r="K1038" s="47"/>
      <c r="L1038" s="47"/>
      <c r="M1038" s="49" t="s">
        <v>1613</v>
      </c>
    </row>
    <row r="1039" spans="1:13" x14ac:dyDescent="0.25">
      <c r="A1039" s="48">
        <f t="shared" si="16"/>
        <v>1038</v>
      </c>
      <c r="B1039" s="47" t="s">
        <v>3295</v>
      </c>
      <c r="C1039" s="47" t="s">
        <v>6658</v>
      </c>
      <c r="D1039" s="47" t="s">
        <v>6691</v>
      </c>
      <c r="E1039" s="47" t="s">
        <v>6660</v>
      </c>
      <c r="F1039" s="47" t="s">
        <v>6683</v>
      </c>
      <c r="G1039" s="47" t="s">
        <v>14</v>
      </c>
      <c r="H1039" s="47" t="str">
        <f>IFERROR(VLOOKUP(Table2[[#This Row], [Ticket]],Okey!A:B,2,0),"")</f>
        <v/>
      </c>
      <c r="I1039" s="47" t="s">
        <v>5290</v>
      </c>
      <c r="J1039" s="47" t="e">
        <f>VLOOKUP(Table2[[#This Row], [Author]],People!A:B,2,0)</f>
        <v>#VALUE!</v>
      </c>
      <c r="K1039" s="47"/>
      <c r="L1039" s="47"/>
      <c r="M1039" s="49" t="s">
        <v>1613</v>
      </c>
    </row>
    <row r="1040" spans="1:13" x14ac:dyDescent="0.25">
      <c r="A1040" s="48">
        <f t="shared" si="16"/>
        <v>1039</v>
      </c>
      <c r="B1040" s="47" t="s">
        <v>3295</v>
      </c>
      <c r="C1040" s="47" t="s">
        <v>6658</v>
      </c>
      <c r="D1040" s="47" t="s">
        <v>6684</v>
      </c>
      <c r="E1040" s="47" t="s">
        <v>6661</v>
      </c>
      <c r="F1040" s="47" t="s">
        <v>6112</v>
      </c>
      <c r="G1040" s="47" t="s">
        <v>14</v>
      </c>
      <c r="H1040" s="47" t="str">
        <f>IFERROR(VLOOKUP(Table2[[#This Row], [Ticket]],Okey!A:B,2,0),"")</f>
        <v/>
      </c>
      <c r="I1040" s="47" t="s">
        <v>5290</v>
      </c>
      <c r="J1040" s="47" t="e">
        <f>VLOOKUP(Table2[[#This Row], [Author]],People!A:B,2,0)</f>
        <v>#VALUE!</v>
      </c>
      <c r="K1040" s="47"/>
      <c r="L1040" s="47"/>
      <c r="M1040" s="49" t="s">
        <v>1613</v>
      </c>
    </row>
    <row r="1041" spans="1:13" x14ac:dyDescent="0.25">
      <c r="A1041" s="48">
        <f t="shared" si="16"/>
        <v>1040</v>
      </c>
      <c r="B1041" s="47" t="s">
        <v>3295</v>
      </c>
      <c r="C1041" s="47" t="s">
        <v>6658</v>
      </c>
      <c r="D1041" s="47" t="s">
        <v>6692</v>
      </c>
      <c r="E1041" s="47" t="s">
        <v>6662</v>
      </c>
      <c r="F1041" s="47" t="s">
        <v>6684</v>
      </c>
      <c r="G1041" s="47" t="s">
        <v>14</v>
      </c>
      <c r="H1041" s="47" t="str">
        <f>IFERROR(VLOOKUP(Table2[[#This Row], [Ticket]],Okey!A:B,2,0),"")</f>
        <v/>
      </c>
      <c r="I1041" s="47" t="s">
        <v>5290</v>
      </c>
      <c r="J1041" s="47" t="e">
        <f>VLOOKUP(Table2[[#This Row], [Author]],People!A:B,2,0)</f>
        <v>#VALUE!</v>
      </c>
      <c r="K1041" s="47"/>
      <c r="L1041" s="47"/>
      <c r="M1041" s="49" t="s">
        <v>1613</v>
      </c>
    </row>
    <row r="1042" spans="1:13" x14ac:dyDescent="0.25">
      <c r="A1042" s="48">
        <f t="shared" si="16"/>
        <v>1041</v>
      </c>
      <c r="B1042" s="47" t="s">
        <v>3295</v>
      </c>
      <c r="C1042" s="47" t="s">
        <v>6658</v>
      </c>
      <c r="D1042" s="47" t="s">
        <v>6685</v>
      </c>
      <c r="E1042" s="47" t="s">
        <v>6663</v>
      </c>
      <c r="F1042" s="47" t="s">
        <v>6684</v>
      </c>
      <c r="G1042" s="47" t="s">
        <v>14</v>
      </c>
      <c r="H1042" s="47" t="str">
        <f>IFERROR(VLOOKUP(Table2[[#This Row], [Ticket]],Okey!A:B,2,0),"")</f>
        <v/>
      </c>
      <c r="I1042" s="47" t="s">
        <v>5290</v>
      </c>
      <c r="J1042" s="47" t="e">
        <f>VLOOKUP(Table2[[#This Row], [Author]],People!A:B,2,0)</f>
        <v>#VALUE!</v>
      </c>
      <c r="K1042" s="47"/>
      <c r="L1042" s="47"/>
      <c r="M1042" s="49" t="s">
        <v>1613</v>
      </c>
    </row>
    <row r="1043" spans="1:13" x14ac:dyDescent="0.25">
      <c r="A1043" s="48">
        <f t="shared" si="16"/>
        <v>1042</v>
      </c>
      <c r="B1043" s="47" t="s">
        <v>3295</v>
      </c>
      <c r="C1043" s="47" t="s">
        <v>6658</v>
      </c>
      <c r="D1043" s="47" t="s">
        <v>6693</v>
      </c>
      <c r="E1043" s="47" t="s">
        <v>6664</v>
      </c>
      <c r="F1043" s="47" t="s">
        <v>6685</v>
      </c>
      <c r="G1043" s="47" t="s">
        <v>14</v>
      </c>
      <c r="H1043" s="47" t="str">
        <f>IFERROR(VLOOKUP(Table2[[#This Row], [Ticket]],Okey!A:B,2,0),"")</f>
        <v/>
      </c>
      <c r="I1043" s="47" t="s">
        <v>5290</v>
      </c>
      <c r="J1043" s="47" t="e">
        <f>VLOOKUP(Table2[[#This Row], [Author]],People!A:B,2,0)</f>
        <v>#VALUE!</v>
      </c>
      <c r="K1043" s="47"/>
      <c r="L1043" s="47"/>
      <c r="M1043" s="49" t="s">
        <v>1613</v>
      </c>
    </row>
    <row r="1044" spans="1:13" x14ac:dyDescent="0.25">
      <c r="A1044" s="48">
        <f t="shared" si="16"/>
        <v>1043</v>
      </c>
      <c r="B1044" s="47" t="s">
        <v>3295</v>
      </c>
      <c r="C1044" s="47" t="s">
        <v>6658</v>
      </c>
      <c r="D1044" s="47" t="s">
        <v>6694</v>
      </c>
      <c r="E1044" s="47" t="s">
        <v>6665</v>
      </c>
      <c r="F1044" s="47" t="s">
        <v>6685</v>
      </c>
      <c r="G1044" s="47" t="s">
        <v>14</v>
      </c>
      <c r="H1044" s="47" t="str">
        <f>IFERROR(VLOOKUP(Table2[[#This Row], [Ticket]],Okey!A:B,2,0),"")</f>
        <v/>
      </c>
      <c r="I1044" s="47" t="s">
        <v>5290</v>
      </c>
      <c r="J1044" s="47" t="e">
        <f>VLOOKUP(Table2[[#This Row], [Author]],People!A:B,2,0)</f>
        <v>#VALUE!</v>
      </c>
      <c r="K1044" s="47"/>
      <c r="L1044" s="47"/>
      <c r="M1044" s="49" t="s">
        <v>1613</v>
      </c>
    </row>
    <row r="1045" spans="1:13" x14ac:dyDescent="0.25">
      <c r="A1045" s="48">
        <f t="shared" si="16"/>
        <v>1044</v>
      </c>
      <c r="B1045" s="47" t="s">
        <v>3295</v>
      </c>
      <c r="C1045" s="47" t="s">
        <v>6658</v>
      </c>
      <c r="D1045" s="47" t="s">
        <v>6686</v>
      </c>
      <c r="E1045" s="47" t="s">
        <v>6666</v>
      </c>
      <c r="F1045" s="47" t="s">
        <v>6685</v>
      </c>
      <c r="G1045" s="47" t="s">
        <v>14</v>
      </c>
      <c r="H1045" s="47" t="str">
        <f>IFERROR(VLOOKUP(Table2[[#This Row], [Ticket]],Okey!A:B,2,0),"")</f>
        <v/>
      </c>
      <c r="I1045" s="47" t="s">
        <v>5290</v>
      </c>
      <c r="J1045" s="47" t="e">
        <f>VLOOKUP(Table2[[#This Row], [Author]],People!A:B,2,0)</f>
        <v>#VALUE!</v>
      </c>
      <c r="K1045" s="47"/>
      <c r="L1045" s="47"/>
      <c r="M1045" s="49" t="s">
        <v>1613</v>
      </c>
    </row>
    <row r="1046" spans="1:13" x14ac:dyDescent="0.25">
      <c r="A1046" s="48">
        <f t="shared" si="16"/>
        <v>1045</v>
      </c>
      <c r="B1046" s="47" t="s">
        <v>3295</v>
      </c>
      <c r="C1046" s="47" t="s">
        <v>6658</v>
      </c>
      <c r="D1046" s="47" t="s">
        <v>6695</v>
      </c>
      <c r="E1046" s="47" t="s">
        <v>6667</v>
      </c>
      <c r="F1046" s="47" t="s">
        <v>6686</v>
      </c>
      <c r="G1046" s="47" t="s">
        <v>14</v>
      </c>
      <c r="H1046" s="47" t="str">
        <f>IFERROR(VLOOKUP(Table2[[#This Row], [Ticket]],Okey!A:B,2,0),"")</f>
        <v/>
      </c>
      <c r="I1046" s="47" t="s">
        <v>5290</v>
      </c>
      <c r="J1046" s="47" t="e">
        <f>VLOOKUP(Table2[[#This Row], [Author]],People!A:B,2,0)</f>
        <v>#VALUE!</v>
      </c>
      <c r="K1046" s="47"/>
      <c r="L1046" s="47"/>
      <c r="M1046" s="49" t="s">
        <v>1613</v>
      </c>
    </row>
    <row r="1047" spans="1:13" x14ac:dyDescent="0.25">
      <c r="A1047" s="48">
        <f t="shared" si="16"/>
        <v>1046</v>
      </c>
      <c r="B1047" s="47" t="s">
        <v>3295</v>
      </c>
      <c r="C1047" s="47" t="s">
        <v>6658</v>
      </c>
      <c r="D1047" s="47" t="s">
        <v>6696</v>
      </c>
      <c r="E1047" s="47" t="s">
        <v>6668</v>
      </c>
      <c r="F1047" s="47" t="s">
        <v>6686</v>
      </c>
      <c r="G1047" s="47" t="s">
        <v>14</v>
      </c>
      <c r="H1047" s="47" t="str">
        <f>IFERROR(VLOOKUP(Table2[[#This Row], [Ticket]],Okey!A:B,2,0),"")</f>
        <v/>
      </c>
      <c r="I1047" s="47" t="s">
        <v>5290</v>
      </c>
      <c r="J1047" s="47" t="e">
        <f>VLOOKUP(Table2[[#This Row], [Author]],People!A:B,2,0)</f>
        <v>#VALUE!</v>
      </c>
      <c r="K1047" s="47"/>
      <c r="L1047" s="47"/>
      <c r="M1047" s="49" t="s">
        <v>1613</v>
      </c>
    </row>
    <row r="1048" spans="1:13" x14ac:dyDescent="0.25">
      <c r="A1048" s="48">
        <f t="shared" si="16"/>
        <v>1047</v>
      </c>
      <c r="B1048" s="47" t="s">
        <v>3295</v>
      </c>
      <c r="C1048" s="47" t="s">
        <v>6658</v>
      </c>
      <c r="D1048" s="47" t="s">
        <v>6687</v>
      </c>
      <c r="E1048" s="47" t="s">
        <v>6669</v>
      </c>
      <c r="F1048" s="47" t="s">
        <v>6685</v>
      </c>
      <c r="G1048" s="47" t="s">
        <v>14</v>
      </c>
      <c r="H1048" s="47" t="str">
        <f>IFERROR(VLOOKUP(Table2[[#This Row], [Ticket]],Okey!A:B,2,0),"")</f>
        <v/>
      </c>
      <c r="I1048" s="47" t="s">
        <v>5290</v>
      </c>
      <c r="J1048" s="47" t="e">
        <f>VLOOKUP(Table2[[#This Row], [Author]],People!A:B,2,0)</f>
        <v>#VALUE!</v>
      </c>
      <c r="K1048" s="47"/>
      <c r="L1048" s="47"/>
      <c r="M1048" s="49" t="s">
        <v>1613</v>
      </c>
    </row>
    <row r="1049" spans="1:13" x14ac:dyDescent="0.25">
      <c r="A1049" s="48">
        <f t="shared" si="16"/>
        <v>1048</v>
      </c>
      <c r="B1049" s="47" t="s">
        <v>3295</v>
      </c>
      <c r="C1049" s="47" t="s">
        <v>6658</v>
      </c>
      <c r="D1049" s="47" t="s">
        <v>6697</v>
      </c>
      <c r="E1049" s="47" t="s">
        <v>6670</v>
      </c>
      <c r="F1049" s="47" t="s">
        <v>6687</v>
      </c>
      <c r="G1049" s="47" t="s">
        <v>14</v>
      </c>
      <c r="H1049" s="47" t="str">
        <f>IFERROR(VLOOKUP(Table2[[#This Row], [Ticket]],Okey!A:B,2,0),"")</f>
        <v/>
      </c>
      <c r="I1049" s="47" t="s">
        <v>5290</v>
      </c>
      <c r="J1049" s="47" t="e">
        <f>VLOOKUP(Table2[[#This Row], [Author]],People!A:B,2,0)</f>
        <v>#VALUE!</v>
      </c>
      <c r="K1049" s="47"/>
      <c r="L1049" s="47"/>
      <c r="M1049" s="49" t="s">
        <v>1613</v>
      </c>
    </row>
    <row r="1050" spans="1:13" x14ac:dyDescent="0.25">
      <c r="A1050" s="48">
        <f t="shared" si="16"/>
        <v>1049</v>
      </c>
      <c r="B1050" s="47" t="s">
        <v>3295</v>
      </c>
      <c r="C1050" s="47" t="s">
        <v>6658</v>
      </c>
      <c r="D1050" s="47" t="s">
        <v>6698</v>
      </c>
      <c r="E1050" s="47" t="s">
        <v>6671</v>
      </c>
      <c r="F1050" s="47" t="s">
        <v>6687</v>
      </c>
      <c r="G1050" s="47" t="s">
        <v>14</v>
      </c>
      <c r="H1050" s="47" t="str">
        <f>IFERROR(VLOOKUP(Table2[[#This Row], [Ticket]],Okey!A:B,2,0),"")</f>
        <v/>
      </c>
      <c r="I1050" s="47" t="s">
        <v>5290</v>
      </c>
      <c r="J1050" s="47" t="e">
        <f>VLOOKUP(Table2[[#This Row], [Author]],People!A:B,2,0)</f>
        <v>#VALUE!</v>
      </c>
      <c r="K1050" s="47"/>
      <c r="L1050" s="47"/>
      <c r="M1050" s="49" t="s">
        <v>1613</v>
      </c>
    </row>
    <row r="1051" spans="1:13" x14ac:dyDescent="0.25">
      <c r="A1051" s="48">
        <f t="shared" si="16"/>
        <v>1050</v>
      </c>
      <c r="B1051" s="47" t="s">
        <v>3295</v>
      </c>
      <c r="C1051" s="47" t="s">
        <v>6658</v>
      </c>
      <c r="D1051" s="47" t="s">
        <v>6699</v>
      </c>
      <c r="E1051" s="47" t="s">
        <v>6672</v>
      </c>
      <c r="F1051" s="47" t="s">
        <v>6687</v>
      </c>
      <c r="G1051" s="47" t="s">
        <v>14</v>
      </c>
      <c r="H1051" s="47" t="str">
        <f>IFERROR(VLOOKUP(Table2[[#This Row], [Ticket]],Okey!A:B,2,0),"")</f>
        <v/>
      </c>
      <c r="I1051" s="47" t="s">
        <v>5290</v>
      </c>
      <c r="J1051" s="47" t="e">
        <f>VLOOKUP(Table2[[#This Row], [Author]],People!A:B,2,0)</f>
        <v>#VALUE!</v>
      </c>
      <c r="K1051" s="47"/>
      <c r="L1051" s="47"/>
      <c r="M1051" s="49" t="s">
        <v>1613</v>
      </c>
    </row>
    <row r="1052" spans="1:13" x14ac:dyDescent="0.25">
      <c r="A1052" s="48">
        <f t="shared" si="16"/>
        <v>1051</v>
      </c>
      <c r="B1052" s="47" t="s">
        <v>3295</v>
      </c>
      <c r="C1052" s="47" t="s">
        <v>6658</v>
      </c>
      <c r="D1052" s="47" t="s">
        <v>6700</v>
      </c>
      <c r="E1052" s="47" t="s">
        <v>6673</v>
      </c>
      <c r="F1052" s="47" t="s">
        <v>6687</v>
      </c>
      <c r="G1052" s="47" t="s">
        <v>14</v>
      </c>
      <c r="H1052" s="47" t="str">
        <f>IFERROR(VLOOKUP(Table2[[#This Row], [Ticket]],Okey!A:B,2,0),"")</f>
        <v/>
      </c>
      <c r="I1052" s="47" t="s">
        <v>5290</v>
      </c>
      <c r="J1052" s="47" t="e">
        <f>VLOOKUP(Table2[[#This Row], [Author]],People!A:B,2,0)</f>
        <v>#VALUE!</v>
      </c>
      <c r="K1052" s="47"/>
      <c r="L1052" s="47"/>
      <c r="M1052" s="49" t="s">
        <v>1613</v>
      </c>
    </row>
    <row r="1053" spans="1:13" x14ac:dyDescent="0.25">
      <c r="A1053" s="48">
        <f t="shared" si="16"/>
        <v>1052</v>
      </c>
      <c r="B1053" s="47" t="s">
        <v>3295</v>
      </c>
      <c r="C1053" s="47" t="s">
        <v>6658</v>
      </c>
      <c r="D1053" s="47" t="s">
        <v>6701</v>
      </c>
      <c r="E1053" s="47" t="s">
        <v>6674</v>
      </c>
      <c r="F1053" s="47" t="s">
        <v>6687</v>
      </c>
      <c r="G1053" s="47" t="s">
        <v>14</v>
      </c>
      <c r="H1053" s="47" t="str">
        <f>IFERROR(VLOOKUP(Table2[[#This Row], [Ticket]],Okey!A:B,2,0),"")</f>
        <v/>
      </c>
      <c r="I1053" s="47" t="s">
        <v>5290</v>
      </c>
      <c r="J1053" s="47" t="e">
        <f>VLOOKUP(Table2[[#This Row], [Author]],People!A:B,2,0)</f>
        <v>#VALUE!</v>
      </c>
      <c r="K1053" s="47"/>
      <c r="L1053" s="47"/>
      <c r="M1053" s="49" t="s">
        <v>1613</v>
      </c>
    </row>
    <row r="1054" spans="1:13" x14ac:dyDescent="0.25">
      <c r="A1054" s="48">
        <f t="shared" si="16"/>
        <v>1053</v>
      </c>
      <c r="B1054" s="47" t="s">
        <v>3295</v>
      </c>
      <c r="C1054" s="47" t="s">
        <v>6658</v>
      </c>
      <c r="D1054" s="47" t="s">
        <v>6688</v>
      </c>
      <c r="E1054" s="47" t="s">
        <v>6675</v>
      </c>
      <c r="F1054" s="47" t="s">
        <v>6684</v>
      </c>
      <c r="G1054" s="47" t="s">
        <v>14</v>
      </c>
      <c r="H1054" s="47" t="str">
        <f>IFERROR(VLOOKUP(Table2[[#This Row], [Ticket]],Okey!A:B,2,0),"")</f>
        <v/>
      </c>
      <c r="I1054" s="47" t="s">
        <v>5290</v>
      </c>
      <c r="J1054" s="47" t="e">
        <f>VLOOKUP(Table2[[#This Row], [Author]],People!A:B,2,0)</f>
        <v>#VALUE!</v>
      </c>
      <c r="K1054" s="47"/>
      <c r="L1054" s="47"/>
      <c r="M1054" s="49" t="s">
        <v>1613</v>
      </c>
    </row>
    <row r="1055" spans="1:13" x14ac:dyDescent="0.25">
      <c r="A1055" s="48">
        <f t="shared" si="16"/>
        <v>1054</v>
      </c>
      <c r="B1055" s="47" t="s">
        <v>3295</v>
      </c>
      <c r="C1055" s="47" t="s">
        <v>6658</v>
      </c>
      <c r="D1055" s="47" t="s">
        <v>6702</v>
      </c>
      <c r="E1055" s="47" t="s">
        <v>6676</v>
      </c>
      <c r="F1055" s="47" t="s">
        <v>6688</v>
      </c>
      <c r="G1055" s="47" t="s">
        <v>14</v>
      </c>
      <c r="H1055" s="47" t="str">
        <f>IFERROR(VLOOKUP(Table2[[#This Row], [Ticket]],Okey!A:B,2,0),"")</f>
        <v/>
      </c>
      <c r="I1055" s="47" t="s">
        <v>5290</v>
      </c>
      <c r="J1055" s="47" t="e">
        <f>VLOOKUP(Table2[[#This Row], [Author]],People!A:B,2,0)</f>
        <v>#VALUE!</v>
      </c>
      <c r="K1055" s="47"/>
      <c r="L1055" s="47"/>
      <c r="M1055" s="49" t="s">
        <v>1613</v>
      </c>
    </row>
    <row r="1056" spans="1:13" x14ac:dyDescent="0.25">
      <c r="A1056" s="48">
        <f t="shared" si="16"/>
        <v>1055</v>
      </c>
      <c r="B1056" s="47" t="s">
        <v>3295</v>
      </c>
      <c r="C1056" s="47" t="s">
        <v>6658</v>
      </c>
      <c r="D1056" s="47" t="s">
        <v>6689</v>
      </c>
      <c r="E1056" s="47" t="s">
        <v>6677</v>
      </c>
      <c r="F1056" s="47" t="s">
        <v>6688</v>
      </c>
      <c r="G1056" s="47" t="s">
        <v>14</v>
      </c>
      <c r="H1056" s="47" t="str">
        <f>IFERROR(VLOOKUP(Table2[[#This Row], [Ticket]],Okey!A:B,2,0),"")</f>
        <v/>
      </c>
      <c r="I1056" s="47" t="s">
        <v>5290</v>
      </c>
      <c r="J1056" s="47" t="e">
        <f>VLOOKUP(Table2[[#This Row], [Author]],People!A:B,2,0)</f>
        <v>#VALUE!</v>
      </c>
      <c r="K1056" s="47"/>
      <c r="L1056" s="47"/>
      <c r="M1056" s="49" t="s">
        <v>1613</v>
      </c>
    </row>
    <row r="1057" spans="1:13" x14ac:dyDescent="0.25">
      <c r="A1057" s="48">
        <f t="shared" si="16"/>
        <v>1056</v>
      </c>
      <c r="B1057" s="47" t="s">
        <v>3295</v>
      </c>
      <c r="C1057" s="47" t="s">
        <v>6658</v>
      </c>
      <c r="D1057" s="47" t="s">
        <v>6703</v>
      </c>
      <c r="E1057" s="47" t="s">
        <v>6678</v>
      </c>
      <c r="F1057" s="47" t="s">
        <v>6689</v>
      </c>
      <c r="G1057" s="47" t="s">
        <v>14</v>
      </c>
      <c r="H1057" s="47" t="str">
        <f>IFERROR(VLOOKUP(Table2[[#This Row], [Ticket]],Okey!A:B,2,0),"")</f>
        <v/>
      </c>
      <c r="I1057" s="47" t="s">
        <v>5290</v>
      </c>
      <c r="J1057" s="47" t="e">
        <f>VLOOKUP(Table2[[#This Row], [Author]],People!A:B,2,0)</f>
        <v>#VALUE!</v>
      </c>
      <c r="K1057" s="47"/>
      <c r="L1057" s="47"/>
      <c r="M1057" s="49" t="s">
        <v>1613</v>
      </c>
    </row>
    <row r="1058" spans="1:13" x14ac:dyDescent="0.25">
      <c r="A1058" s="48">
        <f t="shared" si="16"/>
        <v>1057</v>
      </c>
      <c r="B1058" s="47" t="s">
        <v>3295</v>
      </c>
      <c r="C1058" s="47" t="s">
        <v>6658</v>
      </c>
      <c r="D1058" s="47" t="s">
        <v>6704</v>
      </c>
      <c r="E1058" s="47" t="s">
        <v>6679</v>
      </c>
      <c r="F1058" s="47" t="s">
        <v>6689</v>
      </c>
      <c r="G1058" s="47" t="s">
        <v>14</v>
      </c>
      <c r="H1058" s="47" t="str">
        <f>IFERROR(VLOOKUP(Table2[[#This Row], [Ticket]],Okey!A:B,2,0),"")</f>
        <v/>
      </c>
      <c r="I1058" s="47" t="s">
        <v>5290</v>
      </c>
      <c r="J1058" s="47" t="e">
        <f>VLOOKUP(Table2[[#This Row], [Author]],People!A:B,2,0)</f>
        <v>#VALUE!</v>
      </c>
      <c r="K1058" s="47"/>
      <c r="L1058" s="47"/>
      <c r="M1058" s="49" t="s">
        <v>1613</v>
      </c>
    </row>
    <row r="1059" spans="1:13" x14ac:dyDescent="0.25">
      <c r="A1059" s="48">
        <f t="shared" si="16"/>
        <v>1058</v>
      </c>
      <c r="B1059" s="47" t="s">
        <v>3295</v>
      </c>
      <c r="C1059" s="47" t="s">
        <v>6658</v>
      </c>
      <c r="D1059" s="47" t="s">
        <v>6690</v>
      </c>
      <c r="E1059" s="47" t="s">
        <v>6680</v>
      </c>
      <c r="F1059" s="47" t="s">
        <v>6688</v>
      </c>
      <c r="G1059" s="47" t="s">
        <v>14</v>
      </c>
      <c r="H1059" s="47" t="str">
        <f>IFERROR(VLOOKUP(Table2[[#This Row], [Ticket]],Okey!A:B,2,0),"")</f>
        <v/>
      </c>
      <c r="I1059" s="47" t="s">
        <v>5290</v>
      </c>
      <c r="J1059" s="47" t="e">
        <f>VLOOKUP(Table2[[#This Row], [Author]],People!A:B,2,0)</f>
        <v>#VALUE!</v>
      </c>
      <c r="K1059" s="47"/>
      <c r="L1059" s="47"/>
      <c r="M1059" s="49" t="s">
        <v>1613</v>
      </c>
    </row>
    <row r="1060" spans="1:13" x14ac:dyDescent="0.25">
      <c r="A1060" s="48">
        <f t="shared" si="16"/>
        <v>1059</v>
      </c>
      <c r="B1060" s="47" t="s">
        <v>3295</v>
      </c>
      <c r="C1060" s="47" t="s">
        <v>6658</v>
      </c>
      <c r="D1060" s="47" t="s">
        <v>6705</v>
      </c>
      <c r="E1060" s="47" t="s">
        <v>6681</v>
      </c>
      <c r="F1060" s="47" t="s">
        <v>6690</v>
      </c>
      <c r="G1060" s="47" t="s">
        <v>14</v>
      </c>
      <c r="H1060" s="47" t="str">
        <f>IFERROR(VLOOKUP(Table2[[#This Row], [Ticket]],Okey!A:B,2,0),"")</f>
        <v/>
      </c>
      <c r="I1060" s="47" t="s">
        <v>5290</v>
      </c>
      <c r="J1060" s="47" t="e">
        <f>VLOOKUP(Table2[[#This Row], [Author]],People!A:B,2,0)</f>
        <v>#VALUE!</v>
      </c>
      <c r="K1060" s="47"/>
      <c r="L1060" s="47"/>
      <c r="M1060" s="49" t="s">
        <v>1613</v>
      </c>
    </row>
    <row r="1061" spans="1:13" x14ac:dyDescent="0.25">
      <c r="A1061" s="48">
        <f t="shared" si="16"/>
        <v>1060</v>
      </c>
      <c r="B1061" s="47" t="s">
        <v>3295</v>
      </c>
      <c r="C1061" s="47" t="s">
        <v>6658</v>
      </c>
      <c r="D1061" s="47" t="s">
        <v>6706</v>
      </c>
      <c r="E1061" s="47" t="s">
        <v>6682</v>
      </c>
      <c r="F1061" s="47" t="s">
        <v>6690</v>
      </c>
      <c r="G1061" s="47" t="s">
        <v>14</v>
      </c>
      <c r="H1061" s="47" t="str">
        <f>IFERROR(VLOOKUP(Table2[[#This Row], [Ticket]],Okey!A:B,2,0),"")</f>
        <v/>
      </c>
      <c r="I1061" s="47" t="s">
        <v>5290</v>
      </c>
      <c r="J1061" s="47" t="e">
        <f>VLOOKUP(Table2[[#This Row], [Author]],People!A:B,2,0)</f>
        <v>#VALUE!</v>
      </c>
      <c r="K1061" s="47"/>
      <c r="L1061" s="47"/>
      <c r="M1061" s="49" t="s">
        <v>1613</v>
      </c>
    </row>
    <row r="1062" spans="1:13" x14ac:dyDescent="0.25">
      <c r="A1062" s="48">
        <f t="shared" si="16"/>
        <v>1061</v>
      </c>
      <c r="B1062" s="47" t="s">
        <v>3295</v>
      </c>
      <c r="C1062" s="47" t="s">
        <v>6709</v>
      </c>
      <c r="D1062" s="47" t="s">
        <v>6710</v>
      </c>
      <c r="E1062" s="47" t="s">
        <v>6713</v>
      </c>
      <c r="F1062" s="47" t="s">
        <v>6707</v>
      </c>
      <c r="G1062" s="47" t="s">
        <v>16</v>
      </c>
      <c r="H1062" s="47" t="str">
        <f>IFERROR(VLOOKUP(Table2[[#This Row], [Ticket]],Okey!A:B,2,0),"")</f>
        <v/>
      </c>
      <c r="I1062" s="47" t="s">
        <v>5290</v>
      </c>
      <c r="J1062" s="47" t="e">
        <f>VLOOKUP(Table2[[#This Row], [Author]],People!A:B,2,0)</f>
        <v>#VALUE!</v>
      </c>
      <c r="K1062" s="47"/>
      <c r="L1062" s="47"/>
      <c r="M1062" s="49" t="s">
        <v>4782</v>
      </c>
    </row>
    <row r="1063" spans="1:13" x14ac:dyDescent="0.25">
      <c r="A1063" s="48">
        <f t="shared" si="16"/>
        <v>1062</v>
      </c>
      <c r="B1063" s="47" t="s">
        <v>3295</v>
      </c>
      <c r="C1063" s="47" t="s">
        <v>6709</v>
      </c>
      <c r="D1063" s="47" t="s">
        <v>6711</v>
      </c>
      <c r="E1063" s="47" t="s">
        <v>6714</v>
      </c>
      <c r="F1063" s="47" t="s">
        <v>6707</v>
      </c>
      <c r="G1063" s="47" t="s">
        <v>16</v>
      </c>
      <c r="H1063" s="47" t="str">
        <f>IFERROR(VLOOKUP(Table2[[#This Row], [Ticket]],Okey!A:B,2,0),"")</f>
        <v/>
      </c>
      <c r="I1063" s="47" t="s">
        <v>5290</v>
      </c>
      <c r="J1063" s="47" t="e">
        <f>VLOOKUP(Table2[[#This Row], [Author]],People!A:B,2,0)</f>
        <v>#VALUE!</v>
      </c>
      <c r="K1063" s="47"/>
      <c r="L1063" s="47"/>
      <c r="M1063" s="49" t="s">
        <v>4782</v>
      </c>
    </row>
    <row r="1064" spans="1:13" x14ac:dyDescent="0.25">
      <c r="A1064" s="48">
        <f t="shared" si="16"/>
        <v>1063</v>
      </c>
      <c r="B1064" s="47" t="s">
        <v>3295</v>
      </c>
      <c r="C1064" s="47" t="s">
        <v>6709</v>
      </c>
      <c r="D1064" s="47" t="s">
        <v>6712</v>
      </c>
      <c r="E1064" s="47" t="s">
        <v>6715</v>
      </c>
      <c r="F1064" s="47" t="s">
        <v>6708</v>
      </c>
      <c r="G1064" s="47" t="s">
        <v>16</v>
      </c>
      <c r="H1064" s="47" t="str">
        <f>IFERROR(VLOOKUP(Table2[[#This Row], [Ticket]],Okey!A:B,2,0),"")</f>
        <v/>
      </c>
      <c r="I1064" s="47" t="s">
        <v>5290</v>
      </c>
      <c r="J1064" s="47" t="e">
        <f>VLOOKUP(Table2[[#This Row], [Author]],People!A:B,2,0)</f>
        <v>#VALUE!</v>
      </c>
      <c r="K1064" s="47"/>
      <c r="L1064" s="47"/>
      <c r="M1064" s="49" t="s">
        <v>4782</v>
      </c>
    </row>
    <row r="1065" spans="1:13" x14ac:dyDescent="0.25">
      <c r="A1065" s="48">
        <f t="shared" si="16"/>
        <v>1064</v>
      </c>
      <c r="B1065" s="47" t="s">
        <v>3295</v>
      </c>
      <c r="C1065" s="47" t="s">
        <v>6716</v>
      </c>
      <c r="D1065" s="47" t="s">
        <v>6685</v>
      </c>
      <c r="E1065" s="47"/>
      <c r="F1065" s="47" t="s">
        <v>6683</v>
      </c>
      <c r="G1065" s="47" t="s">
        <v>13</v>
      </c>
      <c r="H1065" s="47" t="str">
        <f>IFERROR(VLOOKUP(Table2[[#This Row], [Ticket]],Okey!A:B,2,0),"")</f>
        <v/>
      </c>
      <c r="I1065" s="47" t="s">
        <v>5290</v>
      </c>
      <c r="J1065" s="47" t="e">
        <f>VLOOKUP(Table2[[#This Row], [Author]],People!A:B,2,0)</f>
        <v>#VALUE!</v>
      </c>
      <c r="K1065" s="47"/>
      <c r="L1065" s="47"/>
      <c r="M1065" s="49" t="s">
        <v>1613</v>
      </c>
    </row>
    <row r="1066" spans="1:13" x14ac:dyDescent="0.25">
      <c r="A1066" s="48">
        <f t="shared" si="16"/>
        <v>1065</v>
      </c>
      <c r="B1066" s="47" t="s">
        <v>3295</v>
      </c>
      <c r="C1066" s="47" t="s">
        <v>6724</v>
      </c>
      <c r="D1066" s="47" t="s">
        <v>6725</v>
      </c>
      <c r="E1066" s="47" t="s">
        <v>6717</v>
      </c>
      <c r="F1066" s="47" t="s">
        <v>5278</v>
      </c>
      <c r="G1066" s="47" t="s">
        <v>14</v>
      </c>
      <c r="H1066" s="47" t="str">
        <f>IFERROR(VLOOKUP(Table2[[#This Row], [Ticket]],Okey!A:B,2,0),"")</f>
        <v/>
      </c>
      <c r="I1066" s="47" t="s">
        <v>5290</v>
      </c>
      <c r="J1066" s="47" t="e">
        <f>VLOOKUP(Table2[[#This Row],[Author]],People!A:B,2,0)</f>
        <v>#VALUE!</v>
      </c>
      <c r="K1066" s="47"/>
      <c r="L1066" s="47"/>
      <c r="M1066" s="49" t="s">
        <v>6354</v>
      </c>
    </row>
    <row r="1067" spans="1:13" x14ac:dyDescent="0.25">
      <c r="A1067" s="48">
        <f t="shared" si="16"/>
        <v>1066</v>
      </c>
      <c r="B1067" s="47" t="s">
        <v>3295</v>
      </c>
      <c r="C1067" s="47" t="s">
        <v>6724</v>
      </c>
      <c r="D1067" s="47" t="s">
        <v>6720</v>
      </c>
      <c r="E1067" s="47" t="s">
        <v>6717</v>
      </c>
      <c r="F1067" s="47" t="s">
        <v>6725</v>
      </c>
      <c r="G1067" s="47" t="s">
        <v>14</v>
      </c>
      <c r="H1067" s="47" t="str">
        <f>IFERROR(VLOOKUP(Table2[[#This Row], [Ticket]],Okey!A:B,2,0),"")</f>
        <v/>
      </c>
      <c r="I1067" s="47" t="s">
        <v>5290</v>
      </c>
      <c r="J1067" s="47" t="e">
        <f>VLOOKUP(Table2[[#This Row], [Author]],People!A:B,2,0)</f>
        <v>#VALUE!</v>
      </c>
      <c r="K1067" s="47"/>
      <c r="L1067" s="47"/>
      <c r="M1067" s="49" t="s">
        <v>6354</v>
      </c>
    </row>
    <row r="1068" spans="1:13" x14ac:dyDescent="0.25">
      <c r="A1068" s="48">
        <f t="shared" si="16"/>
        <v>1067</v>
      </c>
      <c r="B1068" s="47" t="s">
        <v>3295</v>
      </c>
      <c r="C1068" s="47" t="s">
        <v>6724</v>
      </c>
      <c r="D1068" s="47" t="s">
        <v>6726</v>
      </c>
      <c r="E1068" s="47" t="s">
        <v>6718</v>
      </c>
      <c r="F1068" s="47" t="s">
        <v>5278</v>
      </c>
      <c r="G1068" s="47" t="s">
        <v>14</v>
      </c>
      <c r="H1068" s="47" t="str">
        <f>IFERROR(VLOOKUP(Table2[[#This Row], [Ticket]],Okey!A:B,2,0),"")</f>
        <v/>
      </c>
      <c r="I1068" s="47" t="s">
        <v>5290</v>
      </c>
      <c r="J1068" s="47" t="e">
        <f>VLOOKUP(Table2[[#This Row], [Author]],People!A:B,2,0)</f>
        <v>#VALUE!</v>
      </c>
      <c r="K1068" s="47"/>
      <c r="L1068" s="47"/>
      <c r="M1068" s="49" t="s">
        <v>6354</v>
      </c>
    </row>
    <row r="1069" spans="1:13" x14ac:dyDescent="0.25">
      <c r="A1069" s="48">
        <f t="shared" si="16"/>
        <v>1068</v>
      </c>
      <c r="B1069" s="47" t="s">
        <v>3295</v>
      </c>
      <c r="C1069" s="47" t="s">
        <v>6724</v>
      </c>
      <c r="D1069" s="47" t="s">
        <v>6721</v>
      </c>
      <c r="E1069" s="47" t="s">
        <v>6718</v>
      </c>
      <c r="F1069" s="47" t="s">
        <v>6726</v>
      </c>
      <c r="G1069" s="47" t="s">
        <v>14</v>
      </c>
      <c r="H1069" s="47" t="str">
        <f>IFERROR(VLOOKUP(Table2[[#This Row], [Ticket]],Okey!A:B,2,0),"")</f>
        <v/>
      </c>
      <c r="I1069" s="47" t="s">
        <v>5290</v>
      </c>
      <c r="J1069" s="47" t="e">
        <f>VLOOKUP(Table2[[#This Row], [Author]],People!A:B,2,0)</f>
        <v>#VALUE!</v>
      </c>
      <c r="K1069" s="47"/>
      <c r="L1069" s="47"/>
      <c r="M1069" s="49" t="s">
        <v>6354</v>
      </c>
    </row>
    <row r="1070" spans="1:13" x14ac:dyDescent="0.25">
      <c r="A1070" s="48">
        <f t="shared" si="16"/>
        <v>1069</v>
      </c>
      <c r="B1070" s="47" t="s">
        <v>3295</v>
      </c>
      <c r="C1070" s="47" t="s">
        <v>6724</v>
      </c>
      <c r="D1070" s="47" t="s">
        <v>6727</v>
      </c>
      <c r="E1070" s="47" t="s">
        <v>6719</v>
      </c>
      <c r="F1070" s="47" t="s">
        <v>5278</v>
      </c>
      <c r="G1070" s="47" t="s">
        <v>14</v>
      </c>
      <c r="H1070" s="47" t="str">
        <f>IFERROR(VLOOKUP(Table2[[#This Row], [Ticket]],Okey!A:B,2,0),"")</f>
        <v/>
      </c>
      <c r="I1070" s="47" t="s">
        <v>5290</v>
      </c>
      <c r="J1070" s="47" t="e">
        <f>VLOOKUP(Table2[[#This Row], [Author]],People!A:B,2,0)</f>
        <v>#VALUE!</v>
      </c>
      <c r="K1070" s="47"/>
      <c r="L1070" s="47"/>
      <c r="M1070" s="49" t="s">
        <v>6354</v>
      </c>
    </row>
    <row r="1071" spans="1:13" x14ac:dyDescent="0.25">
      <c r="A1071" s="48">
        <f t="shared" si="16"/>
        <v>1070</v>
      </c>
      <c r="B1071" s="47" t="s">
        <v>3295</v>
      </c>
      <c r="C1071" s="47" t="s">
        <v>6724</v>
      </c>
      <c r="D1071" s="47" t="s">
        <v>6722</v>
      </c>
      <c r="E1071" s="47" t="s">
        <v>6719</v>
      </c>
      <c r="F1071" s="47" t="s">
        <v>6727</v>
      </c>
      <c r="G1071" s="47" t="s">
        <v>14</v>
      </c>
      <c r="H1071" s="47" t="str">
        <f>IFERROR(VLOOKUP(Table2[[#This Row], [Ticket]],Okey!A:B,2,0),"")</f>
        <v/>
      </c>
      <c r="I1071" s="47" t="s">
        <v>5290</v>
      </c>
      <c r="J1071" s="47" t="e">
        <f>VLOOKUP(Table2[[#This Row], [Author]],People!A:B,2,0)</f>
        <v>#VALUE!</v>
      </c>
      <c r="K1071" s="47"/>
      <c r="L1071" s="47"/>
      <c r="M1071" s="49" t="s">
        <v>6354</v>
      </c>
    </row>
    <row r="1072" spans="1:13" x14ac:dyDescent="0.25">
      <c r="A1072" s="48">
        <f t="shared" si="16"/>
        <v>1071</v>
      </c>
      <c r="B1072" s="47" t="s">
        <v>3295</v>
      </c>
      <c r="C1072" s="47" t="s">
        <v>6724</v>
      </c>
      <c r="D1072" s="47" t="s">
        <v>6647</v>
      </c>
      <c r="E1072" s="47" t="s">
        <v>6723</v>
      </c>
      <c r="F1072" s="47"/>
      <c r="G1072" s="47" t="s">
        <v>15</v>
      </c>
      <c r="H1072" s="47" t="str">
        <f>IFERROR(VLOOKUP(Table2[[#This Row], [Ticket]],Okey!A:B,2,0),"")</f>
        <v/>
      </c>
      <c r="I1072" s="47" t="s">
        <v>5290</v>
      </c>
      <c r="J1072" s="47" t="e">
        <f>VLOOKUP(Table2[[#This Row], [Author]],People!A:B,2,0)</f>
        <v>#VALUE!</v>
      </c>
      <c r="K1072" s="47"/>
      <c r="L1072" s="47"/>
      <c r="M1072" s="49" t="s">
        <v>6354</v>
      </c>
    </row>
    <row r="1073" spans="1:13" x14ac:dyDescent="0.25">
      <c r="A1073" s="48">
        <f t="shared" si="16"/>
        <v>1072</v>
      </c>
      <c r="B1073" s="47" t="s">
        <v>3295</v>
      </c>
      <c r="C1073" s="47" t="s">
        <v>6724</v>
      </c>
      <c r="D1073" s="47" t="s">
        <v>6644</v>
      </c>
      <c r="E1073" s="47" t="s">
        <v>6723</v>
      </c>
      <c r="F1073" s="47"/>
      <c r="G1073" s="47" t="s">
        <v>15</v>
      </c>
      <c r="H1073" s="47" t="str">
        <f>IFERROR(VLOOKUP(Table2[[#This Row], [Ticket]],Okey!A:B,2,0),"")</f>
        <v/>
      </c>
      <c r="I1073" s="47" t="s">
        <v>5290</v>
      </c>
      <c r="J1073" s="47" t="e">
        <f>VLOOKUP(Table2[[#This Row], [Author]],People!A:B,2,0)</f>
        <v>#VALUE!</v>
      </c>
      <c r="K1073" s="47"/>
      <c r="L1073" s="47"/>
      <c r="M1073" s="49" t="s">
        <v>6354</v>
      </c>
    </row>
    <row r="1074" spans="1:13" x14ac:dyDescent="0.25">
      <c r="A1074" s="48">
        <f t="shared" si="16"/>
        <v>1073</v>
      </c>
      <c r="B1074" s="47" t="s">
        <v>3295</v>
      </c>
      <c r="C1074" s="47" t="s">
        <v>6729</v>
      </c>
      <c r="D1074" s="47" t="s">
        <v>6732</v>
      </c>
      <c r="E1074" s="47" t="s">
        <v>6728</v>
      </c>
      <c r="F1074" s="47" t="s">
        <v>6731</v>
      </c>
      <c r="G1074" s="47" t="s">
        <v>14</v>
      </c>
      <c r="H1074" s="47" t="str">
        <f>IFERROR(VLOOKUP(Table2[[#This Row], [Ticket]],Okey!A:B,2,0),"")</f>
        <v/>
      </c>
      <c r="I1074" s="47" t="s">
        <v>5290</v>
      </c>
      <c r="J1074" s="47" t="e">
        <f>VLOOKUP(Table2[[#This Row], [Author]],People!A:B,2,0)</f>
        <v>#VALUE!</v>
      </c>
      <c r="K1074" s="47"/>
      <c r="L1074" s="47"/>
      <c r="M1074" s="49" t="s">
        <v>6730</v>
      </c>
    </row>
    <row r="1075" spans="1:13" x14ac:dyDescent="0.25">
      <c r="A1075" s="48">
        <f t="shared" si="16"/>
        <v>1074</v>
      </c>
      <c r="B1075" s="47" t="s">
        <v>4</v>
      </c>
      <c r="C1075" s="47" t="s">
        <v>6733</v>
      </c>
      <c r="D1075" s="47" t="s">
        <v>6737</v>
      </c>
      <c r="E1075" s="47" t="s">
        <v>6734</v>
      </c>
      <c r="F1075" s="47" t="s">
        <v>990</v>
      </c>
      <c r="G1075" s="47" t="s">
        <v>14</v>
      </c>
      <c r="H1075" s="47" t="str">
        <f>IFERROR(VLOOKUP(Table2[[#This Row], [Ticket]],Okey!A:B,2,0),"")</f>
        <v/>
      </c>
      <c r="I1075" s="47" t="s">
        <v>5290</v>
      </c>
      <c r="J1075" s="47" t="e">
        <f>VLOOKUP(Table2[[#This Row],[Author]],People!A:B,2,0)</f>
        <v>#VALUE!</v>
      </c>
      <c r="K1075" s="47"/>
      <c r="L1075" s="47"/>
      <c r="M1075" s="49" t="s">
        <v>6354</v>
      </c>
    </row>
    <row r="1076" spans="1:13" x14ac:dyDescent="0.25">
      <c r="A1076" s="48">
        <f t="shared" si="16"/>
        <v>1075</v>
      </c>
      <c r="B1076" s="47" t="s">
        <v>4</v>
      </c>
      <c r="C1076" s="47" t="s">
        <v>6733</v>
      </c>
      <c r="D1076" s="47" t="s">
        <v>6735</v>
      </c>
      <c r="E1076" s="47" t="s">
        <v>6736</v>
      </c>
      <c r="F1076" s="47" t="s">
        <v>6737</v>
      </c>
      <c r="G1076" s="47" t="s">
        <v>14</v>
      </c>
      <c r="H1076" s="47" t="str">
        <f>IFERROR(VLOOKUP(Table2[[#This Row], [Ticket]],Okey!A:B,2,0),"")</f>
        <v/>
      </c>
      <c r="I1076" s="47" t="s">
        <v>5290</v>
      </c>
      <c r="J1076" s="47" t="e">
        <f>VLOOKUP(Table2[[#This Row], [Author]],People!A:B,2,0)</f>
        <v>#VALUE!</v>
      </c>
      <c r="K1076" s="47"/>
      <c r="L1076" s="47"/>
      <c r="M1076" s="49" t="s">
        <v>6354</v>
      </c>
    </row>
    <row r="1077" spans="1:13" x14ac:dyDescent="0.25">
      <c r="A1077" s="48">
        <f t="shared" si="16"/>
        <v>1076</v>
      </c>
      <c r="B1077" s="47" t="s">
        <v>4</v>
      </c>
      <c r="C1077" s="47" t="s">
        <v>7158</v>
      </c>
      <c r="D1077" s="47" t="s">
        <v>7161</v>
      </c>
      <c r="E1077" s="47" t="s">
        <v>6738</v>
      </c>
      <c r="F1077" s="47" t="s">
        <v>6683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#VALUE!</v>
      </c>
      <c r="K1077" s="47"/>
      <c r="L1077" s="47"/>
      <c r="M1077" s="49" t="s">
        <v>1613</v>
      </c>
    </row>
    <row r="1078" spans="1:13" x14ac:dyDescent="0.25">
      <c r="A1078" s="48">
        <f t="shared" si="16"/>
        <v>1077</v>
      </c>
      <c r="B1078" s="47" t="s">
        <v>4</v>
      </c>
      <c r="C1078" s="47" t="s">
        <v>7158</v>
      </c>
      <c r="D1078" s="47" t="s">
        <v>7162</v>
      </c>
      <c r="E1078" s="47" t="s">
        <v>6739</v>
      </c>
      <c r="F1078" s="47" t="s">
        <v>7161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#VALUE!</v>
      </c>
      <c r="K1078" s="47"/>
      <c r="L1078" s="47"/>
      <c r="M1078" s="49" t="s">
        <v>1613</v>
      </c>
    </row>
    <row r="1079" spans="1:13" x14ac:dyDescent="0.25">
      <c r="A1079" s="48">
        <f t="shared" si="16"/>
        <v>1078</v>
      </c>
      <c r="B1079" s="47" t="s">
        <v>4</v>
      </c>
      <c r="C1079" s="47" t="s">
        <v>7158</v>
      </c>
      <c r="D1079" s="47" t="s">
        <v>7163</v>
      </c>
      <c r="E1079" s="47" t="s">
        <v>6740</v>
      </c>
      <c r="F1079" s="47" t="s">
        <v>7161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#VALUE!</v>
      </c>
      <c r="K1079" s="47"/>
      <c r="L1079" s="47"/>
      <c r="M1079" s="49" t="s">
        <v>1613</v>
      </c>
    </row>
    <row r="1080" spans="1:13" x14ac:dyDescent="0.25">
      <c r="A1080" s="48">
        <f t="shared" si="16"/>
        <v>1079</v>
      </c>
      <c r="B1080" s="47" t="s">
        <v>4</v>
      </c>
      <c r="C1080" s="47" t="s">
        <v>7158</v>
      </c>
      <c r="D1080" s="47" t="s">
        <v>7164</v>
      </c>
      <c r="E1080" s="47" t="s">
        <v>6741</v>
      </c>
      <c r="F1080" s="47" t="s">
        <v>7161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#VALUE!</v>
      </c>
      <c r="K1080" s="47"/>
      <c r="L1080" s="47"/>
      <c r="M1080" s="49" t="s">
        <v>1613</v>
      </c>
    </row>
    <row r="1081" spans="1:13" x14ac:dyDescent="0.25">
      <c r="A1081" s="48">
        <f t="shared" si="16"/>
        <v>1080</v>
      </c>
      <c r="B1081" s="47" t="s">
        <v>4</v>
      </c>
      <c r="C1081" s="47" t="s">
        <v>7158</v>
      </c>
      <c r="D1081" s="47" t="s">
        <v>7165</v>
      </c>
      <c r="E1081" s="47" t="s">
        <v>6742</v>
      </c>
      <c r="F1081" s="47" t="s">
        <v>7164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#VALUE!</v>
      </c>
      <c r="K1081" s="47"/>
      <c r="L1081" s="47"/>
      <c r="M1081" s="49" t="s">
        <v>1613</v>
      </c>
    </row>
    <row r="1082" spans="1:13" x14ac:dyDescent="0.25">
      <c r="A1082" s="48">
        <f t="shared" si="16"/>
        <v>1081</v>
      </c>
      <c r="B1082" s="47" t="s">
        <v>4</v>
      </c>
      <c r="C1082" s="47" t="s">
        <v>7158</v>
      </c>
      <c r="D1082" s="47" t="s">
        <v>7166</v>
      </c>
      <c r="E1082" s="47" t="s">
        <v>6743</v>
      </c>
      <c r="F1082" s="47" t="s">
        <v>7164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#VALUE!</v>
      </c>
      <c r="K1082" s="47"/>
      <c r="L1082" s="47"/>
      <c r="M1082" s="49" t="s">
        <v>1613</v>
      </c>
    </row>
    <row r="1083" spans="1:13" x14ac:dyDescent="0.25">
      <c r="A1083" s="48">
        <f t="shared" si="16"/>
        <v>1082</v>
      </c>
      <c r="B1083" s="47" t="s">
        <v>4</v>
      </c>
      <c r="C1083" s="47" t="s">
        <v>7158</v>
      </c>
      <c r="D1083" s="47" t="s">
        <v>7167</v>
      </c>
      <c r="E1083" s="47" t="s">
        <v>6744</v>
      </c>
      <c r="F1083" s="47" t="s">
        <v>7161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#VALUE!</v>
      </c>
      <c r="K1083" s="47"/>
      <c r="L1083" s="47"/>
      <c r="M1083" s="49" t="s">
        <v>1613</v>
      </c>
    </row>
    <row r="1084" spans="1:13" x14ac:dyDescent="0.25">
      <c r="A1084" s="48">
        <f t="shared" si="16"/>
        <v>1083</v>
      </c>
      <c r="B1084" s="47" t="s">
        <v>4</v>
      </c>
      <c r="C1084" s="47" t="s">
        <v>7158</v>
      </c>
      <c r="D1084" s="47" t="s">
        <v>7168</v>
      </c>
      <c r="E1084" s="47" t="s">
        <v>6745</v>
      </c>
      <c r="F1084" s="47" t="s">
        <v>7167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#VALUE!</v>
      </c>
      <c r="K1084" s="47"/>
      <c r="L1084" s="47"/>
      <c r="M1084" s="49" t="s">
        <v>1613</v>
      </c>
    </row>
    <row r="1085" spans="1:13" x14ac:dyDescent="0.25">
      <c r="A1085" s="48">
        <f t="shared" si="16"/>
        <v>1084</v>
      </c>
      <c r="B1085" s="47" t="s">
        <v>4</v>
      </c>
      <c r="C1085" s="47" t="s">
        <v>7158</v>
      </c>
      <c r="D1085" s="47" t="s">
        <v>7169</v>
      </c>
      <c r="E1085" s="47" t="s">
        <v>6746</v>
      </c>
      <c r="F1085" s="47" t="s">
        <v>7167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#VALUE!</v>
      </c>
      <c r="K1085" s="47"/>
      <c r="L1085" s="47"/>
      <c r="M1085" s="49" t="s">
        <v>1613</v>
      </c>
    </row>
    <row r="1086" spans="1:13" x14ac:dyDescent="0.25">
      <c r="A1086" s="48">
        <f t="shared" si="16"/>
        <v>1085</v>
      </c>
      <c r="B1086" s="47" t="s">
        <v>4</v>
      </c>
      <c r="C1086" s="47" t="s">
        <v>7158</v>
      </c>
      <c r="D1086" s="47" t="s">
        <v>7170</v>
      </c>
      <c r="E1086" s="47" t="s">
        <v>6747</v>
      </c>
      <c r="F1086" s="47" t="s">
        <v>7167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#VALUE!</v>
      </c>
      <c r="K1086" s="47"/>
      <c r="L1086" s="47"/>
      <c r="M1086" s="49" t="s">
        <v>1613</v>
      </c>
    </row>
    <row r="1087" spans="1:13" x14ac:dyDescent="0.25">
      <c r="A1087" s="48">
        <f t="shared" si="16"/>
        <v>1086</v>
      </c>
      <c r="B1087" s="47" t="s">
        <v>4</v>
      </c>
      <c r="C1087" s="47" t="s">
        <v>7158</v>
      </c>
      <c r="D1087" s="47" t="s">
        <v>7171</v>
      </c>
      <c r="E1087" s="47" t="s">
        <v>6748</v>
      </c>
      <c r="F1087" s="47" t="s">
        <v>7167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#VALUE!</v>
      </c>
      <c r="K1087" s="47"/>
      <c r="L1087" s="47"/>
      <c r="M1087" s="49" t="s">
        <v>1613</v>
      </c>
    </row>
    <row r="1088" spans="1:13" x14ac:dyDescent="0.25">
      <c r="A1088" s="48">
        <f t="shared" si="16"/>
        <v>1087</v>
      </c>
      <c r="B1088" s="47" t="s">
        <v>4</v>
      </c>
      <c r="C1088" s="47" t="s">
        <v>7158</v>
      </c>
      <c r="D1088" s="47" t="s">
        <v>7172</v>
      </c>
      <c r="E1088" s="47" t="s">
        <v>6749</v>
      </c>
      <c r="F1088" s="47" t="s">
        <v>7167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#VALUE!</v>
      </c>
      <c r="K1088" s="47"/>
      <c r="L1088" s="47"/>
      <c r="M1088" s="49" t="s">
        <v>1613</v>
      </c>
    </row>
    <row r="1089" spans="1:13" x14ac:dyDescent="0.25">
      <c r="A1089" s="48">
        <f t="shared" si="16"/>
        <v>1088</v>
      </c>
      <c r="B1089" s="47" t="s">
        <v>4</v>
      </c>
      <c r="C1089" s="47" t="s">
        <v>7158</v>
      </c>
      <c r="D1089" s="47" t="s">
        <v>7173</v>
      </c>
      <c r="E1089" s="47" t="s">
        <v>6750</v>
      </c>
      <c r="F1089" s="47" t="s">
        <v>6684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#VALUE!</v>
      </c>
      <c r="K1089" s="47"/>
      <c r="L1089" s="47"/>
      <c r="M1089" s="49" t="s">
        <v>1613</v>
      </c>
    </row>
    <row r="1090" spans="1:13" x14ac:dyDescent="0.25">
      <c r="A1090" s="48">
        <f t="shared" si="16"/>
        <v>1089</v>
      </c>
      <c r="B1090" s="47" t="s">
        <v>4</v>
      </c>
      <c r="C1090" s="47" t="s">
        <v>7158</v>
      </c>
      <c r="D1090" s="47" t="s">
        <v>7174</v>
      </c>
      <c r="E1090" s="47" t="s">
        <v>6751</v>
      </c>
      <c r="F1090" s="47" t="s">
        <v>7173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#VALUE!</v>
      </c>
      <c r="K1090" s="47"/>
      <c r="L1090" s="47"/>
      <c r="M1090" s="49" t="s">
        <v>1613</v>
      </c>
    </row>
    <row r="1091" spans="1:13" x14ac:dyDescent="0.25">
      <c r="A1091" s="48">
        <f t="shared" ref="A1091:A1154" si="17">1+A1090</f>
        <v>1090</v>
      </c>
      <c r="B1091" s="47" t="s">
        <v>4</v>
      </c>
      <c r="C1091" s="47" t="s">
        <v>7158</v>
      </c>
      <c r="D1091" s="47" t="s">
        <v>7175</v>
      </c>
      <c r="E1091" s="47" t="s">
        <v>6752</v>
      </c>
      <c r="F1091" s="47" t="s">
        <v>7173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#VALUE!</v>
      </c>
      <c r="K1091" s="47"/>
      <c r="L1091" s="47"/>
      <c r="M1091" s="49" t="s">
        <v>1613</v>
      </c>
    </row>
    <row r="1092" spans="1:13" x14ac:dyDescent="0.25">
      <c r="A1092" s="48">
        <f t="shared" si="17"/>
        <v>1091</v>
      </c>
      <c r="B1092" s="47" t="s">
        <v>4</v>
      </c>
      <c r="C1092" s="47" t="s">
        <v>7158</v>
      </c>
      <c r="D1092" s="47" t="s">
        <v>7176</v>
      </c>
      <c r="E1092" s="47" t="s">
        <v>6753</v>
      </c>
      <c r="F1092" s="47" t="s">
        <v>7175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#VALUE!</v>
      </c>
      <c r="K1092" s="47"/>
      <c r="L1092" s="47"/>
      <c r="M1092" s="49" t="s">
        <v>1613</v>
      </c>
    </row>
    <row r="1093" spans="1:13" x14ac:dyDescent="0.25">
      <c r="A1093" s="48">
        <f t="shared" si="17"/>
        <v>1092</v>
      </c>
      <c r="B1093" s="47" t="s">
        <v>4</v>
      </c>
      <c r="C1093" s="47" t="s">
        <v>7158</v>
      </c>
      <c r="D1093" s="47" t="s">
        <v>7177</v>
      </c>
      <c r="E1093" s="47" t="s">
        <v>6754</v>
      </c>
      <c r="F1093" s="47" t="s">
        <v>7175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#VALUE!</v>
      </c>
      <c r="K1093" s="47"/>
      <c r="L1093" s="47"/>
      <c r="M1093" s="49" t="s">
        <v>1613</v>
      </c>
    </row>
    <row r="1094" spans="1:13" x14ac:dyDescent="0.25">
      <c r="A1094" s="48">
        <f t="shared" si="17"/>
        <v>1093</v>
      </c>
      <c r="B1094" s="47" t="s">
        <v>4</v>
      </c>
      <c r="C1094" s="47" t="s">
        <v>7158</v>
      </c>
      <c r="D1094" s="47" t="s">
        <v>7178</v>
      </c>
      <c r="E1094" s="47" t="s">
        <v>6755</v>
      </c>
      <c r="F1094" s="47" t="s">
        <v>7173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#VALUE!</v>
      </c>
      <c r="K1094" s="47"/>
      <c r="L1094" s="47"/>
      <c r="M1094" s="49" t="s">
        <v>1613</v>
      </c>
    </row>
    <row r="1095" spans="1:13" x14ac:dyDescent="0.25">
      <c r="A1095" s="48">
        <f t="shared" si="17"/>
        <v>1094</v>
      </c>
      <c r="B1095" s="47" t="s">
        <v>4</v>
      </c>
      <c r="C1095" s="47" t="s">
        <v>7158</v>
      </c>
      <c r="D1095" s="47" t="s">
        <v>7179</v>
      </c>
      <c r="E1095" s="47" t="s">
        <v>6756</v>
      </c>
      <c r="F1095" s="47" t="s">
        <v>7178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#VALUE!</v>
      </c>
      <c r="K1095" s="47"/>
      <c r="L1095" s="47"/>
      <c r="M1095" s="49" t="s">
        <v>1613</v>
      </c>
    </row>
    <row r="1096" spans="1:13" x14ac:dyDescent="0.25">
      <c r="A1096" s="48">
        <f t="shared" si="17"/>
        <v>1095</v>
      </c>
      <c r="B1096" s="47" t="s">
        <v>4</v>
      </c>
      <c r="C1096" s="47" t="s">
        <v>7158</v>
      </c>
      <c r="D1096" s="47" t="s">
        <v>7180</v>
      </c>
      <c r="E1096" s="47" t="s">
        <v>6757</v>
      </c>
      <c r="F1096" s="47" t="s">
        <v>7178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#VALUE!</v>
      </c>
      <c r="K1096" s="47"/>
      <c r="L1096" s="47"/>
      <c r="M1096" s="49" t="s">
        <v>1613</v>
      </c>
    </row>
    <row r="1097" spans="1:13" x14ac:dyDescent="0.25">
      <c r="A1097" s="48">
        <f t="shared" si="17"/>
        <v>1096</v>
      </c>
      <c r="B1097" s="47" t="s">
        <v>4</v>
      </c>
      <c r="C1097" s="47" t="s">
        <v>7158</v>
      </c>
      <c r="D1097" s="47" t="s">
        <v>7181</v>
      </c>
      <c r="E1097" s="47" t="s">
        <v>6758</v>
      </c>
      <c r="F1097" s="47" t="s">
        <v>6683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#VALUE!</v>
      </c>
      <c r="K1097" s="47"/>
      <c r="L1097" s="47"/>
      <c r="M1097" s="49" t="s">
        <v>1613</v>
      </c>
    </row>
    <row r="1098" spans="1:13" x14ac:dyDescent="0.25">
      <c r="A1098" s="48">
        <f t="shared" si="17"/>
        <v>1097</v>
      </c>
      <c r="B1098" s="47" t="s">
        <v>4</v>
      </c>
      <c r="C1098" s="47" t="s">
        <v>7158</v>
      </c>
      <c r="D1098" s="47" t="s">
        <v>7182</v>
      </c>
      <c r="E1098" s="47" t="s">
        <v>6759</v>
      </c>
      <c r="F1098" s="47" t="s">
        <v>7181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#VALUE!</v>
      </c>
      <c r="K1098" s="47"/>
      <c r="L1098" s="47"/>
      <c r="M1098" s="49" t="s">
        <v>1613</v>
      </c>
    </row>
    <row r="1099" spans="1:13" x14ac:dyDescent="0.25">
      <c r="A1099" s="48">
        <f t="shared" si="17"/>
        <v>1098</v>
      </c>
      <c r="B1099" s="47" t="s">
        <v>4</v>
      </c>
      <c r="C1099" s="47" t="s">
        <v>7158</v>
      </c>
      <c r="D1099" s="47" t="s">
        <v>7183</v>
      </c>
      <c r="E1099" s="47" t="s">
        <v>6760</v>
      </c>
      <c r="F1099" s="47" t="s">
        <v>7181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#VALUE!</v>
      </c>
      <c r="K1099" s="47"/>
      <c r="L1099" s="47"/>
      <c r="M1099" s="49" t="s">
        <v>1613</v>
      </c>
    </row>
    <row r="1100" spans="1:13" x14ac:dyDescent="0.25">
      <c r="A1100" s="48">
        <f t="shared" si="17"/>
        <v>1099</v>
      </c>
      <c r="B1100" s="47" t="s">
        <v>4</v>
      </c>
      <c r="C1100" s="47" t="s">
        <v>7158</v>
      </c>
      <c r="D1100" s="47" t="s">
        <v>7184</v>
      </c>
      <c r="E1100" s="47" t="s">
        <v>6761</v>
      </c>
      <c r="F1100" s="47" t="s">
        <v>7181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#VALUE!</v>
      </c>
      <c r="K1100" s="47"/>
      <c r="L1100" s="47"/>
      <c r="M1100" s="49" t="s">
        <v>1613</v>
      </c>
    </row>
    <row r="1101" spans="1:13" x14ac:dyDescent="0.25">
      <c r="A1101" s="48">
        <f t="shared" si="17"/>
        <v>1100</v>
      </c>
      <c r="B1101" s="47" t="s">
        <v>4</v>
      </c>
      <c r="C1101" s="47" t="s">
        <v>7158</v>
      </c>
      <c r="D1101" s="47" t="s">
        <v>7185</v>
      </c>
      <c r="E1101" s="47" t="s">
        <v>6762</v>
      </c>
      <c r="F1101" s="47" t="s">
        <v>7184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#VALUE!</v>
      </c>
      <c r="K1101" s="47"/>
      <c r="L1101" s="47"/>
      <c r="M1101" s="49" t="s">
        <v>1613</v>
      </c>
    </row>
    <row r="1102" spans="1:13" x14ac:dyDescent="0.25">
      <c r="A1102" s="48">
        <f t="shared" si="17"/>
        <v>1101</v>
      </c>
      <c r="B1102" s="47" t="s">
        <v>4</v>
      </c>
      <c r="C1102" s="47" t="s">
        <v>7158</v>
      </c>
      <c r="D1102" s="47" t="s">
        <v>7186</v>
      </c>
      <c r="E1102" s="47" t="s">
        <v>6763</v>
      </c>
      <c r="F1102" s="47" t="s">
        <v>7184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#VALUE!</v>
      </c>
      <c r="K1102" s="47"/>
      <c r="L1102" s="47"/>
      <c r="M1102" s="49" t="s">
        <v>1613</v>
      </c>
    </row>
    <row r="1103" spans="1:13" x14ac:dyDescent="0.25">
      <c r="A1103" s="48">
        <f t="shared" si="17"/>
        <v>1102</v>
      </c>
      <c r="B1103" s="47" t="s">
        <v>4</v>
      </c>
      <c r="C1103" s="47" t="s">
        <v>7158</v>
      </c>
      <c r="D1103" s="47" t="s">
        <v>7187</v>
      </c>
      <c r="E1103" s="47" t="s">
        <v>6764</v>
      </c>
      <c r="F1103" s="47" t="s">
        <v>7181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#VALUE!</v>
      </c>
      <c r="K1103" s="47"/>
      <c r="L1103" s="47"/>
      <c r="M1103" s="49" t="s">
        <v>1613</v>
      </c>
    </row>
    <row r="1104" spans="1:13" x14ac:dyDescent="0.25">
      <c r="A1104" s="48">
        <f t="shared" si="17"/>
        <v>1103</v>
      </c>
      <c r="B1104" s="47" t="s">
        <v>4</v>
      </c>
      <c r="C1104" s="47" t="s">
        <v>7158</v>
      </c>
      <c r="D1104" s="47" t="s">
        <v>7188</v>
      </c>
      <c r="E1104" s="47" t="s">
        <v>6765</v>
      </c>
      <c r="F1104" s="47" t="s">
        <v>7187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#VALUE!</v>
      </c>
      <c r="K1104" s="47"/>
      <c r="L1104" s="47"/>
      <c r="M1104" s="49" t="s">
        <v>1613</v>
      </c>
    </row>
    <row r="1105" spans="1:13" x14ac:dyDescent="0.25">
      <c r="A1105" s="48">
        <f t="shared" si="17"/>
        <v>1104</v>
      </c>
      <c r="B1105" s="47" t="s">
        <v>4</v>
      </c>
      <c r="C1105" s="47" t="s">
        <v>7158</v>
      </c>
      <c r="D1105" s="47" t="s">
        <v>7189</v>
      </c>
      <c r="E1105" s="47" t="s">
        <v>6766</v>
      </c>
      <c r="F1105" s="47" t="s">
        <v>7187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#VALUE!</v>
      </c>
      <c r="K1105" s="47"/>
      <c r="L1105" s="47"/>
      <c r="M1105" s="49" t="s">
        <v>1613</v>
      </c>
    </row>
    <row r="1106" spans="1:13" x14ac:dyDescent="0.25">
      <c r="A1106" s="48">
        <f t="shared" si="17"/>
        <v>1105</v>
      </c>
      <c r="B1106" s="47" t="s">
        <v>4</v>
      </c>
      <c r="C1106" s="47" t="s">
        <v>7158</v>
      </c>
      <c r="D1106" s="47" t="s">
        <v>7190</v>
      </c>
      <c r="E1106" s="47" t="s">
        <v>6767</v>
      </c>
      <c r="F1106" s="47" t="s">
        <v>7187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#VALUE!</v>
      </c>
      <c r="K1106" s="47"/>
      <c r="L1106" s="47"/>
      <c r="M1106" s="49" t="s">
        <v>1613</v>
      </c>
    </row>
    <row r="1107" spans="1:13" x14ac:dyDescent="0.25">
      <c r="A1107" s="48">
        <f t="shared" si="17"/>
        <v>1106</v>
      </c>
      <c r="B1107" s="47" t="s">
        <v>4</v>
      </c>
      <c r="C1107" s="47" t="s">
        <v>7158</v>
      </c>
      <c r="D1107" s="47" t="s">
        <v>7191</v>
      </c>
      <c r="E1107" s="47" t="s">
        <v>6768</v>
      </c>
      <c r="F1107" s="47" t="s">
        <v>7187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#VALUE!</v>
      </c>
      <c r="K1107" s="47"/>
      <c r="L1107" s="47"/>
      <c r="M1107" s="49" t="s">
        <v>1613</v>
      </c>
    </row>
    <row r="1108" spans="1:13" x14ac:dyDescent="0.25">
      <c r="A1108" s="48">
        <f t="shared" si="17"/>
        <v>1107</v>
      </c>
      <c r="B1108" s="47" t="s">
        <v>4</v>
      </c>
      <c r="C1108" s="47" t="s">
        <v>7158</v>
      </c>
      <c r="D1108" s="47" t="s">
        <v>7192</v>
      </c>
      <c r="E1108" s="47" t="s">
        <v>6769</v>
      </c>
      <c r="F1108" s="47" t="s">
        <v>7187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#VALUE!</v>
      </c>
      <c r="K1108" s="47"/>
      <c r="L1108" s="47"/>
      <c r="M1108" s="49" t="s">
        <v>1613</v>
      </c>
    </row>
    <row r="1109" spans="1:13" x14ac:dyDescent="0.25">
      <c r="A1109" s="48">
        <f t="shared" si="17"/>
        <v>1108</v>
      </c>
      <c r="B1109" s="47" t="s">
        <v>4</v>
      </c>
      <c r="C1109" s="47" t="s">
        <v>7158</v>
      </c>
      <c r="D1109" s="47" t="s">
        <v>7193</v>
      </c>
      <c r="E1109" s="47" t="s">
        <v>6770</v>
      </c>
      <c r="F1109" s="47" t="s">
        <v>6684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#VALUE!</v>
      </c>
      <c r="K1109" s="47"/>
      <c r="L1109" s="47"/>
      <c r="M1109" s="49" t="s">
        <v>1613</v>
      </c>
    </row>
    <row r="1110" spans="1:13" x14ac:dyDescent="0.25">
      <c r="A1110" s="48">
        <f t="shared" si="17"/>
        <v>1109</v>
      </c>
      <c r="B1110" s="47" t="s">
        <v>4</v>
      </c>
      <c r="C1110" s="47" t="s">
        <v>7158</v>
      </c>
      <c r="D1110" s="47" t="s">
        <v>7194</v>
      </c>
      <c r="E1110" s="47" t="s">
        <v>6771</v>
      </c>
      <c r="F1110" s="47" t="s">
        <v>7193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#VALUE!</v>
      </c>
      <c r="K1110" s="47"/>
      <c r="L1110" s="47"/>
      <c r="M1110" s="49" t="s">
        <v>1613</v>
      </c>
    </row>
    <row r="1111" spans="1:13" x14ac:dyDescent="0.25">
      <c r="A1111" s="48">
        <f t="shared" si="17"/>
        <v>1110</v>
      </c>
      <c r="B1111" s="47" t="s">
        <v>4</v>
      </c>
      <c r="C1111" s="47" t="s">
        <v>7158</v>
      </c>
      <c r="D1111" s="47" t="s">
        <v>7195</v>
      </c>
      <c r="E1111" s="47" t="s">
        <v>6772</v>
      </c>
      <c r="F1111" s="47" t="s">
        <v>7193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#VALUE!</v>
      </c>
      <c r="K1111" s="47"/>
      <c r="L1111" s="47"/>
      <c r="M1111" s="49" t="s">
        <v>1613</v>
      </c>
    </row>
    <row r="1112" spans="1:13" x14ac:dyDescent="0.25">
      <c r="A1112" s="48">
        <f t="shared" si="17"/>
        <v>1111</v>
      </c>
      <c r="B1112" s="47" t="s">
        <v>4</v>
      </c>
      <c r="C1112" s="47" t="s">
        <v>7158</v>
      </c>
      <c r="D1112" s="47" t="s">
        <v>7196</v>
      </c>
      <c r="E1112" s="47" t="s">
        <v>6773</v>
      </c>
      <c r="F1112" s="47" t="s">
        <v>7195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#VALUE!</v>
      </c>
      <c r="K1112" s="47"/>
      <c r="L1112" s="47"/>
      <c r="M1112" s="49" t="s">
        <v>1613</v>
      </c>
    </row>
    <row r="1113" spans="1:13" x14ac:dyDescent="0.25">
      <c r="A1113" s="48">
        <f t="shared" si="17"/>
        <v>1112</v>
      </c>
      <c r="B1113" s="47" t="s">
        <v>4</v>
      </c>
      <c r="C1113" s="47" t="s">
        <v>7158</v>
      </c>
      <c r="D1113" s="47" t="s">
        <v>7197</v>
      </c>
      <c r="E1113" s="47" t="s">
        <v>6774</v>
      </c>
      <c r="F1113" s="47" t="s">
        <v>7195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#VALUE!</v>
      </c>
      <c r="K1113" s="47"/>
      <c r="L1113" s="47"/>
      <c r="M1113" s="49" t="s">
        <v>1613</v>
      </c>
    </row>
    <row r="1114" spans="1:13" x14ac:dyDescent="0.25">
      <c r="A1114" s="48">
        <f t="shared" si="17"/>
        <v>1113</v>
      </c>
      <c r="B1114" s="47" t="s">
        <v>4</v>
      </c>
      <c r="C1114" s="47" t="s">
        <v>7158</v>
      </c>
      <c r="D1114" s="47" t="s">
        <v>7198</v>
      </c>
      <c r="E1114" s="47" t="s">
        <v>6775</v>
      </c>
      <c r="F1114" s="47" t="s">
        <v>7193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#VALUE!</v>
      </c>
      <c r="K1114" s="47"/>
      <c r="L1114" s="47"/>
      <c r="M1114" s="49" t="s">
        <v>1613</v>
      </c>
    </row>
    <row r="1115" spans="1:13" x14ac:dyDescent="0.25">
      <c r="A1115" s="48">
        <f t="shared" si="17"/>
        <v>1114</v>
      </c>
      <c r="B1115" s="47" t="s">
        <v>4</v>
      </c>
      <c r="C1115" s="47" t="s">
        <v>7158</v>
      </c>
      <c r="D1115" s="47" t="s">
        <v>7199</v>
      </c>
      <c r="E1115" s="47" t="s">
        <v>6776</v>
      </c>
      <c r="F1115" s="47" t="s">
        <v>7198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#VALUE!</v>
      </c>
      <c r="K1115" s="47"/>
      <c r="L1115" s="47"/>
      <c r="M1115" s="49" t="s">
        <v>1613</v>
      </c>
    </row>
    <row r="1116" spans="1:13" x14ac:dyDescent="0.25">
      <c r="A1116" s="48">
        <f t="shared" si="17"/>
        <v>1115</v>
      </c>
      <c r="B1116" s="47" t="s">
        <v>4</v>
      </c>
      <c r="C1116" s="47" t="s">
        <v>7158</v>
      </c>
      <c r="D1116" s="47" t="s">
        <v>7200</v>
      </c>
      <c r="E1116" s="47" t="s">
        <v>6777</v>
      </c>
      <c r="F1116" s="47" t="s">
        <v>7198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#VALUE!</v>
      </c>
      <c r="K1116" s="47"/>
      <c r="L1116" s="47"/>
      <c r="M1116" s="49" t="s">
        <v>1613</v>
      </c>
    </row>
    <row r="1117" spans="1:13" x14ac:dyDescent="0.25">
      <c r="A1117" s="48">
        <f t="shared" si="17"/>
        <v>1116</v>
      </c>
      <c r="B1117" s="47" t="s">
        <v>4</v>
      </c>
      <c r="C1117" s="47" t="s">
        <v>7158</v>
      </c>
      <c r="D1117" s="47" t="s">
        <v>7201</v>
      </c>
      <c r="E1117" s="47" t="s">
        <v>6778</v>
      </c>
      <c r="F1117" s="47" t="s">
        <v>6683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#VALUE!</v>
      </c>
      <c r="K1117" s="47"/>
      <c r="L1117" s="47"/>
      <c r="M1117" s="49" t="s">
        <v>1613</v>
      </c>
    </row>
    <row r="1118" spans="1:13" x14ac:dyDescent="0.25">
      <c r="A1118" s="48">
        <f t="shared" si="17"/>
        <v>1117</v>
      </c>
      <c r="B1118" s="47" t="s">
        <v>4</v>
      </c>
      <c r="C1118" s="47" t="s">
        <v>7158</v>
      </c>
      <c r="D1118" s="47" t="s">
        <v>7202</v>
      </c>
      <c r="E1118" s="47" t="s">
        <v>6779</v>
      </c>
      <c r="F1118" s="47" t="s">
        <v>7201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#VALUE!</v>
      </c>
      <c r="K1118" s="47"/>
      <c r="L1118" s="47"/>
      <c r="M1118" s="49" t="s">
        <v>1613</v>
      </c>
    </row>
    <row r="1119" spans="1:13" x14ac:dyDescent="0.25">
      <c r="A1119" s="48">
        <f t="shared" si="17"/>
        <v>1118</v>
      </c>
      <c r="B1119" s="47" t="s">
        <v>4</v>
      </c>
      <c r="C1119" s="47" t="s">
        <v>7158</v>
      </c>
      <c r="D1119" s="47" t="s">
        <v>7203</v>
      </c>
      <c r="E1119" s="47" t="s">
        <v>6780</v>
      </c>
      <c r="F1119" s="47" t="s">
        <v>7201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#VALUE!</v>
      </c>
      <c r="K1119" s="47"/>
      <c r="L1119" s="47"/>
      <c r="M1119" s="49" t="s">
        <v>1613</v>
      </c>
    </row>
    <row r="1120" spans="1:13" x14ac:dyDescent="0.25">
      <c r="A1120" s="48">
        <f t="shared" si="17"/>
        <v>1119</v>
      </c>
      <c r="B1120" s="47" t="s">
        <v>4</v>
      </c>
      <c r="C1120" s="47" t="s">
        <v>7158</v>
      </c>
      <c r="D1120" s="47" t="s">
        <v>7204</v>
      </c>
      <c r="E1120" s="47" t="s">
        <v>6781</v>
      </c>
      <c r="F1120" s="47" t="s">
        <v>7201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#VALUE!</v>
      </c>
      <c r="K1120" s="47"/>
      <c r="L1120" s="47"/>
      <c r="M1120" s="49" t="s">
        <v>1613</v>
      </c>
    </row>
    <row r="1121" spans="1:13" x14ac:dyDescent="0.25">
      <c r="A1121" s="48">
        <f t="shared" si="17"/>
        <v>1120</v>
      </c>
      <c r="B1121" s="47" t="s">
        <v>4</v>
      </c>
      <c r="C1121" s="47" t="s">
        <v>7158</v>
      </c>
      <c r="D1121" s="47" t="s">
        <v>7205</v>
      </c>
      <c r="E1121" s="47" t="s">
        <v>6782</v>
      </c>
      <c r="F1121" s="47" t="s">
        <v>7204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#VALUE!</v>
      </c>
      <c r="K1121" s="47"/>
      <c r="L1121" s="47"/>
      <c r="M1121" s="49" t="s">
        <v>1613</v>
      </c>
    </row>
    <row r="1122" spans="1:13" x14ac:dyDescent="0.25">
      <c r="A1122" s="48">
        <f t="shared" si="17"/>
        <v>1121</v>
      </c>
      <c r="B1122" s="47" t="s">
        <v>4</v>
      </c>
      <c r="C1122" s="47" t="s">
        <v>7158</v>
      </c>
      <c r="D1122" s="47" t="s">
        <v>7206</v>
      </c>
      <c r="E1122" s="47" t="s">
        <v>6783</v>
      </c>
      <c r="F1122" s="47" t="s">
        <v>7204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#VALUE!</v>
      </c>
      <c r="K1122" s="47"/>
      <c r="L1122" s="47"/>
      <c r="M1122" s="49" t="s">
        <v>1613</v>
      </c>
    </row>
    <row r="1123" spans="1:13" x14ac:dyDescent="0.25">
      <c r="A1123" s="48">
        <f t="shared" si="17"/>
        <v>1122</v>
      </c>
      <c r="B1123" s="47" t="s">
        <v>4</v>
      </c>
      <c r="C1123" s="47" t="s">
        <v>7158</v>
      </c>
      <c r="D1123" s="47" t="s">
        <v>7207</v>
      </c>
      <c r="E1123" s="47" t="s">
        <v>6784</v>
      </c>
      <c r="F1123" s="47" t="s">
        <v>7201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#VALUE!</v>
      </c>
      <c r="K1123" s="47"/>
      <c r="L1123" s="47"/>
      <c r="M1123" s="49" t="s">
        <v>1613</v>
      </c>
    </row>
    <row r="1124" spans="1:13" x14ac:dyDescent="0.25">
      <c r="A1124" s="48">
        <f t="shared" si="17"/>
        <v>1123</v>
      </c>
      <c r="B1124" s="47" t="s">
        <v>4</v>
      </c>
      <c r="C1124" s="47" t="s">
        <v>7158</v>
      </c>
      <c r="D1124" s="47" t="s">
        <v>7208</v>
      </c>
      <c r="E1124" s="47" t="s">
        <v>6785</v>
      </c>
      <c r="F1124" s="47" t="s">
        <v>7207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#VALUE!</v>
      </c>
      <c r="K1124" s="47"/>
      <c r="L1124" s="47"/>
      <c r="M1124" s="49" t="s">
        <v>1613</v>
      </c>
    </row>
    <row r="1125" spans="1:13" x14ac:dyDescent="0.25">
      <c r="A1125" s="48">
        <f t="shared" si="17"/>
        <v>1124</v>
      </c>
      <c r="B1125" s="47" t="s">
        <v>4</v>
      </c>
      <c r="C1125" s="47" t="s">
        <v>7158</v>
      </c>
      <c r="D1125" s="47" t="s">
        <v>7209</v>
      </c>
      <c r="E1125" s="47" t="s">
        <v>6786</v>
      </c>
      <c r="F1125" s="47" t="s">
        <v>7207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#VALUE!</v>
      </c>
      <c r="K1125" s="47"/>
      <c r="L1125" s="47"/>
      <c r="M1125" s="49" t="s">
        <v>1613</v>
      </c>
    </row>
    <row r="1126" spans="1:13" x14ac:dyDescent="0.25">
      <c r="A1126" s="48">
        <f t="shared" si="17"/>
        <v>1125</v>
      </c>
      <c r="B1126" s="47" t="s">
        <v>4</v>
      </c>
      <c r="C1126" s="47" t="s">
        <v>7158</v>
      </c>
      <c r="D1126" s="47" t="s">
        <v>7210</v>
      </c>
      <c r="E1126" s="47" t="s">
        <v>6787</v>
      </c>
      <c r="F1126" s="47" t="s">
        <v>7207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#VALUE!</v>
      </c>
      <c r="K1126" s="47"/>
      <c r="L1126" s="47"/>
      <c r="M1126" s="49" t="s">
        <v>1613</v>
      </c>
    </row>
    <row r="1127" spans="1:13" x14ac:dyDescent="0.25">
      <c r="A1127" s="48">
        <f t="shared" si="17"/>
        <v>1126</v>
      </c>
      <c r="B1127" s="47" t="s">
        <v>4</v>
      </c>
      <c r="C1127" s="47" t="s">
        <v>7158</v>
      </c>
      <c r="D1127" s="47" t="s">
        <v>7211</v>
      </c>
      <c r="E1127" s="47" t="s">
        <v>6788</v>
      </c>
      <c r="F1127" s="47" t="s">
        <v>7207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#VALUE!</v>
      </c>
      <c r="K1127" s="47"/>
      <c r="L1127" s="47"/>
      <c r="M1127" s="49" t="s">
        <v>1613</v>
      </c>
    </row>
    <row r="1128" spans="1:13" x14ac:dyDescent="0.25">
      <c r="A1128" s="48">
        <f t="shared" si="17"/>
        <v>1127</v>
      </c>
      <c r="B1128" s="47" t="s">
        <v>4</v>
      </c>
      <c r="C1128" s="47" t="s">
        <v>7158</v>
      </c>
      <c r="D1128" s="47" t="s">
        <v>7212</v>
      </c>
      <c r="E1128" s="47" t="s">
        <v>6789</v>
      </c>
      <c r="F1128" s="47" t="s">
        <v>7207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#VALUE!</v>
      </c>
      <c r="K1128" s="47"/>
      <c r="L1128" s="47"/>
      <c r="M1128" s="49" t="s">
        <v>1613</v>
      </c>
    </row>
    <row r="1129" spans="1:13" x14ac:dyDescent="0.25">
      <c r="A1129" s="48">
        <f t="shared" si="17"/>
        <v>1128</v>
      </c>
      <c r="B1129" s="47" t="s">
        <v>4</v>
      </c>
      <c r="C1129" s="47" t="s">
        <v>7158</v>
      </c>
      <c r="D1129" s="47" t="s">
        <v>7213</v>
      </c>
      <c r="E1129" s="47" t="s">
        <v>6790</v>
      </c>
      <c r="F1129" s="47" t="s">
        <v>6684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#VALUE!</v>
      </c>
      <c r="K1129" s="47"/>
      <c r="L1129" s="47"/>
      <c r="M1129" s="49" t="s">
        <v>1613</v>
      </c>
    </row>
    <row r="1130" spans="1:13" x14ac:dyDescent="0.25">
      <c r="A1130" s="48">
        <f t="shared" si="17"/>
        <v>1129</v>
      </c>
      <c r="B1130" s="47" t="s">
        <v>4</v>
      </c>
      <c r="C1130" s="47" t="s">
        <v>7158</v>
      </c>
      <c r="D1130" s="47" t="s">
        <v>7214</v>
      </c>
      <c r="E1130" s="47" t="s">
        <v>6791</v>
      </c>
      <c r="F1130" s="47" t="s">
        <v>7213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#VALUE!</v>
      </c>
      <c r="K1130" s="47"/>
      <c r="L1130" s="47"/>
      <c r="M1130" s="49" t="s">
        <v>1613</v>
      </c>
    </row>
    <row r="1131" spans="1:13" x14ac:dyDescent="0.25">
      <c r="A1131" s="48">
        <f t="shared" si="17"/>
        <v>1130</v>
      </c>
      <c r="B1131" s="47" t="s">
        <v>4</v>
      </c>
      <c r="C1131" s="47" t="s">
        <v>7158</v>
      </c>
      <c r="D1131" s="47" t="s">
        <v>7215</v>
      </c>
      <c r="E1131" s="47" t="s">
        <v>6792</v>
      </c>
      <c r="F1131" s="47" t="s">
        <v>7213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#VALUE!</v>
      </c>
      <c r="K1131" s="47"/>
      <c r="L1131" s="47"/>
      <c r="M1131" s="49" t="s">
        <v>1613</v>
      </c>
    </row>
    <row r="1132" spans="1:13" x14ac:dyDescent="0.25">
      <c r="A1132" s="48">
        <f t="shared" si="17"/>
        <v>1131</v>
      </c>
      <c r="B1132" s="47" t="s">
        <v>4</v>
      </c>
      <c r="C1132" s="47" t="s">
        <v>7158</v>
      </c>
      <c r="D1132" s="47" t="s">
        <v>7216</v>
      </c>
      <c r="E1132" s="47" t="s">
        <v>6793</v>
      </c>
      <c r="F1132" s="47" t="s">
        <v>7215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#VALUE!</v>
      </c>
      <c r="K1132" s="47"/>
      <c r="L1132" s="47"/>
      <c r="M1132" s="49" t="s">
        <v>1613</v>
      </c>
    </row>
    <row r="1133" spans="1:13" x14ac:dyDescent="0.25">
      <c r="A1133" s="48">
        <f t="shared" si="17"/>
        <v>1132</v>
      </c>
      <c r="B1133" s="47" t="s">
        <v>4</v>
      </c>
      <c r="C1133" s="47" t="s">
        <v>7158</v>
      </c>
      <c r="D1133" s="47" t="s">
        <v>7217</v>
      </c>
      <c r="E1133" s="47" t="s">
        <v>6794</v>
      </c>
      <c r="F1133" s="47" t="s">
        <v>7215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#VALUE!</v>
      </c>
      <c r="K1133" s="47"/>
      <c r="L1133" s="47"/>
      <c r="M1133" s="49" t="s">
        <v>1613</v>
      </c>
    </row>
    <row r="1134" spans="1:13" x14ac:dyDescent="0.25">
      <c r="A1134" s="48">
        <f t="shared" si="17"/>
        <v>1133</v>
      </c>
      <c r="B1134" s="47" t="s">
        <v>4</v>
      </c>
      <c r="C1134" s="47" t="s">
        <v>7158</v>
      </c>
      <c r="D1134" s="47" t="s">
        <v>7218</v>
      </c>
      <c r="E1134" s="47" t="s">
        <v>6795</v>
      </c>
      <c r="F1134" s="47" t="s">
        <v>7213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#VALUE!</v>
      </c>
      <c r="K1134" s="47"/>
      <c r="L1134" s="47"/>
      <c r="M1134" s="49" t="s">
        <v>1613</v>
      </c>
    </row>
    <row r="1135" spans="1:13" x14ac:dyDescent="0.25">
      <c r="A1135" s="48">
        <f t="shared" si="17"/>
        <v>1134</v>
      </c>
      <c r="B1135" s="47" t="s">
        <v>4</v>
      </c>
      <c r="C1135" s="47" t="s">
        <v>7158</v>
      </c>
      <c r="D1135" s="47" t="s">
        <v>7219</v>
      </c>
      <c r="E1135" s="47" t="s">
        <v>6796</v>
      </c>
      <c r="F1135" s="47" t="s">
        <v>7218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#VALUE!</v>
      </c>
      <c r="K1135" s="47"/>
      <c r="L1135" s="47"/>
      <c r="M1135" s="49" t="s">
        <v>1613</v>
      </c>
    </row>
    <row r="1136" spans="1:13" x14ac:dyDescent="0.25">
      <c r="A1136" s="48">
        <f t="shared" si="17"/>
        <v>1135</v>
      </c>
      <c r="B1136" s="47" t="s">
        <v>4</v>
      </c>
      <c r="C1136" s="47" t="s">
        <v>7158</v>
      </c>
      <c r="D1136" s="47" t="s">
        <v>7220</v>
      </c>
      <c r="E1136" s="47" t="s">
        <v>6797</v>
      </c>
      <c r="F1136" s="47" t="s">
        <v>7218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#VALUE!</v>
      </c>
      <c r="K1136" s="47"/>
      <c r="L1136" s="47"/>
      <c r="M1136" s="49" t="s">
        <v>1613</v>
      </c>
    </row>
    <row r="1137" spans="1:13" x14ac:dyDescent="0.25">
      <c r="A1137" s="48">
        <f t="shared" si="17"/>
        <v>1136</v>
      </c>
      <c r="B1137" s="47" t="s">
        <v>4</v>
      </c>
      <c r="C1137" s="47" t="s">
        <v>7158</v>
      </c>
      <c r="D1137" s="47" t="s">
        <v>7221</v>
      </c>
      <c r="E1137" s="47" t="s">
        <v>6798</v>
      </c>
      <c r="F1137" s="47" t="s">
        <v>6683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#VALUE!</v>
      </c>
      <c r="K1137" s="47"/>
      <c r="L1137" s="47"/>
      <c r="M1137" s="49" t="s">
        <v>1613</v>
      </c>
    </row>
    <row r="1138" spans="1:13" x14ac:dyDescent="0.25">
      <c r="A1138" s="48">
        <f t="shared" si="17"/>
        <v>1137</v>
      </c>
      <c r="B1138" s="47" t="s">
        <v>4</v>
      </c>
      <c r="C1138" s="47" t="s">
        <v>7158</v>
      </c>
      <c r="D1138" s="47" t="s">
        <v>7222</v>
      </c>
      <c r="E1138" s="47" t="s">
        <v>6799</v>
      </c>
      <c r="F1138" s="47" t="s">
        <v>7221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#VALUE!</v>
      </c>
      <c r="K1138" s="47"/>
      <c r="L1138" s="47"/>
      <c r="M1138" s="49" t="s">
        <v>1613</v>
      </c>
    </row>
    <row r="1139" spans="1:13" x14ac:dyDescent="0.25">
      <c r="A1139" s="48">
        <f t="shared" si="17"/>
        <v>1138</v>
      </c>
      <c r="B1139" s="47" t="s">
        <v>4</v>
      </c>
      <c r="C1139" s="47" t="s">
        <v>7158</v>
      </c>
      <c r="D1139" s="47" t="s">
        <v>7223</v>
      </c>
      <c r="E1139" s="47" t="s">
        <v>6800</v>
      </c>
      <c r="F1139" s="47" t="s">
        <v>7221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#VALUE!</v>
      </c>
      <c r="K1139" s="47"/>
      <c r="L1139" s="47"/>
      <c r="M1139" s="49" t="s">
        <v>1613</v>
      </c>
    </row>
    <row r="1140" spans="1:13" x14ac:dyDescent="0.25">
      <c r="A1140" s="48">
        <f t="shared" si="17"/>
        <v>1139</v>
      </c>
      <c r="B1140" s="47" t="s">
        <v>4</v>
      </c>
      <c r="C1140" s="47" t="s">
        <v>7158</v>
      </c>
      <c r="D1140" s="47" t="s">
        <v>7224</v>
      </c>
      <c r="E1140" s="47" t="s">
        <v>6801</v>
      </c>
      <c r="F1140" s="47" t="s">
        <v>7221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#VALUE!</v>
      </c>
      <c r="K1140" s="47"/>
      <c r="L1140" s="47"/>
      <c r="M1140" s="49" t="s">
        <v>1613</v>
      </c>
    </row>
    <row r="1141" spans="1:13" x14ac:dyDescent="0.25">
      <c r="A1141" s="48">
        <f t="shared" si="17"/>
        <v>1140</v>
      </c>
      <c r="B1141" s="47" t="s">
        <v>4</v>
      </c>
      <c r="C1141" s="47" t="s">
        <v>7158</v>
      </c>
      <c r="D1141" s="47" t="s">
        <v>7225</v>
      </c>
      <c r="E1141" s="47" t="s">
        <v>6802</v>
      </c>
      <c r="F1141" s="47" t="s">
        <v>7224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#VALUE!</v>
      </c>
      <c r="K1141" s="47"/>
      <c r="L1141" s="47"/>
      <c r="M1141" s="49" t="s">
        <v>1613</v>
      </c>
    </row>
    <row r="1142" spans="1:13" x14ac:dyDescent="0.25">
      <c r="A1142" s="48">
        <f t="shared" si="17"/>
        <v>1141</v>
      </c>
      <c r="B1142" s="47" t="s">
        <v>4</v>
      </c>
      <c r="C1142" s="47" t="s">
        <v>7158</v>
      </c>
      <c r="D1142" s="47" t="s">
        <v>7226</v>
      </c>
      <c r="E1142" s="47" t="s">
        <v>6803</v>
      </c>
      <c r="F1142" s="47" t="s">
        <v>7224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#VALUE!</v>
      </c>
      <c r="K1142" s="47"/>
      <c r="L1142" s="47"/>
      <c r="M1142" s="49" t="s">
        <v>1613</v>
      </c>
    </row>
    <row r="1143" spans="1:13" x14ac:dyDescent="0.25">
      <c r="A1143" s="48">
        <f t="shared" si="17"/>
        <v>1142</v>
      </c>
      <c r="B1143" s="47" t="s">
        <v>4</v>
      </c>
      <c r="C1143" s="47" t="s">
        <v>7158</v>
      </c>
      <c r="D1143" s="47" t="s">
        <v>7227</v>
      </c>
      <c r="E1143" s="47" t="s">
        <v>6804</v>
      </c>
      <c r="F1143" s="47" t="s">
        <v>7221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#VALUE!</v>
      </c>
      <c r="K1143" s="47"/>
      <c r="L1143" s="47"/>
      <c r="M1143" s="49" t="s">
        <v>1613</v>
      </c>
    </row>
    <row r="1144" spans="1:13" x14ac:dyDescent="0.25">
      <c r="A1144" s="48">
        <f t="shared" si="17"/>
        <v>1143</v>
      </c>
      <c r="B1144" s="47" t="s">
        <v>4</v>
      </c>
      <c r="C1144" s="47" t="s">
        <v>7158</v>
      </c>
      <c r="D1144" s="47" t="s">
        <v>7228</v>
      </c>
      <c r="E1144" s="47" t="s">
        <v>6805</v>
      </c>
      <c r="F1144" s="47" t="s">
        <v>7227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#VALUE!</v>
      </c>
      <c r="K1144" s="47"/>
      <c r="L1144" s="47"/>
      <c r="M1144" s="49" t="s">
        <v>1613</v>
      </c>
    </row>
    <row r="1145" spans="1:13" x14ac:dyDescent="0.25">
      <c r="A1145" s="48">
        <f t="shared" si="17"/>
        <v>1144</v>
      </c>
      <c r="B1145" s="47" t="s">
        <v>4</v>
      </c>
      <c r="C1145" s="47" t="s">
        <v>7158</v>
      </c>
      <c r="D1145" s="47" t="s">
        <v>7229</v>
      </c>
      <c r="E1145" s="47" t="s">
        <v>6806</v>
      </c>
      <c r="F1145" s="47" t="s">
        <v>7227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#VALUE!</v>
      </c>
      <c r="K1145" s="47"/>
      <c r="L1145" s="47"/>
      <c r="M1145" s="49" t="s">
        <v>1613</v>
      </c>
    </row>
    <row r="1146" spans="1:13" x14ac:dyDescent="0.25">
      <c r="A1146" s="48">
        <f t="shared" si="17"/>
        <v>1145</v>
      </c>
      <c r="B1146" s="47" t="s">
        <v>4</v>
      </c>
      <c r="C1146" s="47" t="s">
        <v>7158</v>
      </c>
      <c r="D1146" s="47" t="s">
        <v>7230</v>
      </c>
      <c r="E1146" s="47" t="s">
        <v>6807</v>
      </c>
      <c r="F1146" s="47" t="s">
        <v>7227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#VALUE!</v>
      </c>
      <c r="K1146" s="47"/>
      <c r="L1146" s="47"/>
      <c r="M1146" s="49" t="s">
        <v>1613</v>
      </c>
    </row>
    <row r="1147" spans="1:13" x14ac:dyDescent="0.25">
      <c r="A1147" s="48">
        <f t="shared" si="17"/>
        <v>1146</v>
      </c>
      <c r="B1147" s="47" t="s">
        <v>4</v>
      </c>
      <c r="C1147" s="47" t="s">
        <v>7158</v>
      </c>
      <c r="D1147" s="47" t="s">
        <v>7231</v>
      </c>
      <c r="E1147" s="47" t="s">
        <v>6808</v>
      </c>
      <c r="F1147" s="47" t="s">
        <v>7227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#VALUE!</v>
      </c>
      <c r="K1147" s="47"/>
      <c r="L1147" s="47"/>
      <c r="M1147" s="49" t="s">
        <v>1613</v>
      </c>
    </row>
    <row r="1148" spans="1:13" x14ac:dyDescent="0.25">
      <c r="A1148" s="48">
        <f t="shared" si="17"/>
        <v>1147</v>
      </c>
      <c r="B1148" s="47" t="s">
        <v>4</v>
      </c>
      <c r="C1148" s="47" t="s">
        <v>7158</v>
      </c>
      <c r="D1148" s="47" t="s">
        <v>7232</v>
      </c>
      <c r="E1148" s="47" t="s">
        <v>6809</v>
      </c>
      <c r="F1148" s="47" t="s">
        <v>7227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#VALUE!</v>
      </c>
      <c r="K1148" s="47"/>
      <c r="L1148" s="47"/>
      <c r="M1148" s="49" t="s">
        <v>1613</v>
      </c>
    </row>
    <row r="1149" spans="1:13" x14ac:dyDescent="0.25">
      <c r="A1149" s="48">
        <f t="shared" si="17"/>
        <v>1148</v>
      </c>
      <c r="B1149" s="47" t="s">
        <v>4</v>
      </c>
      <c r="C1149" s="47" t="s">
        <v>7158</v>
      </c>
      <c r="D1149" s="47" t="s">
        <v>7233</v>
      </c>
      <c r="E1149" s="47" t="s">
        <v>6810</v>
      </c>
      <c r="F1149" s="47" t="s">
        <v>6684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#VALUE!</v>
      </c>
      <c r="K1149" s="47"/>
      <c r="L1149" s="47"/>
      <c r="M1149" s="49" t="s">
        <v>1613</v>
      </c>
    </row>
    <row r="1150" spans="1:13" x14ac:dyDescent="0.25">
      <c r="A1150" s="48">
        <f t="shared" si="17"/>
        <v>1149</v>
      </c>
      <c r="B1150" s="47" t="s">
        <v>4</v>
      </c>
      <c r="C1150" s="47" t="s">
        <v>7158</v>
      </c>
      <c r="D1150" s="47" t="s">
        <v>7234</v>
      </c>
      <c r="E1150" s="47" t="s">
        <v>6811</v>
      </c>
      <c r="F1150" s="47" t="s">
        <v>7233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#VALUE!</v>
      </c>
      <c r="K1150" s="47"/>
      <c r="L1150" s="47"/>
      <c r="M1150" s="49" t="s">
        <v>1613</v>
      </c>
    </row>
    <row r="1151" spans="1:13" x14ac:dyDescent="0.25">
      <c r="A1151" s="48">
        <f t="shared" si="17"/>
        <v>1150</v>
      </c>
      <c r="B1151" s="47" t="s">
        <v>4</v>
      </c>
      <c r="C1151" s="47" t="s">
        <v>7158</v>
      </c>
      <c r="D1151" s="47" t="s">
        <v>7235</v>
      </c>
      <c r="E1151" s="47" t="s">
        <v>6812</v>
      </c>
      <c r="F1151" s="47" t="s">
        <v>7233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#VALUE!</v>
      </c>
      <c r="K1151" s="47"/>
      <c r="L1151" s="47"/>
      <c r="M1151" s="49" t="s">
        <v>1613</v>
      </c>
    </row>
    <row r="1152" spans="1:13" x14ac:dyDescent="0.25">
      <c r="A1152" s="48">
        <f t="shared" si="17"/>
        <v>1151</v>
      </c>
      <c r="B1152" s="47" t="s">
        <v>4</v>
      </c>
      <c r="C1152" s="47" t="s">
        <v>7158</v>
      </c>
      <c r="D1152" s="47" t="s">
        <v>7236</v>
      </c>
      <c r="E1152" s="47" t="s">
        <v>6813</v>
      </c>
      <c r="F1152" s="47" t="s">
        <v>7235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#VALUE!</v>
      </c>
      <c r="K1152" s="47"/>
      <c r="L1152" s="47"/>
      <c r="M1152" s="49" t="s">
        <v>1613</v>
      </c>
    </row>
    <row r="1153" spans="1:13" x14ac:dyDescent="0.25">
      <c r="A1153" s="48">
        <f t="shared" si="17"/>
        <v>1152</v>
      </c>
      <c r="B1153" s="47" t="s">
        <v>4</v>
      </c>
      <c r="C1153" s="47" t="s">
        <v>7158</v>
      </c>
      <c r="D1153" s="47" t="s">
        <v>7237</v>
      </c>
      <c r="E1153" s="47" t="s">
        <v>6814</v>
      </c>
      <c r="F1153" s="47" t="s">
        <v>7235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#VALUE!</v>
      </c>
      <c r="K1153" s="47"/>
      <c r="L1153" s="47"/>
      <c r="M1153" s="49" t="s">
        <v>1613</v>
      </c>
    </row>
    <row r="1154" spans="1:13" x14ac:dyDescent="0.25">
      <c r="A1154" s="48">
        <f t="shared" si="17"/>
        <v>1153</v>
      </c>
      <c r="B1154" s="47" t="s">
        <v>4</v>
      </c>
      <c r="C1154" s="47" t="s">
        <v>7158</v>
      </c>
      <c r="D1154" s="47" t="s">
        <v>7238</v>
      </c>
      <c r="E1154" s="47" t="s">
        <v>6815</v>
      </c>
      <c r="F1154" s="47" t="s">
        <v>7233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#VALUE!</v>
      </c>
      <c r="K1154" s="47"/>
      <c r="L1154" s="47"/>
      <c r="M1154" s="49" t="s">
        <v>1613</v>
      </c>
    </row>
    <row r="1155" spans="1:13" x14ac:dyDescent="0.25">
      <c r="A1155" s="48">
        <f t="shared" ref="A1155:A1218" si="18">1+A1154</f>
        <v>1154</v>
      </c>
      <c r="B1155" s="47" t="s">
        <v>4</v>
      </c>
      <c r="C1155" s="47" t="s">
        <v>7158</v>
      </c>
      <c r="D1155" s="47" t="s">
        <v>7239</v>
      </c>
      <c r="E1155" s="47" t="s">
        <v>6816</v>
      </c>
      <c r="F1155" s="47" t="s">
        <v>7238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#VALUE!</v>
      </c>
      <c r="K1155" s="47"/>
      <c r="L1155" s="47"/>
      <c r="M1155" s="49" t="s">
        <v>1613</v>
      </c>
    </row>
    <row r="1156" spans="1:13" x14ac:dyDescent="0.25">
      <c r="A1156" s="48">
        <f t="shared" si="18"/>
        <v>1155</v>
      </c>
      <c r="B1156" s="47" t="s">
        <v>4</v>
      </c>
      <c r="C1156" s="47" t="s">
        <v>7158</v>
      </c>
      <c r="D1156" s="47" t="s">
        <v>7240</v>
      </c>
      <c r="E1156" s="47" t="s">
        <v>6817</v>
      </c>
      <c r="F1156" s="47" t="s">
        <v>7238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#VALUE!</v>
      </c>
      <c r="K1156" s="47"/>
      <c r="L1156" s="47"/>
      <c r="M1156" s="49" t="s">
        <v>1613</v>
      </c>
    </row>
    <row r="1157" spans="1:13" x14ac:dyDescent="0.25">
      <c r="A1157" s="48">
        <f t="shared" si="18"/>
        <v>1156</v>
      </c>
      <c r="B1157" s="47" t="s">
        <v>4</v>
      </c>
      <c r="C1157" s="47" t="s">
        <v>7158</v>
      </c>
      <c r="D1157" s="47" t="s">
        <v>7241</v>
      </c>
      <c r="E1157" s="47" t="s">
        <v>6818</v>
      </c>
      <c r="F1157" s="47" t="s">
        <v>6683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#VALUE!</v>
      </c>
      <c r="K1157" s="47"/>
      <c r="L1157" s="47"/>
      <c r="M1157" s="49" t="s">
        <v>1613</v>
      </c>
    </row>
    <row r="1158" spans="1:13" x14ac:dyDescent="0.25">
      <c r="A1158" s="48">
        <f t="shared" si="18"/>
        <v>1157</v>
      </c>
      <c r="B1158" s="47" t="s">
        <v>4</v>
      </c>
      <c r="C1158" s="47" t="s">
        <v>7158</v>
      </c>
      <c r="D1158" s="47" t="s">
        <v>7242</v>
      </c>
      <c r="E1158" s="47" t="s">
        <v>6819</v>
      </c>
      <c r="F1158" s="47" t="s">
        <v>7241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#VALUE!</v>
      </c>
      <c r="K1158" s="47"/>
      <c r="L1158" s="47"/>
      <c r="M1158" s="49" t="s">
        <v>1613</v>
      </c>
    </row>
    <row r="1159" spans="1:13" x14ac:dyDescent="0.25">
      <c r="A1159" s="48">
        <f t="shared" si="18"/>
        <v>1158</v>
      </c>
      <c r="B1159" s="47" t="s">
        <v>4</v>
      </c>
      <c r="C1159" s="47" t="s">
        <v>7158</v>
      </c>
      <c r="D1159" s="47" t="s">
        <v>7243</v>
      </c>
      <c r="E1159" s="47" t="s">
        <v>6820</v>
      </c>
      <c r="F1159" s="47" t="s">
        <v>7241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#VALUE!</v>
      </c>
      <c r="K1159" s="47"/>
      <c r="L1159" s="47"/>
      <c r="M1159" s="49" t="s">
        <v>1613</v>
      </c>
    </row>
    <row r="1160" spans="1:13" x14ac:dyDescent="0.25">
      <c r="A1160" s="48">
        <f t="shared" si="18"/>
        <v>1159</v>
      </c>
      <c r="B1160" s="47" t="s">
        <v>4</v>
      </c>
      <c r="C1160" s="47" t="s">
        <v>7158</v>
      </c>
      <c r="D1160" s="47" t="s">
        <v>7244</v>
      </c>
      <c r="E1160" s="47" t="s">
        <v>6821</v>
      </c>
      <c r="F1160" s="47" t="s">
        <v>7241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#VALUE!</v>
      </c>
      <c r="K1160" s="47"/>
      <c r="L1160" s="47"/>
      <c r="M1160" s="49" t="s">
        <v>1613</v>
      </c>
    </row>
    <row r="1161" spans="1:13" x14ac:dyDescent="0.25">
      <c r="A1161" s="48">
        <f t="shared" si="18"/>
        <v>1160</v>
      </c>
      <c r="B1161" s="47" t="s">
        <v>4</v>
      </c>
      <c r="C1161" s="47" t="s">
        <v>7158</v>
      </c>
      <c r="D1161" s="47" t="s">
        <v>7245</v>
      </c>
      <c r="E1161" s="47" t="s">
        <v>6822</v>
      </c>
      <c r="F1161" s="47" t="s">
        <v>7244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#VALUE!</v>
      </c>
      <c r="K1161" s="47"/>
      <c r="L1161" s="47"/>
      <c r="M1161" s="49" t="s">
        <v>1613</v>
      </c>
    </row>
    <row r="1162" spans="1:13" x14ac:dyDescent="0.25">
      <c r="A1162" s="48">
        <f t="shared" si="18"/>
        <v>1161</v>
      </c>
      <c r="B1162" s="47" t="s">
        <v>4</v>
      </c>
      <c r="C1162" s="47" t="s">
        <v>7158</v>
      </c>
      <c r="D1162" s="47" t="s">
        <v>7246</v>
      </c>
      <c r="E1162" s="47" t="s">
        <v>6823</v>
      </c>
      <c r="F1162" s="47" t="s">
        <v>7244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#VALUE!</v>
      </c>
      <c r="K1162" s="47"/>
      <c r="L1162" s="47"/>
      <c r="M1162" s="49" t="s">
        <v>1613</v>
      </c>
    </row>
    <row r="1163" spans="1:13" x14ac:dyDescent="0.25">
      <c r="A1163" s="48">
        <f t="shared" si="18"/>
        <v>1162</v>
      </c>
      <c r="B1163" s="47" t="s">
        <v>4</v>
      </c>
      <c r="C1163" s="47" t="s">
        <v>7158</v>
      </c>
      <c r="D1163" s="47" t="s">
        <v>7247</v>
      </c>
      <c r="E1163" s="47" t="s">
        <v>6824</v>
      </c>
      <c r="F1163" s="47" t="s">
        <v>7241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#VALUE!</v>
      </c>
      <c r="K1163" s="47"/>
      <c r="L1163" s="47"/>
      <c r="M1163" s="49" t="s">
        <v>1613</v>
      </c>
    </row>
    <row r="1164" spans="1:13" x14ac:dyDescent="0.25">
      <c r="A1164" s="48">
        <f t="shared" si="18"/>
        <v>1163</v>
      </c>
      <c r="B1164" s="47" t="s">
        <v>4</v>
      </c>
      <c r="C1164" s="47" t="s">
        <v>7158</v>
      </c>
      <c r="D1164" s="47" t="s">
        <v>7248</v>
      </c>
      <c r="E1164" s="47" t="s">
        <v>6825</v>
      </c>
      <c r="F1164" s="47" t="s">
        <v>7247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#VALUE!</v>
      </c>
      <c r="K1164" s="47"/>
      <c r="L1164" s="47"/>
      <c r="M1164" s="49" t="s">
        <v>1613</v>
      </c>
    </row>
    <row r="1165" spans="1:13" x14ac:dyDescent="0.25">
      <c r="A1165" s="48">
        <f t="shared" si="18"/>
        <v>1164</v>
      </c>
      <c r="B1165" s="47" t="s">
        <v>4</v>
      </c>
      <c r="C1165" s="47" t="s">
        <v>7158</v>
      </c>
      <c r="D1165" s="47" t="s">
        <v>7249</v>
      </c>
      <c r="E1165" s="47" t="s">
        <v>6826</v>
      </c>
      <c r="F1165" s="47" t="s">
        <v>7247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#VALUE!</v>
      </c>
      <c r="K1165" s="47"/>
      <c r="L1165" s="47"/>
      <c r="M1165" s="49" t="s">
        <v>1613</v>
      </c>
    </row>
    <row r="1166" spans="1:13" x14ac:dyDescent="0.25">
      <c r="A1166" s="48">
        <f t="shared" si="18"/>
        <v>1165</v>
      </c>
      <c r="B1166" s="47" t="s">
        <v>4</v>
      </c>
      <c r="C1166" s="47" t="s">
        <v>7158</v>
      </c>
      <c r="D1166" s="47" t="s">
        <v>7250</v>
      </c>
      <c r="E1166" s="47" t="s">
        <v>6827</v>
      </c>
      <c r="F1166" s="47" t="s">
        <v>7247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#VALUE!</v>
      </c>
      <c r="K1166" s="47"/>
      <c r="L1166" s="47"/>
      <c r="M1166" s="49" t="s">
        <v>1613</v>
      </c>
    </row>
    <row r="1167" spans="1:13" x14ac:dyDescent="0.25">
      <c r="A1167" s="48">
        <f t="shared" si="18"/>
        <v>1166</v>
      </c>
      <c r="B1167" s="47" t="s">
        <v>4</v>
      </c>
      <c r="C1167" s="47" t="s">
        <v>7158</v>
      </c>
      <c r="D1167" s="47" t="s">
        <v>7251</v>
      </c>
      <c r="E1167" s="47" t="s">
        <v>6828</v>
      </c>
      <c r="F1167" s="47" t="s">
        <v>7247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#VALUE!</v>
      </c>
      <c r="K1167" s="47"/>
      <c r="L1167" s="47"/>
      <c r="M1167" s="49" t="s">
        <v>1613</v>
      </c>
    </row>
    <row r="1168" spans="1:13" x14ac:dyDescent="0.25">
      <c r="A1168" s="48">
        <f t="shared" si="18"/>
        <v>1167</v>
      </c>
      <c r="B1168" s="47" t="s">
        <v>4</v>
      </c>
      <c r="C1168" s="47" t="s">
        <v>7158</v>
      </c>
      <c r="D1168" s="47" t="s">
        <v>7252</v>
      </c>
      <c r="E1168" s="47" t="s">
        <v>6829</v>
      </c>
      <c r="F1168" s="47" t="s">
        <v>7247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#VALUE!</v>
      </c>
      <c r="K1168" s="47"/>
      <c r="L1168" s="47"/>
      <c r="M1168" s="49" t="s">
        <v>1613</v>
      </c>
    </row>
    <row r="1169" spans="1:13" x14ac:dyDescent="0.25">
      <c r="A1169" s="48">
        <f t="shared" si="18"/>
        <v>1168</v>
      </c>
      <c r="B1169" s="47" t="s">
        <v>4</v>
      </c>
      <c r="C1169" s="47" t="s">
        <v>7158</v>
      </c>
      <c r="D1169" s="47" t="s">
        <v>7253</v>
      </c>
      <c r="E1169" s="47" t="s">
        <v>6830</v>
      </c>
      <c r="F1169" s="47" t="s">
        <v>6684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#VALUE!</v>
      </c>
      <c r="K1169" s="47"/>
      <c r="L1169" s="47"/>
      <c r="M1169" s="49" t="s">
        <v>1613</v>
      </c>
    </row>
    <row r="1170" spans="1:13" x14ac:dyDescent="0.25">
      <c r="A1170" s="48">
        <f t="shared" si="18"/>
        <v>1169</v>
      </c>
      <c r="B1170" s="47" t="s">
        <v>4</v>
      </c>
      <c r="C1170" s="47" t="s">
        <v>7158</v>
      </c>
      <c r="D1170" s="47" t="s">
        <v>7254</v>
      </c>
      <c r="E1170" s="47" t="s">
        <v>6831</v>
      </c>
      <c r="F1170" s="47" t="s">
        <v>7253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#VALUE!</v>
      </c>
      <c r="K1170" s="47"/>
      <c r="L1170" s="47"/>
      <c r="M1170" s="49" t="s">
        <v>1613</v>
      </c>
    </row>
    <row r="1171" spans="1:13" x14ac:dyDescent="0.25">
      <c r="A1171" s="48">
        <f t="shared" si="18"/>
        <v>1170</v>
      </c>
      <c r="B1171" s="47" t="s">
        <v>4</v>
      </c>
      <c r="C1171" s="47" t="s">
        <v>7158</v>
      </c>
      <c r="D1171" s="47" t="s">
        <v>7255</v>
      </c>
      <c r="E1171" s="47" t="s">
        <v>6832</v>
      </c>
      <c r="F1171" s="47" t="s">
        <v>7253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#VALUE!</v>
      </c>
      <c r="K1171" s="47"/>
      <c r="L1171" s="47"/>
      <c r="M1171" s="49" t="s">
        <v>1613</v>
      </c>
    </row>
    <row r="1172" spans="1:13" x14ac:dyDescent="0.25">
      <c r="A1172" s="48">
        <f t="shared" si="18"/>
        <v>1171</v>
      </c>
      <c r="B1172" s="47" t="s">
        <v>4</v>
      </c>
      <c r="C1172" s="47" t="s">
        <v>7158</v>
      </c>
      <c r="D1172" s="47" t="s">
        <v>7256</v>
      </c>
      <c r="E1172" s="47" t="s">
        <v>6833</v>
      </c>
      <c r="F1172" s="47" t="s">
        <v>7255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#VALUE!</v>
      </c>
      <c r="K1172" s="47"/>
      <c r="L1172" s="47"/>
      <c r="M1172" s="49" t="s">
        <v>1613</v>
      </c>
    </row>
    <row r="1173" spans="1:13" x14ac:dyDescent="0.25">
      <c r="A1173" s="48">
        <f t="shared" si="18"/>
        <v>1172</v>
      </c>
      <c r="B1173" s="47" t="s">
        <v>4</v>
      </c>
      <c r="C1173" s="47" t="s">
        <v>7158</v>
      </c>
      <c r="D1173" s="47" t="s">
        <v>7257</v>
      </c>
      <c r="E1173" s="47" t="s">
        <v>6834</v>
      </c>
      <c r="F1173" s="47" t="s">
        <v>7255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#VALUE!</v>
      </c>
      <c r="K1173" s="47"/>
      <c r="L1173" s="47"/>
      <c r="M1173" s="49" t="s">
        <v>1613</v>
      </c>
    </row>
    <row r="1174" spans="1:13" x14ac:dyDescent="0.25">
      <c r="A1174" s="48">
        <f t="shared" si="18"/>
        <v>1173</v>
      </c>
      <c r="B1174" s="47" t="s">
        <v>4</v>
      </c>
      <c r="C1174" s="47" t="s">
        <v>7158</v>
      </c>
      <c r="D1174" s="47" t="s">
        <v>7258</v>
      </c>
      <c r="E1174" s="47" t="s">
        <v>6835</v>
      </c>
      <c r="F1174" s="47" t="s">
        <v>7253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#VALUE!</v>
      </c>
      <c r="K1174" s="47"/>
      <c r="L1174" s="47"/>
      <c r="M1174" s="49" t="s">
        <v>1613</v>
      </c>
    </row>
    <row r="1175" spans="1:13" x14ac:dyDescent="0.25">
      <c r="A1175" s="48">
        <f t="shared" si="18"/>
        <v>1174</v>
      </c>
      <c r="B1175" s="47" t="s">
        <v>4</v>
      </c>
      <c r="C1175" s="47" t="s">
        <v>7158</v>
      </c>
      <c r="D1175" s="47" t="s">
        <v>7259</v>
      </c>
      <c r="E1175" s="47" t="s">
        <v>6836</v>
      </c>
      <c r="F1175" s="47" t="s">
        <v>7258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#VALUE!</v>
      </c>
      <c r="K1175" s="47"/>
      <c r="L1175" s="47"/>
      <c r="M1175" s="49" t="s">
        <v>1613</v>
      </c>
    </row>
    <row r="1176" spans="1:13" x14ac:dyDescent="0.25">
      <c r="A1176" s="48">
        <f t="shared" si="18"/>
        <v>1175</v>
      </c>
      <c r="B1176" s="47" t="s">
        <v>4</v>
      </c>
      <c r="C1176" s="47" t="s">
        <v>7158</v>
      </c>
      <c r="D1176" s="47" t="s">
        <v>7260</v>
      </c>
      <c r="E1176" s="47" t="s">
        <v>6837</v>
      </c>
      <c r="F1176" s="47" t="s">
        <v>7258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#VALUE!</v>
      </c>
      <c r="K1176" s="47"/>
      <c r="L1176" s="47"/>
      <c r="M1176" s="49" t="s">
        <v>1613</v>
      </c>
    </row>
    <row r="1177" spans="1:13" x14ac:dyDescent="0.25">
      <c r="A1177" s="48">
        <f t="shared" si="18"/>
        <v>1176</v>
      </c>
      <c r="B1177" s="47" t="s">
        <v>4</v>
      </c>
      <c r="C1177" s="47" t="s">
        <v>7158</v>
      </c>
      <c r="D1177" s="47" t="s">
        <v>7261</v>
      </c>
      <c r="E1177" s="47" t="s">
        <v>6838</v>
      </c>
      <c r="F1177" s="47" t="s">
        <v>6683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#VALUE!</v>
      </c>
      <c r="K1177" s="47"/>
      <c r="L1177" s="47"/>
      <c r="M1177" s="49" t="s">
        <v>1613</v>
      </c>
    </row>
    <row r="1178" spans="1:13" x14ac:dyDescent="0.25">
      <c r="A1178" s="48">
        <f t="shared" si="18"/>
        <v>1177</v>
      </c>
      <c r="B1178" s="47" t="s">
        <v>4</v>
      </c>
      <c r="C1178" s="47" t="s">
        <v>7158</v>
      </c>
      <c r="D1178" s="47" t="s">
        <v>7262</v>
      </c>
      <c r="E1178" s="47" t="s">
        <v>6839</v>
      </c>
      <c r="F1178" s="47" t="s">
        <v>7261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#VALUE!</v>
      </c>
      <c r="K1178" s="47"/>
      <c r="L1178" s="47"/>
      <c r="M1178" s="49" t="s">
        <v>1613</v>
      </c>
    </row>
    <row r="1179" spans="1:13" x14ac:dyDescent="0.25">
      <c r="A1179" s="48">
        <f t="shared" si="18"/>
        <v>1178</v>
      </c>
      <c r="B1179" s="47" t="s">
        <v>4</v>
      </c>
      <c r="C1179" s="47" t="s">
        <v>7158</v>
      </c>
      <c r="D1179" s="47" t="s">
        <v>7263</v>
      </c>
      <c r="E1179" s="47" t="s">
        <v>6840</v>
      </c>
      <c r="F1179" s="47" t="s">
        <v>7261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#VALUE!</v>
      </c>
      <c r="K1179" s="47"/>
      <c r="L1179" s="47"/>
      <c r="M1179" s="49" t="s">
        <v>1613</v>
      </c>
    </row>
    <row r="1180" spans="1:13" x14ac:dyDescent="0.25">
      <c r="A1180" s="48">
        <f t="shared" si="18"/>
        <v>1179</v>
      </c>
      <c r="B1180" s="47" t="s">
        <v>4</v>
      </c>
      <c r="C1180" s="47" t="s">
        <v>7158</v>
      </c>
      <c r="D1180" s="47" t="s">
        <v>7264</v>
      </c>
      <c r="E1180" s="47" t="s">
        <v>6841</v>
      </c>
      <c r="F1180" s="47" t="s">
        <v>7261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#VALUE!</v>
      </c>
      <c r="K1180" s="47"/>
      <c r="L1180" s="47"/>
      <c r="M1180" s="49" t="s">
        <v>1613</v>
      </c>
    </row>
    <row r="1181" spans="1:13" x14ac:dyDescent="0.25">
      <c r="A1181" s="48">
        <f t="shared" si="18"/>
        <v>1180</v>
      </c>
      <c r="B1181" s="47" t="s">
        <v>4</v>
      </c>
      <c r="C1181" s="47" t="s">
        <v>7158</v>
      </c>
      <c r="D1181" s="47" t="s">
        <v>7265</v>
      </c>
      <c r="E1181" s="47" t="s">
        <v>6842</v>
      </c>
      <c r="F1181" s="47" t="s">
        <v>7264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#VALUE!</v>
      </c>
      <c r="K1181" s="47"/>
      <c r="L1181" s="47"/>
      <c r="M1181" s="49" t="s">
        <v>1613</v>
      </c>
    </row>
    <row r="1182" spans="1:13" x14ac:dyDescent="0.25">
      <c r="A1182" s="48">
        <f t="shared" si="18"/>
        <v>1181</v>
      </c>
      <c r="B1182" s="47" t="s">
        <v>4</v>
      </c>
      <c r="C1182" s="47" t="s">
        <v>7158</v>
      </c>
      <c r="D1182" s="47" t="s">
        <v>7266</v>
      </c>
      <c r="E1182" s="47" t="s">
        <v>6843</v>
      </c>
      <c r="F1182" s="47" t="s">
        <v>7264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#VALUE!</v>
      </c>
      <c r="K1182" s="47"/>
      <c r="L1182" s="47"/>
      <c r="M1182" s="49" t="s">
        <v>1613</v>
      </c>
    </row>
    <row r="1183" spans="1:13" x14ac:dyDescent="0.25">
      <c r="A1183" s="48">
        <f t="shared" si="18"/>
        <v>1182</v>
      </c>
      <c r="B1183" s="47" t="s">
        <v>4</v>
      </c>
      <c r="C1183" s="47" t="s">
        <v>7158</v>
      </c>
      <c r="D1183" s="47" t="s">
        <v>7267</v>
      </c>
      <c r="E1183" s="47" t="s">
        <v>6844</v>
      </c>
      <c r="F1183" s="47" t="s">
        <v>7261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#VALUE!</v>
      </c>
      <c r="K1183" s="47"/>
      <c r="L1183" s="47"/>
      <c r="M1183" s="49" t="s">
        <v>1613</v>
      </c>
    </row>
    <row r="1184" spans="1:13" x14ac:dyDescent="0.25">
      <c r="A1184" s="48">
        <f t="shared" si="18"/>
        <v>1183</v>
      </c>
      <c r="B1184" s="47" t="s">
        <v>4</v>
      </c>
      <c r="C1184" s="47" t="s">
        <v>7158</v>
      </c>
      <c r="D1184" s="47" t="s">
        <v>7268</v>
      </c>
      <c r="E1184" s="47" t="s">
        <v>6845</v>
      </c>
      <c r="F1184" s="47" t="s">
        <v>7267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#VALUE!</v>
      </c>
      <c r="K1184" s="47"/>
      <c r="L1184" s="47"/>
      <c r="M1184" s="49" t="s">
        <v>1613</v>
      </c>
    </row>
    <row r="1185" spans="1:13" x14ac:dyDescent="0.25">
      <c r="A1185" s="48">
        <f t="shared" si="18"/>
        <v>1184</v>
      </c>
      <c r="B1185" s="47" t="s">
        <v>4</v>
      </c>
      <c r="C1185" s="47" t="s">
        <v>7158</v>
      </c>
      <c r="D1185" s="47" t="s">
        <v>7269</v>
      </c>
      <c r="E1185" s="47" t="s">
        <v>6846</v>
      </c>
      <c r="F1185" s="47" t="s">
        <v>7267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#VALUE!</v>
      </c>
      <c r="K1185" s="47"/>
      <c r="L1185" s="47"/>
      <c r="M1185" s="49" t="s">
        <v>1613</v>
      </c>
    </row>
    <row r="1186" spans="1:13" x14ac:dyDescent="0.25">
      <c r="A1186" s="48">
        <f t="shared" si="18"/>
        <v>1185</v>
      </c>
      <c r="B1186" s="47" t="s">
        <v>4</v>
      </c>
      <c r="C1186" s="47" t="s">
        <v>7158</v>
      </c>
      <c r="D1186" s="47" t="s">
        <v>7270</v>
      </c>
      <c r="E1186" s="47" t="s">
        <v>6847</v>
      </c>
      <c r="F1186" s="47" t="s">
        <v>7267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#VALUE!</v>
      </c>
      <c r="K1186" s="47"/>
      <c r="L1186" s="47"/>
      <c r="M1186" s="49" t="s">
        <v>1613</v>
      </c>
    </row>
    <row r="1187" spans="1:13" x14ac:dyDescent="0.25">
      <c r="A1187" s="48">
        <f t="shared" si="18"/>
        <v>1186</v>
      </c>
      <c r="B1187" s="47" t="s">
        <v>4</v>
      </c>
      <c r="C1187" s="47" t="s">
        <v>7158</v>
      </c>
      <c r="D1187" s="47" t="s">
        <v>7271</v>
      </c>
      <c r="E1187" s="47" t="s">
        <v>6848</v>
      </c>
      <c r="F1187" s="47" t="s">
        <v>7267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#VALUE!</v>
      </c>
      <c r="K1187" s="47"/>
      <c r="L1187" s="47"/>
      <c r="M1187" s="49" t="s">
        <v>1613</v>
      </c>
    </row>
    <row r="1188" spans="1:13" x14ac:dyDescent="0.25">
      <c r="A1188" s="48">
        <f t="shared" si="18"/>
        <v>1187</v>
      </c>
      <c r="B1188" s="47" t="s">
        <v>4</v>
      </c>
      <c r="C1188" s="47" t="s">
        <v>7158</v>
      </c>
      <c r="D1188" s="47" t="s">
        <v>7272</v>
      </c>
      <c r="E1188" s="47" t="s">
        <v>6849</v>
      </c>
      <c r="F1188" s="47" t="s">
        <v>7267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#VALUE!</v>
      </c>
      <c r="K1188" s="47"/>
      <c r="L1188" s="47"/>
      <c r="M1188" s="49" t="s">
        <v>1613</v>
      </c>
    </row>
    <row r="1189" spans="1:13" x14ac:dyDescent="0.25">
      <c r="A1189" s="48">
        <f t="shared" si="18"/>
        <v>1188</v>
      </c>
      <c r="B1189" s="47" t="s">
        <v>4</v>
      </c>
      <c r="C1189" s="47" t="s">
        <v>7158</v>
      </c>
      <c r="D1189" s="47" t="s">
        <v>7273</v>
      </c>
      <c r="E1189" s="47" t="s">
        <v>6850</v>
      </c>
      <c r="F1189" s="47" t="s">
        <v>6684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#VALUE!</v>
      </c>
      <c r="K1189" s="47"/>
      <c r="L1189" s="47"/>
      <c r="M1189" s="49" t="s">
        <v>1613</v>
      </c>
    </row>
    <row r="1190" spans="1:13" x14ac:dyDescent="0.25">
      <c r="A1190" s="48">
        <f t="shared" si="18"/>
        <v>1189</v>
      </c>
      <c r="B1190" s="47" t="s">
        <v>4</v>
      </c>
      <c r="C1190" s="47" t="s">
        <v>7158</v>
      </c>
      <c r="D1190" s="47" t="s">
        <v>7274</v>
      </c>
      <c r="E1190" s="47" t="s">
        <v>6851</v>
      </c>
      <c r="F1190" s="47" t="s">
        <v>7273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#VALUE!</v>
      </c>
      <c r="K1190" s="47"/>
      <c r="L1190" s="47"/>
      <c r="M1190" s="49" t="s">
        <v>1613</v>
      </c>
    </row>
    <row r="1191" spans="1:13" x14ac:dyDescent="0.25">
      <c r="A1191" s="48">
        <f t="shared" si="18"/>
        <v>1190</v>
      </c>
      <c r="B1191" s="47" t="s">
        <v>4</v>
      </c>
      <c r="C1191" s="47" t="s">
        <v>7158</v>
      </c>
      <c r="D1191" s="47" t="s">
        <v>7275</v>
      </c>
      <c r="E1191" s="47" t="s">
        <v>6852</v>
      </c>
      <c r="F1191" s="47" t="s">
        <v>7273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#VALUE!</v>
      </c>
      <c r="K1191" s="47"/>
      <c r="L1191" s="47"/>
      <c r="M1191" s="49" t="s">
        <v>1613</v>
      </c>
    </row>
    <row r="1192" spans="1:13" x14ac:dyDescent="0.25">
      <c r="A1192" s="48">
        <f t="shared" si="18"/>
        <v>1191</v>
      </c>
      <c r="B1192" s="47" t="s">
        <v>4</v>
      </c>
      <c r="C1192" s="47" t="s">
        <v>7158</v>
      </c>
      <c r="D1192" s="47" t="s">
        <v>7276</v>
      </c>
      <c r="E1192" s="47" t="s">
        <v>6853</v>
      </c>
      <c r="F1192" s="47" t="s">
        <v>7275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#VALUE!</v>
      </c>
      <c r="K1192" s="47"/>
      <c r="L1192" s="47"/>
      <c r="M1192" s="49" t="s">
        <v>1613</v>
      </c>
    </row>
    <row r="1193" spans="1:13" x14ac:dyDescent="0.25">
      <c r="A1193" s="48">
        <f t="shared" si="18"/>
        <v>1192</v>
      </c>
      <c r="B1193" s="47" t="s">
        <v>4</v>
      </c>
      <c r="C1193" s="47" t="s">
        <v>7158</v>
      </c>
      <c r="D1193" s="47" t="s">
        <v>7277</v>
      </c>
      <c r="E1193" s="47" t="s">
        <v>6854</v>
      </c>
      <c r="F1193" s="47" t="s">
        <v>7275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#VALUE!</v>
      </c>
      <c r="K1193" s="47"/>
      <c r="L1193" s="47"/>
      <c r="M1193" s="49" t="s">
        <v>1613</v>
      </c>
    </row>
    <row r="1194" spans="1:13" x14ac:dyDescent="0.25">
      <c r="A1194" s="48">
        <f t="shared" si="18"/>
        <v>1193</v>
      </c>
      <c r="B1194" s="47" t="s">
        <v>4</v>
      </c>
      <c r="C1194" s="47" t="s">
        <v>7158</v>
      </c>
      <c r="D1194" s="47" t="s">
        <v>7278</v>
      </c>
      <c r="E1194" s="47" t="s">
        <v>6855</v>
      </c>
      <c r="F1194" s="47" t="s">
        <v>7273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#VALUE!</v>
      </c>
      <c r="K1194" s="47"/>
      <c r="L1194" s="47"/>
      <c r="M1194" s="49" t="s">
        <v>1613</v>
      </c>
    </row>
    <row r="1195" spans="1:13" x14ac:dyDescent="0.25">
      <c r="A1195" s="48">
        <f t="shared" si="18"/>
        <v>1194</v>
      </c>
      <c r="B1195" s="47" t="s">
        <v>4</v>
      </c>
      <c r="C1195" s="47" t="s">
        <v>7158</v>
      </c>
      <c r="D1195" s="47" t="s">
        <v>7279</v>
      </c>
      <c r="E1195" s="47" t="s">
        <v>6856</v>
      </c>
      <c r="F1195" s="47" t="s">
        <v>7278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#VALUE!</v>
      </c>
      <c r="K1195" s="47"/>
      <c r="L1195" s="47"/>
      <c r="M1195" s="49" t="s">
        <v>1613</v>
      </c>
    </row>
    <row r="1196" spans="1:13" x14ac:dyDescent="0.25">
      <c r="A1196" s="48">
        <f t="shared" si="18"/>
        <v>1195</v>
      </c>
      <c r="B1196" s="47" t="s">
        <v>4</v>
      </c>
      <c r="C1196" s="47" t="s">
        <v>7158</v>
      </c>
      <c r="D1196" s="47" t="s">
        <v>7280</v>
      </c>
      <c r="E1196" s="47" t="s">
        <v>6857</v>
      </c>
      <c r="F1196" s="47" t="s">
        <v>7278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#VALUE!</v>
      </c>
      <c r="K1196" s="47"/>
      <c r="L1196" s="47"/>
      <c r="M1196" s="49" t="s">
        <v>1613</v>
      </c>
    </row>
    <row r="1197" spans="1:13" x14ac:dyDescent="0.25">
      <c r="A1197" s="48">
        <f t="shared" si="18"/>
        <v>1196</v>
      </c>
      <c r="B1197" s="47" t="s">
        <v>4</v>
      </c>
      <c r="C1197" s="47" t="s">
        <v>7158</v>
      </c>
      <c r="D1197" s="47" t="s">
        <v>7281</v>
      </c>
      <c r="E1197" s="47" t="s">
        <v>6858</v>
      </c>
      <c r="F1197" s="47" t="s">
        <v>6683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#VALUE!</v>
      </c>
      <c r="K1197" s="47"/>
      <c r="L1197" s="47"/>
      <c r="M1197" s="49" t="s">
        <v>1613</v>
      </c>
    </row>
    <row r="1198" spans="1:13" x14ac:dyDescent="0.25">
      <c r="A1198" s="48">
        <f t="shared" si="18"/>
        <v>1197</v>
      </c>
      <c r="B1198" s="47" t="s">
        <v>4</v>
      </c>
      <c r="C1198" s="47" t="s">
        <v>7158</v>
      </c>
      <c r="D1198" s="47" t="s">
        <v>7282</v>
      </c>
      <c r="E1198" s="47" t="s">
        <v>6859</v>
      </c>
      <c r="F1198" s="47" t="s">
        <v>7281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#VALUE!</v>
      </c>
      <c r="K1198" s="47"/>
      <c r="L1198" s="47"/>
      <c r="M1198" s="49" t="s">
        <v>1613</v>
      </c>
    </row>
    <row r="1199" spans="1:13" x14ac:dyDescent="0.25">
      <c r="A1199" s="48">
        <f t="shared" si="18"/>
        <v>1198</v>
      </c>
      <c r="B1199" s="47" t="s">
        <v>4</v>
      </c>
      <c r="C1199" s="47" t="s">
        <v>7158</v>
      </c>
      <c r="D1199" s="47" t="s">
        <v>7283</v>
      </c>
      <c r="E1199" s="47" t="s">
        <v>6860</v>
      </c>
      <c r="F1199" s="47" t="s">
        <v>7281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#VALUE!</v>
      </c>
      <c r="K1199" s="47"/>
      <c r="L1199" s="47"/>
      <c r="M1199" s="49" t="s">
        <v>1613</v>
      </c>
    </row>
    <row r="1200" spans="1:13" x14ac:dyDescent="0.25">
      <c r="A1200" s="48">
        <f t="shared" si="18"/>
        <v>1199</v>
      </c>
      <c r="B1200" s="47" t="s">
        <v>4</v>
      </c>
      <c r="C1200" s="47" t="s">
        <v>7158</v>
      </c>
      <c r="D1200" s="47" t="s">
        <v>7284</v>
      </c>
      <c r="E1200" s="47" t="s">
        <v>6861</v>
      </c>
      <c r="F1200" s="47" t="s">
        <v>7281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#VALUE!</v>
      </c>
      <c r="K1200" s="47"/>
      <c r="L1200" s="47"/>
      <c r="M1200" s="49" t="s">
        <v>1613</v>
      </c>
    </row>
    <row r="1201" spans="1:13" x14ac:dyDescent="0.25">
      <c r="A1201" s="48">
        <f t="shared" si="18"/>
        <v>1200</v>
      </c>
      <c r="B1201" s="47" t="s">
        <v>4</v>
      </c>
      <c r="C1201" s="47" t="s">
        <v>7158</v>
      </c>
      <c r="D1201" s="47" t="s">
        <v>7285</v>
      </c>
      <c r="E1201" s="47" t="s">
        <v>6862</v>
      </c>
      <c r="F1201" s="47" t="s">
        <v>7284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#VALUE!</v>
      </c>
      <c r="K1201" s="47"/>
      <c r="L1201" s="47"/>
      <c r="M1201" s="49" t="s">
        <v>1613</v>
      </c>
    </row>
    <row r="1202" spans="1:13" x14ac:dyDescent="0.25">
      <c r="A1202" s="48">
        <f t="shared" si="18"/>
        <v>1201</v>
      </c>
      <c r="B1202" s="47" t="s">
        <v>4</v>
      </c>
      <c r="C1202" s="47" t="s">
        <v>7158</v>
      </c>
      <c r="D1202" s="47" t="s">
        <v>7286</v>
      </c>
      <c r="E1202" s="47" t="s">
        <v>6863</v>
      </c>
      <c r="F1202" s="47" t="s">
        <v>7284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#VALUE!</v>
      </c>
      <c r="K1202" s="47"/>
      <c r="L1202" s="47"/>
      <c r="M1202" s="49" t="s">
        <v>1613</v>
      </c>
    </row>
    <row r="1203" spans="1:13" x14ac:dyDescent="0.25">
      <c r="A1203" s="48">
        <f t="shared" si="18"/>
        <v>1202</v>
      </c>
      <c r="B1203" s="47" t="s">
        <v>4</v>
      </c>
      <c r="C1203" s="47" t="s">
        <v>7158</v>
      </c>
      <c r="D1203" s="47" t="s">
        <v>7287</v>
      </c>
      <c r="E1203" s="47" t="s">
        <v>6864</v>
      </c>
      <c r="F1203" s="47" t="s">
        <v>7281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#VALUE!</v>
      </c>
      <c r="K1203" s="47"/>
      <c r="L1203" s="47"/>
      <c r="M1203" s="49" t="s">
        <v>1613</v>
      </c>
    </row>
    <row r="1204" spans="1:13" x14ac:dyDescent="0.25">
      <c r="A1204" s="48">
        <f t="shared" si="18"/>
        <v>1203</v>
      </c>
      <c r="B1204" s="47" t="s">
        <v>4</v>
      </c>
      <c r="C1204" s="47" t="s">
        <v>7158</v>
      </c>
      <c r="D1204" s="47" t="s">
        <v>7288</v>
      </c>
      <c r="E1204" s="47" t="s">
        <v>6865</v>
      </c>
      <c r="F1204" s="47" t="s">
        <v>7287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#VALUE!</v>
      </c>
      <c r="K1204" s="47"/>
      <c r="L1204" s="47"/>
      <c r="M1204" s="49" t="s">
        <v>1613</v>
      </c>
    </row>
    <row r="1205" spans="1:13" x14ac:dyDescent="0.25">
      <c r="A1205" s="48">
        <f t="shared" si="18"/>
        <v>1204</v>
      </c>
      <c r="B1205" s="47" t="s">
        <v>4</v>
      </c>
      <c r="C1205" s="47" t="s">
        <v>7158</v>
      </c>
      <c r="D1205" s="47" t="s">
        <v>7289</v>
      </c>
      <c r="E1205" s="47" t="s">
        <v>6866</v>
      </c>
      <c r="F1205" s="47" t="s">
        <v>7287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#VALUE!</v>
      </c>
      <c r="K1205" s="47"/>
      <c r="L1205" s="47"/>
      <c r="M1205" s="49" t="s">
        <v>1613</v>
      </c>
    </row>
    <row r="1206" spans="1:13" x14ac:dyDescent="0.25">
      <c r="A1206" s="48">
        <f t="shared" si="18"/>
        <v>1205</v>
      </c>
      <c r="B1206" s="47" t="s">
        <v>4</v>
      </c>
      <c r="C1206" s="47" t="s">
        <v>7158</v>
      </c>
      <c r="D1206" s="47" t="s">
        <v>7290</v>
      </c>
      <c r="E1206" s="47" t="s">
        <v>6867</v>
      </c>
      <c r="F1206" s="47" t="s">
        <v>7287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#VALUE!</v>
      </c>
      <c r="K1206" s="47"/>
      <c r="L1206" s="47"/>
      <c r="M1206" s="49" t="s">
        <v>1613</v>
      </c>
    </row>
    <row r="1207" spans="1:13" x14ac:dyDescent="0.25">
      <c r="A1207" s="48">
        <f t="shared" si="18"/>
        <v>1206</v>
      </c>
      <c r="B1207" s="47" t="s">
        <v>4</v>
      </c>
      <c r="C1207" s="47" t="s">
        <v>7158</v>
      </c>
      <c r="D1207" s="47" t="s">
        <v>7291</v>
      </c>
      <c r="E1207" s="47" t="s">
        <v>6868</v>
      </c>
      <c r="F1207" s="47" t="s">
        <v>7287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#VALUE!</v>
      </c>
      <c r="K1207" s="47"/>
      <c r="L1207" s="47"/>
      <c r="M1207" s="49" t="s">
        <v>1613</v>
      </c>
    </row>
    <row r="1208" spans="1:13" x14ac:dyDescent="0.25">
      <c r="A1208" s="48">
        <f t="shared" si="18"/>
        <v>1207</v>
      </c>
      <c r="B1208" s="47" t="s">
        <v>4</v>
      </c>
      <c r="C1208" s="47" t="s">
        <v>7158</v>
      </c>
      <c r="D1208" s="47" t="s">
        <v>7292</v>
      </c>
      <c r="E1208" s="47" t="s">
        <v>6869</v>
      </c>
      <c r="F1208" s="47" t="s">
        <v>7287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#VALUE!</v>
      </c>
      <c r="K1208" s="47"/>
      <c r="L1208" s="47"/>
      <c r="M1208" s="49" t="s">
        <v>1613</v>
      </c>
    </row>
    <row r="1209" spans="1:13" x14ac:dyDescent="0.25">
      <c r="A1209" s="48">
        <f t="shared" si="18"/>
        <v>1208</v>
      </c>
      <c r="B1209" s="47" t="s">
        <v>4</v>
      </c>
      <c r="C1209" s="47" t="s">
        <v>7158</v>
      </c>
      <c r="D1209" s="47" t="s">
        <v>7293</v>
      </c>
      <c r="E1209" s="47" t="s">
        <v>6870</v>
      </c>
      <c r="F1209" s="47" t="s">
        <v>6684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#VALUE!</v>
      </c>
      <c r="K1209" s="47"/>
      <c r="L1209" s="47"/>
      <c r="M1209" s="49" t="s">
        <v>1613</v>
      </c>
    </row>
    <row r="1210" spans="1:13" x14ac:dyDescent="0.25">
      <c r="A1210" s="48">
        <f t="shared" si="18"/>
        <v>1209</v>
      </c>
      <c r="B1210" s="47" t="s">
        <v>4</v>
      </c>
      <c r="C1210" s="47" t="s">
        <v>7158</v>
      </c>
      <c r="D1210" s="47" t="s">
        <v>7294</v>
      </c>
      <c r="E1210" s="47" t="s">
        <v>6871</v>
      </c>
      <c r="F1210" s="47" t="s">
        <v>7293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#VALUE!</v>
      </c>
      <c r="K1210" s="47"/>
      <c r="L1210" s="47"/>
      <c r="M1210" s="49" t="s">
        <v>1613</v>
      </c>
    </row>
    <row r="1211" spans="1:13" x14ac:dyDescent="0.25">
      <c r="A1211" s="48">
        <f t="shared" si="18"/>
        <v>1210</v>
      </c>
      <c r="B1211" s="47" t="s">
        <v>4</v>
      </c>
      <c r="C1211" s="47" t="s">
        <v>7158</v>
      </c>
      <c r="D1211" s="47" t="s">
        <v>7295</v>
      </c>
      <c r="E1211" s="47" t="s">
        <v>6872</v>
      </c>
      <c r="F1211" s="47" t="s">
        <v>7293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#VALUE!</v>
      </c>
      <c r="K1211" s="47"/>
      <c r="L1211" s="47"/>
      <c r="M1211" s="49" t="s">
        <v>1613</v>
      </c>
    </row>
    <row r="1212" spans="1:13" x14ac:dyDescent="0.25">
      <c r="A1212" s="48">
        <f t="shared" si="18"/>
        <v>1211</v>
      </c>
      <c r="B1212" s="47" t="s">
        <v>4</v>
      </c>
      <c r="C1212" s="47" t="s">
        <v>7158</v>
      </c>
      <c r="D1212" s="47" t="s">
        <v>7296</v>
      </c>
      <c r="E1212" s="47" t="s">
        <v>6873</v>
      </c>
      <c r="F1212" s="47" t="s">
        <v>7295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#VALUE!</v>
      </c>
      <c r="K1212" s="47"/>
      <c r="L1212" s="47"/>
      <c r="M1212" s="49" t="s">
        <v>1613</v>
      </c>
    </row>
    <row r="1213" spans="1:13" x14ac:dyDescent="0.25">
      <c r="A1213" s="48">
        <f t="shared" si="18"/>
        <v>1212</v>
      </c>
      <c r="B1213" s="47" t="s">
        <v>4</v>
      </c>
      <c r="C1213" s="47" t="s">
        <v>7158</v>
      </c>
      <c r="D1213" s="47" t="s">
        <v>7297</v>
      </c>
      <c r="E1213" s="47" t="s">
        <v>6874</v>
      </c>
      <c r="F1213" s="47" t="s">
        <v>7295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#VALUE!</v>
      </c>
      <c r="K1213" s="47"/>
      <c r="L1213" s="47"/>
      <c r="M1213" s="49" t="s">
        <v>1613</v>
      </c>
    </row>
    <row r="1214" spans="1:13" x14ac:dyDescent="0.25">
      <c r="A1214" s="48">
        <f t="shared" si="18"/>
        <v>1213</v>
      </c>
      <c r="B1214" s="47" t="s">
        <v>4</v>
      </c>
      <c r="C1214" s="47" t="s">
        <v>7158</v>
      </c>
      <c r="D1214" s="47" t="s">
        <v>7298</v>
      </c>
      <c r="E1214" s="47" t="s">
        <v>6875</v>
      </c>
      <c r="F1214" s="47" t="s">
        <v>7293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#VALUE!</v>
      </c>
      <c r="K1214" s="47"/>
      <c r="L1214" s="47"/>
      <c r="M1214" s="49" t="s">
        <v>1613</v>
      </c>
    </row>
    <row r="1215" spans="1:13" x14ac:dyDescent="0.25">
      <c r="A1215" s="48">
        <f t="shared" si="18"/>
        <v>1214</v>
      </c>
      <c r="B1215" s="47" t="s">
        <v>4</v>
      </c>
      <c r="C1215" s="47" t="s">
        <v>7158</v>
      </c>
      <c r="D1215" s="47" t="s">
        <v>7299</v>
      </c>
      <c r="E1215" s="47" t="s">
        <v>6876</v>
      </c>
      <c r="F1215" s="47" t="s">
        <v>7298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#VALUE!</v>
      </c>
      <c r="K1215" s="47"/>
      <c r="L1215" s="47"/>
      <c r="M1215" s="49" t="s">
        <v>1613</v>
      </c>
    </row>
    <row r="1216" spans="1:13" x14ac:dyDescent="0.25">
      <c r="A1216" s="48">
        <f t="shared" si="18"/>
        <v>1215</v>
      </c>
      <c r="B1216" s="47" t="s">
        <v>4</v>
      </c>
      <c r="C1216" s="47" t="s">
        <v>7158</v>
      </c>
      <c r="D1216" s="47" t="s">
        <v>7300</v>
      </c>
      <c r="E1216" s="47" t="s">
        <v>6877</v>
      </c>
      <c r="F1216" s="47" t="s">
        <v>7298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#VALUE!</v>
      </c>
      <c r="K1216" s="47"/>
      <c r="L1216" s="47"/>
      <c r="M1216" s="49" t="s">
        <v>1613</v>
      </c>
    </row>
    <row r="1217" spans="1:13" x14ac:dyDescent="0.25">
      <c r="A1217" s="48">
        <f t="shared" si="18"/>
        <v>1216</v>
      </c>
      <c r="B1217" s="47" t="s">
        <v>4</v>
      </c>
      <c r="C1217" s="47" t="s">
        <v>7158</v>
      </c>
      <c r="D1217" s="47" t="s">
        <v>7301</v>
      </c>
      <c r="E1217" s="47" t="s">
        <v>6878</v>
      </c>
      <c r="F1217" s="47" t="s">
        <v>6683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#VALUE!</v>
      </c>
      <c r="K1217" s="47"/>
      <c r="L1217" s="47"/>
      <c r="M1217" s="49" t="s">
        <v>1613</v>
      </c>
    </row>
    <row r="1218" spans="1:13" x14ac:dyDescent="0.25">
      <c r="A1218" s="48">
        <f t="shared" si="18"/>
        <v>1217</v>
      </c>
      <c r="B1218" s="47" t="s">
        <v>4</v>
      </c>
      <c r="C1218" s="47" t="s">
        <v>7158</v>
      </c>
      <c r="D1218" s="47" t="s">
        <v>7302</v>
      </c>
      <c r="E1218" s="47" t="s">
        <v>6879</v>
      </c>
      <c r="F1218" s="47" t="s">
        <v>7301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#VALUE!</v>
      </c>
      <c r="K1218" s="47"/>
      <c r="L1218" s="47"/>
      <c r="M1218" s="49" t="s">
        <v>1613</v>
      </c>
    </row>
    <row r="1219" spans="1:13" x14ac:dyDescent="0.25">
      <c r="A1219" s="48">
        <f t="shared" ref="A1219:A1282" si="19">1+A1218</f>
        <v>1218</v>
      </c>
      <c r="B1219" s="47" t="s">
        <v>4</v>
      </c>
      <c r="C1219" s="47" t="s">
        <v>7158</v>
      </c>
      <c r="D1219" s="47" t="s">
        <v>7303</v>
      </c>
      <c r="E1219" s="47" t="s">
        <v>6880</v>
      </c>
      <c r="F1219" s="47" t="s">
        <v>7301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#VALUE!</v>
      </c>
      <c r="K1219" s="47"/>
      <c r="L1219" s="47"/>
      <c r="M1219" s="49" t="s">
        <v>1613</v>
      </c>
    </row>
    <row r="1220" spans="1:13" x14ac:dyDescent="0.25">
      <c r="A1220" s="48">
        <f t="shared" si="19"/>
        <v>1219</v>
      </c>
      <c r="B1220" s="47" t="s">
        <v>4</v>
      </c>
      <c r="C1220" s="47" t="s">
        <v>7158</v>
      </c>
      <c r="D1220" s="47" t="s">
        <v>7304</v>
      </c>
      <c r="E1220" s="47" t="s">
        <v>6881</v>
      </c>
      <c r="F1220" s="47" t="s">
        <v>7301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#VALUE!</v>
      </c>
      <c r="K1220" s="47"/>
      <c r="L1220" s="47"/>
      <c r="M1220" s="49" t="s">
        <v>1613</v>
      </c>
    </row>
    <row r="1221" spans="1:13" x14ac:dyDescent="0.25">
      <c r="A1221" s="48">
        <f t="shared" si="19"/>
        <v>1220</v>
      </c>
      <c r="B1221" s="47" t="s">
        <v>4</v>
      </c>
      <c r="C1221" s="47" t="s">
        <v>7158</v>
      </c>
      <c r="D1221" s="47" t="s">
        <v>7305</v>
      </c>
      <c r="E1221" s="47" t="s">
        <v>6882</v>
      </c>
      <c r="F1221" s="47" t="s">
        <v>7304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#VALUE!</v>
      </c>
      <c r="K1221" s="47"/>
      <c r="L1221" s="47"/>
      <c r="M1221" s="49" t="s">
        <v>1613</v>
      </c>
    </row>
    <row r="1222" spans="1:13" x14ac:dyDescent="0.25">
      <c r="A1222" s="48">
        <f t="shared" si="19"/>
        <v>1221</v>
      </c>
      <c r="B1222" s="47" t="s">
        <v>4</v>
      </c>
      <c r="C1222" s="47" t="s">
        <v>7158</v>
      </c>
      <c r="D1222" s="47" t="s">
        <v>7306</v>
      </c>
      <c r="E1222" s="47" t="s">
        <v>6883</v>
      </c>
      <c r="F1222" s="47" t="s">
        <v>7304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#VALUE!</v>
      </c>
      <c r="K1222" s="47"/>
      <c r="L1222" s="47"/>
      <c r="M1222" s="49" t="s">
        <v>1613</v>
      </c>
    </row>
    <row r="1223" spans="1:13" x14ac:dyDescent="0.25">
      <c r="A1223" s="48">
        <f t="shared" si="19"/>
        <v>1222</v>
      </c>
      <c r="B1223" s="47" t="s">
        <v>4</v>
      </c>
      <c r="C1223" s="47" t="s">
        <v>7158</v>
      </c>
      <c r="D1223" s="47" t="s">
        <v>7307</v>
      </c>
      <c r="E1223" s="47" t="s">
        <v>6884</v>
      </c>
      <c r="F1223" s="47" t="s">
        <v>7301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#VALUE!</v>
      </c>
      <c r="K1223" s="47"/>
      <c r="L1223" s="47"/>
      <c r="M1223" s="49" t="s">
        <v>1613</v>
      </c>
    </row>
    <row r="1224" spans="1:13" x14ac:dyDescent="0.25">
      <c r="A1224" s="48">
        <f t="shared" si="19"/>
        <v>1223</v>
      </c>
      <c r="B1224" s="47" t="s">
        <v>4</v>
      </c>
      <c r="C1224" s="47" t="s">
        <v>7158</v>
      </c>
      <c r="D1224" s="47" t="s">
        <v>7308</v>
      </c>
      <c r="E1224" s="47" t="s">
        <v>6885</v>
      </c>
      <c r="F1224" s="47" t="s">
        <v>7307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#VALUE!</v>
      </c>
      <c r="K1224" s="47"/>
      <c r="L1224" s="47"/>
      <c r="M1224" s="49" t="s">
        <v>1613</v>
      </c>
    </row>
    <row r="1225" spans="1:13" x14ac:dyDescent="0.25">
      <c r="A1225" s="48">
        <f t="shared" si="19"/>
        <v>1224</v>
      </c>
      <c r="B1225" s="47" t="s">
        <v>4</v>
      </c>
      <c r="C1225" s="47" t="s">
        <v>7158</v>
      </c>
      <c r="D1225" s="47" t="s">
        <v>7309</v>
      </c>
      <c r="E1225" s="47" t="s">
        <v>6886</v>
      </c>
      <c r="F1225" s="47" t="s">
        <v>7307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#VALUE!</v>
      </c>
      <c r="K1225" s="47"/>
      <c r="L1225" s="47"/>
      <c r="M1225" s="49" t="s">
        <v>1613</v>
      </c>
    </row>
    <row r="1226" spans="1:13" x14ac:dyDescent="0.25">
      <c r="A1226" s="48">
        <f t="shared" si="19"/>
        <v>1225</v>
      </c>
      <c r="B1226" s="47" t="s">
        <v>4</v>
      </c>
      <c r="C1226" s="47" t="s">
        <v>7158</v>
      </c>
      <c r="D1226" s="47" t="s">
        <v>7310</v>
      </c>
      <c r="E1226" s="47" t="s">
        <v>6887</v>
      </c>
      <c r="F1226" s="47" t="s">
        <v>7307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#VALUE!</v>
      </c>
      <c r="K1226" s="47"/>
      <c r="L1226" s="47"/>
      <c r="M1226" s="49" t="s">
        <v>1613</v>
      </c>
    </row>
    <row r="1227" spans="1:13" x14ac:dyDescent="0.25">
      <c r="A1227" s="48">
        <f t="shared" si="19"/>
        <v>1226</v>
      </c>
      <c r="B1227" s="47" t="s">
        <v>4</v>
      </c>
      <c r="C1227" s="47" t="s">
        <v>7158</v>
      </c>
      <c r="D1227" s="47" t="s">
        <v>7311</v>
      </c>
      <c r="E1227" s="47" t="s">
        <v>6888</v>
      </c>
      <c r="F1227" s="47" t="s">
        <v>7307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#VALUE!</v>
      </c>
      <c r="K1227" s="47"/>
      <c r="L1227" s="47"/>
      <c r="M1227" s="49" t="s">
        <v>1613</v>
      </c>
    </row>
    <row r="1228" spans="1:13" x14ac:dyDescent="0.25">
      <c r="A1228" s="48">
        <f t="shared" si="19"/>
        <v>1227</v>
      </c>
      <c r="B1228" s="47" t="s">
        <v>4</v>
      </c>
      <c r="C1228" s="47" t="s">
        <v>7158</v>
      </c>
      <c r="D1228" s="47" t="s">
        <v>7312</v>
      </c>
      <c r="E1228" s="47" t="s">
        <v>6889</v>
      </c>
      <c r="F1228" s="47" t="s">
        <v>7307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#VALUE!</v>
      </c>
      <c r="K1228" s="47"/>
      <c r="L1228" s="47"/>
      <c r="M1228" s="49" t="s">
        <v>1613</v>
      </c>
    </row>
    <row r="1229" spans="1:13" x14ac:dyDescent="0.25">
      <c r="A1229" s="48">
        <f t="shared" si="19"/>
        <v>1228</v>
      </c>
      <c r="B1229" s="47" t="s">
        <v>4</v>
      </c>
      <c r="C1229" s="47" t="s">
        <v>7158</v>
      </c>
      <c r="D1229" s="47" t="s">
        <v>7313</v>
      </c>
      <c r="E1229" s="47" t="s">
        <v>6890</v>
      </c>
      <c r="F1229" s="47" t="s">
        <v>6684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#VALUE!</v>
      </c>
      <c r="K1229" s="47"/>
      <c r="L1229" s="47"/>
      <c r="M1229" s="49" t="s">
        <v>1613</v>
      </c>
    </row>
    <row r="1230" spans="1:13" x14ac:dyDescent="0.25">
      <c r="A1230" s="48">
        <f t="shared" si="19"/>
        <v>1229</v>
      </c>
      <c r="B1230" s="47" t="s">
        <v>4</v>
      </c>
      <c r="C1230" s="47" t="s">
        <v>7158</v>
      </c>
      <c r="D1230" s="47" t="s">
        <v>7314</v>
      </c>
      <c r="E1230" s="47" t="s">
        <v>6891</v>
      </c>
      <c r="F1230" s="47" t="s">
        <v>7313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#VALUE!</v>
      </c>
      <c r="K1230" s="47"/>
      <c r="L1230" s="47"/>
      <c r="M1230" s="49" t="s">
        <v>1613</v>
      </c>
    </row>
    <row r="1231" spans="1:13" x14ac:dyDescent="0.25">
      <c r="A1231" s="48">
        <f t="shared" si="19"/>
        <v>1230</v>
      </c>
      <c r="B1231" s="47" t="s">
        <v>4</v>
      </c>
      <c r="C1231" s="47" t="s">
        <v>7158</v>
      </c>
      <c r="D1231" s="47" t="s">
        <v>7315</v>
      </c>
      <c r="E1231" s="47" t="s">
        <v>6892</v>
      </c>
      <c r="F1231" s="47" t="s">
        <v>7313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#VALUE!</v>
      </c>
      <c r="K1231" s="47"/>
      <c r="L1231" s="47"/>
      <c r="M1231" s="49" t="s">
        <v>1613</v>
      </c>
    </row>
    <row r="1232" spans="1:13" x14ac:dyDescent="0.25">
      <c r="A1232" s="48">
        <f t="shared" si="19"/>
        <v>1231</v>
      </c>
      <c r="B1232" s="47" t="s">
        <v>4</v>
      </c>
      <c r="C1232" s="47" t="s">
        <v>7158</v>
      </c>
      <c r="D1232" s="47" t="s">
        <v>7316</v>
      </c>
      <c r="E1232" s="47" t="s">
        <v>6893</v>
      </c>
      <c r="F1232" s="47" t="s">
        <v>7315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#VALUE!</v>
      </c>
      <c r="K1232" s="47"/>
      <c r="L1232" s="47"/>
      <c r="M1232" s="49" t="s">
        <v>1613</v>
      </c>
    </row>
    <row r="1233" spans="1:13" x14ac:dyDescent="0.25">
      <c r="A1233" s="48">
        <f t="shared" si="19"/>
        <v>1232</v>
      </c>
      <c r="B1233" s="47" t="s">
        <v>4</v>
      </c>
      <c r="C1233" s="47" t="s">
        <v>7158</v>
      </c>
      <c r="D1233" s="47" t="s">
        <v>7317</v>
      </c>
      <c r="E1233" s="47" t="s">
        <v>6894</v>
      </c>
      <c r="F1233" s="47" t="s">
        <v>7315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#VALUE!</v>
      </c>
      <c r="K1233" s="47"/>
      <c r="L1233" s="47"/>
      <c r="M1233" s="49" t="s">
        <v>1613</v>
      </c>
    </row>
    <row r="1234" spans="1:13" x14ac:dyDescent="0.25">
      <c r="A1234" s="48">
        <f t="shared" si="19"/>
        <v>1233</v>
      </c>
      <c r="B1234" s="47" t="s">
        <v>4</v>
      </c>
      <c r="C1234" s="47" t="s">
        <v>7158</v>
      </c>
      <c r="D1234" s="47" t="s">
        <v>7318</v>
      </c>
      <c r="E1234" s="47" t="s">
        <v>6895</v>
      </c>
      <c r="F1234" s="47" t="s">
        <v>7313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#VALUE!</v>
      </c>
      <c r="K1234" s="47"/>
      <c r="L1234" s="47"/>
      <c r="M1234" s="49" t="s">
        <v>1613</v>
      </c>
    </row>
    <row r="1235" spans="1:13" x14ac:dyDescent="0.25">
      <c r="A1235" s="48">
        <f t="shared" si="19"/>
        <v>1234</v>
      </c>
      <c r="B1235" s="47" t="s">
        <v>4</v>
      </c>
      <c r="C1235" s="47" t="s">
        <v>7158</v>
      </c>
      <c r="D1235" s="47" t="s">
        <v>7319</v>
      </c>
      <c r="E1235" s="47" t="s">
        <v>6896</v>
      </c>
      <c r="F1235" s="47" t="s">
        <v>7318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#VALUE!</v>
      </c>
      <c r="K1235" s="47"/>
      <c r="L1235" s="47"/>
      <c r="M1235" s="49" t="s">
        <v>1613</v>
      </c>
    </row>
    <row r="1236" spans="1:13" x14ac:dyDescent="0.25">
      <c r="A1236" s="48">
        <f t="shared" si="19"/>
        <v>1235</v>
      </c>
      <c r="B1236" s="47" t="s">
        <v>4</v>
      </c>
      <c r="C1236" s="47" t="s">
        <v>7158</v>
      </c>
      <c r="D1236" s="47" t="s">
        <v>7320</v>
      </c>
      <c r="E1236" s="47" t="s">
        <v>6897</v>
      </c>
      <c r="F1236" s="47" t="s">
        <v>7318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#VALUE!</v>
      </c>
      <c r="K1236" s="47"/>
      <c r="L1236" s="47"/>
      <c r="M1236" s="49" t="s">
        <v>1613</v>
      </c>
    </row>
    <row r="1237" spans="1:13" x14ac:dyDescent="0.25">
      <c r="A1237" s="48">
        <f t="shared" si="19"/>
        <v>1236</v>
      </c>
      <c r="B1237" s="47" t="s">
        <v>4</v>
      </c>
      <c r="C1237" s="47" t="s">
        <v>7158</v>
      </c>
      <c r="D1237" s="47" t="s">
        <v>7321</v>
      </c>
      <c r="E1237" s="47" t="s">
        <v>6898</v>
      </c>
      <c r="F1237" s="47" t="s">
        <v>6683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#VALUE!</v>
      </c>
      <c r="K1237" s="47"/>
      <c r="L1237" s="47"/>
      <c r="M1237" s="49" t="s">
        <v>1613</v>
      </c>
    </row>
    <row r="1238" spans="1:13" x14ac:dyDescent="0.25">
      <c r="A1238" s="48">
        <f t="shared" si="19"/>
        <v>1237</v>
      </c>
      <c r="B1238" s="47" t="s">
        <v>4</v>
      </c>
      <c r="C1238" s="47" t="s">
        <v>7158</v>
      </c>
      <c r="D1238" s="47" t="s">
        <v>7322</v>
      </c>
      <c r="E1238" s="47" t="s">
        <v>6899</v>
      </c>
      <c r="F1238" s="47" t="s">
        <v>7321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#VALUE!</v>
      </c>
      <c r="K1238" s="47"/>
      <c r="L1238" s="47"/>
      <c r="M1238" s="49" t="s">
        <v>1613</v>
      </c>
    </row>
    <row r="1239" spans="1:13" x14ac:dyDescent="0.25">
      <c r="A1239" s="48">
        <f t="shared" si="19"/>
        <v>1238</v>
      </c>
      <c r="B1239" s="47" t="s">
        <v>4</v>
      </c>
      <c r="C1239" s="47" t="s">
        <v>7158</v>
      </c>
      <c r="D1239" s="47" t="s">
        <v>7323</v>
      </c>
      <c r="E1239" s="47" t="s">
        <v>6900</v>
      </c>
      <c r="F1239" s="47" t="s">
        <v>7321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#VALUE!</v>
      </c>
      <c r="K1239" s="47"/>
      <c r="L1239" s="47"/>
      <c r="M1239" s="49" t="s">
        <v>1613</v>
      </c>
    </row>
    <row r="1240" spans="1:13" x14ac:dyDescent="0.25">
      <c r="A1240" s="48">
        <f t="shared" si="19"/>
        <v>1239</v>
      </c>
      <c r="B1240" s="47" t="s">
        <v>4</v>
      </c>
      <c r="C1240" s="47" t="s">
        <v>7158</v>
      </c>
      <c r="D1240" s="47" t="s">
        <v>7324</v>
      </c>
      <c r="E1240" s="47" t="s">
        <v>6901</v>
      </c>
      <c r="F1240" s="47" t="s">
        <v>7321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#VALUE!</v>
      </c>
      <c r="K1240" s="47"/>
      <c r="L1240" s="47"/>
      <c r="M1240" s="49" t="s">
        <v>1613</v>
      </c>
    </row>
    <row r="1241" spans="1:13" x14ac:dyDescent="0.25">
      <c r="A1241" s="48">
        <f t="shared" si="19"/>
        <v>1240</v>
      </c>
      <c r="B1241" s="47" t="s">
        <v>4</v>
      </c>
      <c r="C1241" s="47" t="s">
        <v>7158</v>
      </c>
      <c r="D1241" s="47" t="s">
        <v>7325</v>
      </c>
      <c r="E1241" s="47" t="s">
        <v>6902</v>
      </c>
      <c r="F1241" s="47" t="s">
        <v>7324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#VALUE!</v>
      </c>
      <c r="K1241" s="47"/>
      <c r="L1241" s="47"/>
      <c r="M1241" s="49" t="s">
        <v>1613</v>
      </c>
    </row>
    <row r="1242" spans="1:13" x14ac:dyDescent="0.25">
      <c r="A1242" s="48">
        <f t="shared" si="19"/>
        <v>1241</v>
      </c>
      <c r="B1242" s="47" t="s">
        <v>4</v>
      </c>
      <c r="C1242" s="47" t="s">
        <v>7158</v>
      </c>
      <c r="D1242" s="47" t="s">
        <v>7326</v>
      </c>
      <c r="E1242" s="47" t="s">
        <v>6903</v>
      </c>
      <c r="F1242" s="47" t="s">
        <v>7324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#VALUE!</v>
      </c>
      <c r="K1242" s="47"/>
      <c r="L1242" s="47"/>
      <c r="M1242" s="49" t="s">
        <v>1613</v>
      </c>
    </row>
    <row r="1243" spans="1:13" x14ac:dyDescent="0.25">
      <c r="A1243" s="48">
        <f t="shared" si="19"/>
        <v>1242</v>
      </c>
      <c r="B1243" s="47" t="s">
        <v>4</v>
      </c>
      <c r="C1243" s="47" t="s">
        <v>7158</v>
      </c>
      <c r="D1243" s="47" t="s">
        <v>7327</v>
      </c>
      <c r="E1243" s="47" t="s">
        <v>6904</v>
      </c>
      <c r="F1243" s="47" t="s">
        <v>7321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#VALUE!</v>
      </c>
      <c r="K1243" s="47"/>
      <c r="L1243" s="47"/>
      <c r="M1243" s="49" t="s">
        <v>1613</v>
      </c>
    </row>
    <row r="1244" spans="1:13" x14ac:dyDescent="0.25">
      <c r="A1244" s="48">
        <f t="shared" si="19"/>
        <v>1243</v>
      </c>
      <c r="B1244" s="47" t="s">
        <v>4</v>
      </c>
      <c r="C1244" s="47" t="s">
        <v>7158</v>
      </c>
      <c r="D1244" s="47" t="s">
        <v>7328</v>
      </c>
      <c r="E1244" s="47" t="s">
        <v>6905</v>
      </c>
      <c r="F1244" s="47" t="s">
        <v>7327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#VALUE!</v>
      </c>
      <c r="K1244" s="47"/>
      <c r="L1244" s="47"/>
      <c r="M1244" s="49" t="s">
        <v>1613</v>
      </c>
    </row>
    <row r="1245" spans="1:13" x14ac:dyDescent="0.25">
      <c r="A1245" s="48">
        <f t="shared" si="19"/>
        <v>1244</v>
      </c>
      <c r="B1245" s="47" t="s">
        <v>4</v>
      </c>
      <c r="C1245" s="47" t="s">
        <v>7158</v>
      </c>
      <c r="D1245" s="47" t="s">
        <v>7329</v>
      </c>
      <c r="E1245" s="47" t="s">
        <v>6906</v>
      </c>
      <c r="F1245" s="47" t="s">
        <v>7327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#VALUE!</v>
      </c>
      <c r="K1245" s="47"/>
      <c r="L1245" s="47"/>
      <c r="M1245" s="49" t="s">
        <v>1613</v>
      </c>
    </row>
    <row r="1246" spans="1:13" x14ac:dyDescent="0.25">
      <c r="A1246" s="48">
        <f t="shared" si="19"/>
        <v>1245</v>
      </c>
      <c r="B1246" s="47" t="s">
        <v>4</v>
      </c>
      <c r="C1246" s="47" t="s">
        <v>7158</v>
      </c>
      <c r="D1246" s="47" t="s">
        <v>7330</v>
      </c>
      <c r="E1246" s="47" t="s">
        <v>6907</v>
      </c>
      <c r="F1246" s="47" t="s">
        <v>7327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#VALUE!</v>
      </c>
      <c r="K1246" s="47"/>
      <c r="L1246" s="47"/>
      <c r="M1246" s="49" t="s">
        <v>1613</v>
      </c>
    </row>
    <row r="1247" spans="1:13" x14ac:dyDescent="0.25">
      <c r="A1247" s="48">
        <f t="shared" si="19"/>
        <v>1246</v>
      </c>
      <c r="B1247" s="47" t="s">
        <v>4</v>
      </c>
      <c r="C1247" s="47" t="s">
        <v>7158</v>
      </c>
      <c r="D1247" s="47" t="s">
        <v>7331</v>
      </c>
      <c r="E1247" s="47" t="s">
        <v>6908</v>
      </c>
      <c r="F1247" s="47" t="s">
        <v>7327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#VALUE!</v>
      </c>
      <c r="K1247" s="47"/>
      <c r="L1247" s="47"/>
      <c r="M1247" s="49" t="s">
        <v>1613</v>
      </c>
    </row>
    <row r="1248" spans="1:13" x14ac:dyDescent="0.25">
      <c r="A1248" s="48">
        <f t="shared" si="19"/>
        <v>1247</v>
      </c>
      <c r="B1248" s="47" t="s">
        <v>4</v>
      </c>
      <c r="C1248" s="47" t="s">
        <v>7158</v>
      </c>
      <c r="D1248" s="47" t="s">
        <v>7332</v>
      </c>
      <c r="E1248" s="47" t="s">
        <v>6909</v>
      </c>
      <c r="F1248" s="47" t="s">
        <v>7327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#VALUE!</v>
      </c>
      <c r="K1248" s="47"/>
      <c r="L1248" s="47"/>
      <c r="M1248" s="49" t="s">
        <v>1613</v>
      </c>
    </row>
    <row r="1249" spans="1:13" x14ac:dyDescent="0.25">
      <c r="A1249" s="48">
        <f t="shared" si="19"/>
        <v>1248</v>
      </c>
      <c r="B1249" s="47" t="s">
        <v>4</v>
      </c>
      <c r="C1249" s="47" t="s">
        <v>7158</v>
      </c>
      <c r="D1249" s="47" t="s">
        <v>7333</v>
      </c>
      <c r="E1249" s="47" t="s">
        <v>6910</v>
      </c>
      <c r="F1249" s="47" t="s">
        <v>6684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#VALUE!</v>
      </c>
      <c r="K1249" s="47"/>
      <c r="L1249" s="47"/>
      <c r="M1249" s="49" t="s">
        <v>1613</v>
      </c>
    </row>
    <row r="1250" spans="1:13" x14ac:dyDescent="0.25">
      <c r="A1250" s="48">
        <f t="shared" si="19"/>
        <v>1249</v>
      </c>
      <c r="B1250" s="47" t="s">
        <v>4</v>
      </c>
      <c r="C1250" s="47" t="s">
        <v>7158</v>
      </c>
      <c r="D1250" s="47" t="s">
        <v>7334</v>
      </c>
      <c r="E1250" s="47" t="s">
        <v>6911</v>
      </c>
      <c r="F1250" s="47" t="s">
        <v>7333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#VALUE!</v>
      </c>
      <c r="K1250" s="47"/>
      <c r="L1250" s="47"/>
      <c r="M1250" s="49" t="s">
        <v>1613</v>
      </c>
    </row>
    <row r="1251" spans="1:13" x14ac:dyDescent="0.25">
      <c r="A1251" s="48">
        <f t="shared" si="19"/>
        <v>1250</v>
      </c>
      <c r="B1251" s="47" t="s">
        <v>4</v>
      </c>
      <c r="C1251" s="47" t="s">
        <v>7158</v>
      </c>
      <c r="D1251" s="47" t="s">
        <v>7335</v>
      </c>
      <c r="E1251" s="47" t="s">
        <v>6912</v>
      </c>
      <c r="F1251" s="47" t="s">
        <v>7333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#VALUE!</v>
      </c>
      <c r="K1251" s="47"/>
      <c r="L1251" s="47"/>
      <c r="M1251" s="49" t="s">
        <v>1613</v>
      </c>
    </row>
    <row r="1252" spans="1:13" x14ac:dyDescent="0.25">
      <c r="A1252" s="48">
        <f t="shared" si="19"/>
        <v>1251</v>
      </c>
      <c r="B1252" s="47" t="s">
        <v>4</v>
      </c>
      <c r="C1252" s="47" t="s">
        <v>7158</v>
      </c>
      <c r="D1252" s="47" t="s">
        <v>7336</v>
      </c>
      <c r="E1252" s="47" t="s">
        <v>6913</v>
      </c>
      <c r="F1252" s="47" t="s">
        <v>7335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#VALUE!</v>
      </c>
      <c r="K1252" s="47"/>
      <c r="L1252" s="47"/>
      <c r="M1252" s="49" t="s">
        <v>1613</v>
      </c>
    </row>
    <row r="1253" spans="1:13" x14ac:dyDescent="0.25">
      <c r="A1253" s="48">
        <f t="shared" si="19"/>
        <v>1252</v>
      </c>
      <c r="B1253" s="47" t="s">
        <v>4</v>
      </c>
      <c r="C1253" s="47" t="s">
        <v>7158</v>
      </c>
      <c r="D1253" s="47" t="s">
        <v>7337</v>
      </c>
      <c r="E1253" s="47" t="s">
        <v>6914</v>
      </c>
      <c r="F1253" s="47" t="s">
        <v>7335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#VALUE!</v>
      </c>
      <c r="K1253" s="47"/>
      <c r="L1253" s="47"/>
      <c r="M1253" s="49" t="s">
        <v>1613</v>
      </c>
    </row>
    <row r="1254" spans="1:13" x14ac:dyDescent="0.25">
      <c r="A1254" s="48">
        <f t="shared" si="19"/>
        <v>1253</v>
      </c>
      <c r="B1254" s="47" t="s">
        <v>4</v>
      </c>
      <c r="C1254" s="47" t="s">
        <v>7158</v>
      </c>
      <c r="D1254" s="47" t="s">
        <v>7338</v>
      </c>
      <c r="E1254" s="47" t="s">
        <v>6915</v>
      </c>
      <c r="F1254" s="47" t="s">
        <v>7333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#VALUE!</v>
      </c>
      <c r="K1254" s="47"/>
      <c r="L1254" s="47"/>
      <c r="M1254" s="49" t="s">
        <v>1613</v>
      </c>
    </row>
    <row r="1255" spans="1:13" x14ac:dyDescent="0.25">
      <c r="A1255" s="48">
        <f t="shared" si="19"/>
        <v>1254</v>
      </c>
      <c r="B1255" s="47" t="s">
        <v>4</v>
      </c>
      <c r="C1255" s="47" t="s">
        <v>7158</v>
      </c>
      <c r="D1255" s="47" t="s">
        <v>7339</v>
      </c>
      <c r="E1255" s="47" t="s">
        <v>6916</v>
      </c>
      <c r="F1255" s="47" t="s">
        <v>7338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#VALUE!</v>
      </c>
      <c r="K1255" s="47"/>
      <c r="L1255" s="47"/>
      <c r="M1255" s="49" t="s">
        <v>1613</v>
      </c>
    </row>
    <row r="1256" spans="1:13" x14ac:dyDescent="0.25">
      <c r="A1256" s="48">
        <f t="shared" si="19"/>
        <v>1255</v>
      </c>
      <c r="B1256" s="47" t="s">
        <v>4</v>
      </c>
      <c r="C1256" s="47" t="s">
        <v>7158</v>
      </c>
      <c r="D1256" s="47" t="s">
        <v>7340</v>
      </c>
      <c r="E1256" s="47" t="s">
        <v>6917</v>
      </c>
      <c r="F1256" s="47" t="s">
        <v>7338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#VALUE!</v>
      </c>
      <c r="K1256" s="47"/>
      <c r="L1256" s="47"/>
      <c r="M1256" s="49" t="s">
        <v>1613</v>
      </c>
    </row>
    <row r="1257" spans="1:13" x14ac:dyDescent="0.25">
      <c r="A1257" s="48">
        <f t="shared" si="19"/>
        <v>1256</v>
      </c>
      <c r="B1257" s="47" t="s">
        <v>4</v>
      </c>
      <c r="C1257" s="47" t="s">
        <v>7158</v>
      </c>
      <c r="D1257" s="47" t="s">
        <v>7341</v>
      </c>
      <c r="E1257" s="47" t="s">
        <v>6918</v>
      </c>
      <c r="F1257" s="47" t="s">
        <v>6683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#VALUE!</v>
      </c>
      <c r="K1257" s="47"/>
      <c r="L1257" s="47"/>
      <c r="M1257" s="49" t="s">
        <v>1613</v>
      </c>
    </row>
    <row r="1258" spans="1:13" x14ac:dyDescent="0.25">
      <c r="A1258" s="48">
        <f t="shared" si="19"/>
        <v>1257</v>
      </c>
      <c r="B1258" s="47" t="s">
        <v>4</v>
      </c>
      <c r="C1258" s="47" t="s">
        <v>7158</v>
      </c>
      <c r="D1258" s="47" t="s">
        <v>7342</v>
      </c>
      <c r="E1258" s="47" t="s">
        <v>6919</v>
      </c>
      <c r="F1258" s="47" t="s">
        <v>7341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#VALUE!</v>
      </c>
      <c r="K1258" s="47"/>
      <c r="L1258" s="47"/>
      <c r="M1258" s="49" t="s">
        <v>1613</v>
      </c>
    </row>
    <row r="1259" spans="1:13" x14ac:dyDescent="0.25">
      <c r="A1259" s="48">
        <f t="shared" si="19"/>
        <v>1258</v>
      </c>
      <c r="B1259" s="47" t="s">
        <v>4</v>
      </c>
      <c r="C1259" s="47" t="s">
        <v>7158</v>
      </c>
      <c r="D1259" s="47" t="s">
        <v>7343</v>
      </c>
      <c r="E1259" s="47" t="s">
        <v>6920</v>
      </c>
      <c r="F1259" s="47" t="s">
        <v>7341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#VALUE!</v>
      </c>
      <c r="K1259" s="47"/>
      <c r="L1259" s="47"/>
      <c r="M1259" s="49" t="s">
        <v>1613</v>
      </c>
    </row>
    <row r="1260" spans="1:13" x14ac:dyDescent="0.25">
      <c r="A1260" s="48">
        <f t="shared" si="19"/>
        <v>1259</v>
      </c>
      <c r="B1260" s="47" t="s">
        <v>4</v>
      </c>
      <c r="C1260" s="47" t="s">
        <v>7158</v>
      </c>
      <c r="D1260" s="47" t="s">
        <v>7344</v>
      </c>
      <c r="E1260" s="47" t="s">
        <v>6921</v>
      </c>
      <c r="F1260" s="47" t="s">
        <v>7341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#VALUE!</v>
      </c>
      <c r="K1260" s="47"/>
      <c r="L1260" s="47"/>
      <c r="M1260" s="49" t="s">
        <v>1613</v>
      </c>
    </row>
    <row r="1261" spans="1:13" x14ac:dyDescent="0.25">
      <c r="A1261" s="48">
        <f t="shared" si="19"/>
        <v>1260</v>
      </c>
      <c r="B1261" s="47" t="s">
        <v>4</v>
      </c>
      <c r="C1261" s="47" t="s">
        <v>7158</v>
      </c>
      <c r="D1261" s="47" t="s">
        <v>7345</v>
      </c>
      <c r="E1261" s="47" t="s">
        <v>6922</v>
      </c>
      <c r="F1261" s="47" t="s">
        <v>7344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#VALUE!</v>
      </c>
      <c r="K1261" s="47"/>
      <c r="L1261" s="47"/>
      <c r="M1261" s="49" t="s">
        <v>1613</v>
      </c>
    </row>
    <row r="1262" spans="1:13" x14ac:dyDescent="0.25">
      <c r="A1262" s="48">
        <f t="shared" si="19"/>
        <v>1261</v>
      </c>
      <c r="B1262" s="47" t="s">
        <v>4</v>
      </c>
      <c r="C1262" s="47" t="s">
        <v>7158</v>
      </c>
      <c r="D1262" s="47" t="s">
        <v>7346</v>
      </c>
      <c r="E1262" s="47" t="s">
        <v>6923</v>
      </c>
      <c r="F1262" s="47" t="s">
        <v>7344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#VALUE!</v>
      </c>
      <c r="K1262" s="47"/>
      <c r="L1262" s="47"/>
      <c r="M1262" s="49" t="s">
        <v>1613</v>
      </c>
    </row>
    <row r="1263" spans="1:13" x14ac:dyDescent="0.25">
      <c r="A1263" s="48">
        <f t="shared" si="19"/>
        <v>1262</v>
      </c>
      <c r="B1263" s="47" t="s">
        <v>4</v>
      </c>
      <c r="C1263" s="47" t="s">
        <v>7158</v>
      </c>
      <c r="D1263" s="47" t="s">
        <v>7347</v>
      </c>
      <c r="E1263" s="47" t="s">
        <v>6924</v>
      </c>
      <c r="F1263" s="47" t="s">
        <v>7341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#VALUE!</v>
      </c>
      <c r="K1263" s="47"/>
      <c r="L1263" s="47"/>
      <c r="M1263" s="49" t="s">
        <v>1613</v>
      </c>
    </row>
    <row r="1264" spans="1:13" x14ac:dyDescent="0.25">
      <c r="A1264" s="48">
        <f t="shared" si="19"/>
        <v>1263</v>
      </c>
      <c r="B1264" s="47" t="s">
        <v>4</v>
      </c>
      <c r="C1264" s="47" t="s">
        <v>7158</v>
      </c>
      <c r="D1264" s="47" t="s">
        <v>7348</v>
      </c>
      <c r="E1264" s="47" t="s">
        <v>6925</v>
      </c>
      <c r="F1264" s="47" t="s">
        <v>7347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#VALUE!</v>
      </c>
      <c r="K1264" s="47"/>
      <c r="L1264" s="47"/>
      <c r="M1264" s="49" t="s">
        <v>1613</v>
      </c>
    </row>
    <row r="1265" spans="1:13" x14ac:dyDescent="0.25">
      <c r="A1265" s="48">
        <f t="shared" si="19"/>
        <v>1264</v>
      </c>
      <c r="B1265" s="47" t="s">
        <v>4</v>
      </c>
      <c r="C1265" s="47" t="s">
        <v>7158</v>
      </c>
      <c r="D1265" s="47" t="s">
        <v>7349</v>
      </c>
      <c r="E1265" s="47" t="s">
        <v>6926</v>
      </c>
      <c r="F1265" s="47" t="s">
        <v>7347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#VALUE!</v>
      </c>
      <c r="K1265" s="47"/>
      <c r="L1265" s="47"/>
      <c r="M1265" s="49" t="s">
        <v>1613</v>
      </c>
    </row>
    <row r="1266" spans="1:13" x14ac:dyDescent="0.25">
      <c r="A1266" s="48">
        <f t="shared" si="19"/>
        <v>1265</v>
      </c>
      <c r="B1266" s="47" t="s">
        <v>4</v>
      </c>
      <c r="C1266" s="47" t="s">
        <v>7158</v>
      </c>
      <c r="D1266" s="47" t="s">
        <v>7350</v>
      </c>
      <c r="E1266" s="47" t="s">
        <v>6927</v>
      </c>
      <c r="F1266" s="47" t="s">
        <v>7347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#VALUE!</v>
      </c>
      <c r="K1266" s="47"/>
      <c r="L1266" s="47"/>
      <c r="M1266" s="49" t="s">
        <v>1613</v>
      </c>
    </row>
    <row r="1267" spans="1:13" x14ac:dyDescent="0.25">
      <c r="A1267" s="48">
        <f t="shared" si="19"/>
        <v>1266</v>
      </c>
      <c r="B1267" s="47" t="s">
        <v>4</v>
      </c>
      <c r="C1267" s="47" t="s">
        <v>7158</v>
      </c>
      <c r="D1267" s="47" t="s">
        <v>7351</v>
      </c>
      <c r="E1267" s="47" t="s">
        <v>6928</v>
      </c>
      <c r="F1267" s="47" t="s">
        <v>7347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#VALUE!</v>
      </c>
      <c r="K1267" s="47"/>
      <c r="L1267" s="47"/>
      <c r="M1267" s="49" t="s">
        <v>1613</v>
      </c>
    </row>
    <row r="1268" spans="1:13" x14ac:dyDescent="0.25">
      <c r="A1268" s="48">
        <f t="shared" si="19"/>
        <v>1267</v>
      </c>
      <c r="B1268" s="47" t="s">
        <v>4</v>
      </c>
      <c r="C1268" s="47" t="s">
        <v>7158</v>
      </c>
      <c r="D1268" s="47" t="s">
        <v>7352</v>
      </c>
      <c r="E1268" s="47" t="s">
        <v>6929</v>
      </c>
      <c r="F1268" s="47" t="s">
        <v>7347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#VALUE!</v>
      </c>
      <c r="K1268" s="47"/>
      <c r="L1268" s="47"/>
      <c r="M1268" s="49" t="s">
        <v>1613</v>
      </c>
    </row>
    <row r="1269" spans="1:13" x14ac:dyDescent="0.25">
      <c r="A1269" s="48">
        <f t="shared" si="19"/>
        <v>1268</v>
      </c>
      <c r="B1269" s="47" t="s">
        <v>4</v>
      </c>
      <c r="C1269" s="47" t="s">
        <v>7158</v>
      </c>
      <c r="D1269" s="47" t="s">
        <v>7353</v>
      </c>
      <c r="E1269" s="47" t="s">
        <v>6930</v>
      </c>
      <c r="F1269" s="47" t="s">
        <v>6684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#VALUE!</v>
      </c>
      <c r="K1269" s="47"/>
      <c r="L1269" s="47"/>
      <c r="M1269" s="49" t="s">
        <v>1613</v>
      </c>
    </row>
    <row r="1270" spans="1:13" x14ac:dyDescent="0.25">
      <c r="A1270" s="48">
        <f t="shared" si="19"/>
        <v>1269</v>
      </c>
      <c r="B1270" s="47" t="s">
        <v>4</v>
      </c>
      <c r="C1270" s="47" t="s">
        <v>7158</v>
      </c>
      <c r="D1270" s="47" t="s">
        <v>7354</v>
      </c>
      <c r="E1270" s="47" t="s">
        <v>6931</v>
      </c>
      <c r="F1270" s="47" t="s">
        <v>7353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#VALUE!</v>
      </c>
      <c r="K1270" s="47"/>
      <c r="L1270" s="47"/>
      <c r="M1270" s="49" t="s">
        <v>1613</v>
      </c>
    </row>
    <row r="1271" spans="1:13" x14ac:dyDescent="0.25">
      <c r="A1271" s="48">
        <f t="shared" si="19"/>
        <v>1270</v>
      </c>
      <c r="B1271" s="47" t="s">
        <v>4</v>
      </c>
      <c r="C1271" s="47" t="s">
        <v>7158</v>
      </c>
      <c r="D1271" s="47" t="s">
        <v>7355</v>
      </c>
      <c r="E1271" s="47" t="s">
        <v>6932</v>
      </c>
      <c r="F1271" s="47" t="s">
        <v>7353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#VALUE!</v>
      </c>
      <c r="K1271" s="47"/>
      <c r="L1271" s="47"/>
      <c r="M1271" s="49" t="s">
        <v>1613</v>
      </c>
    </row>
    <row r="1272" spans="1:13" x14ac:dyDescent="0.25">
      <c r="A1272" s="48">
        <f t="shared" si="19"/>
        <v>1271</v>
      </c>
      <c r="B1272" s="47" t="s">
        <v>4</v>
      </c>
      <c r="C1272" s="47" t="s">
        <v>7158</v>
      </c>
      <c r="D1272" s="47" t="s">
        <v>7356</v>
      </c>
      <c r="E1272" s="47" t="s">
        <v>6933</v>
      </c>
      <c r="F1272" s="47" t="s">
        <v>7355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#VALUE!</v>
      </c>
      <c r="K1272" s="47"/>
      <c r="L1272" s="47"/>
      <c r="M1272" s="49" t="s">
        <v>1613</v>
      </c>
    </row>
    <row r="1273" spans="1:13" x14ac:dyDescent="0.25">
      <c r="A1273" s="48">
        <f t="shared" si="19"/>
        <v>1272</v>
      </c>
      <c r="B1273" s="47" t="s">
        <v>4</v>
      </c>
      <c r="C1273" s="47" t="s">
        <v>7158</v>
      </c>
      <c r="D1273" s="47" t="s">
        <v>7357</v>
      </c>
      <c r="E1273" s="47" t="s">
        <v>6934</v>
      </c>
      <c r="F1273" s="47" t="s">
        <v>7355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#VALUE!</v>
      </c>
      <c r="K1273" s="47"/>
      <c r="L1273" s="47"/>
      <c r="M1273" s="49" t="s">
        <v>1613</v>
      </c>
    </row>
    <row r="1274" spans="1:13" x14ac:dyDescent="0.25">
      <c r="A1274" s="48">
        <f t="shared" si="19"/>
        <v>1273</v>
      </c>
      <c r="B1274" s="47" t="s">
        <v>4</v>
      </c>
      <c r="C1274" s="47" t="s">
        <v>7158</v>
      </c>
      <c r="D1274" s="47" t="s">
        <v>7358</v>
      </c>
      <c r="E1274" s="47" t="s">
        <v>6935</v>
      </c>
      <c r="F1274" s="47" t="s">
        <v>7353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#VALUE!</v>
      </c>
      <c r="K1274" s="47"/>
      <c r="L1274" s="47"/>
      <c r="M1274" s="49" t="s">
        <v>1613</v>
      </c>
    </row>
    <row r="1275" spans="1:13" x14ac:dyDescent="0.25">
      <c r="A1275" s="48">
        <f t="shared" si="19"/>
        <v>1274</v>
      </c>
      <c r="B1275" s="47" t="s">
        <v>4</v>
      </c>
      <c r="C1275" s="47" t="s">
        <v>7158</v>
      </c>
      <c r="D1275" s="47" t="s">
        <v>7359</v>
      </c>
      <c r="E1275" s="47" t="s">
        <v>6936</v>
      </c>
      <c r="F1275" s="47" t="s">
        <v>7358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#VALUE!</v>
      </c>
      <c r="K1275" s="47"/>
      <c r="L1275" s="47"/>
      <c r="M1275" s="49" t="s">
        <v>1613</v>
      </c>
    </row>
    <row r="1276" spans="1:13" x14ac:dyDescent="0.25">
      <c r="A1276" s="48">
        <f t="shared" si="19"/>
        <v>1275</v>
      </c>
      <c r="B1276" s="47" t="s">
        <v>4</v>
      </c>
      <c r="C1276" s="47" t="s">
        <v>7158</v>
      </c>
      <c r="D1276" s="47" t="s">
        <v>7360</v>
      </c>
      <c r="E1276" s="47" t="s">
        <v>6937</v>
      </c>
      <c r="F1276" s="47" t="s">
        <v>7358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#VALUE!</v>
      </c>
      <c r="K1276" s="47"/>
      <c r="L1276" s="47"/>
      <c r="M1276" s="49" t="s">
        <v>1613</v>
      </c>
    </row>
    <row r="1277" spans="1:13" x14ac:dyDescent="0.25">
      <c r="A1277" s="48">
        <f t="shared" si="19"/>
        <v>1276</v>
      </c>
      <c r="B1277" s="47" t="s">
        <v>4</v>
      </c>
      <c r="C1277" s="47" t="s">
        <v>7158</v>
      </c>
      <c r="D1277" s="47" t="s">
        <v>7361</v>
      </c>
      <c r="E1277" s="47" t="s">
        <v>6938</v>
      </c>
      <c r="F1277" s="47" t="s">
        <v>6683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#VALUE!</v>
      </c>
      <c r="K1277" s="47"/>
      <c r="L1277" s="47"/>
      <c r="M1277" s="49" t="s">
        <v>1613</v>
      </c>
    </row>
    <row r="1278" spans="1:13" x14ac:dyDescent="0.25">
      <c r="A1278" s="48">
        <f t="shared" si="19"/>
        <v>1277</v>
      </c>
      <c r="B1278" s="47" t="s">
        <v>4</v>
      </c>
      <c r="C1278" s="47" t="s">
        <v>7158</v>
      </c>
      <c r="D1278" s="47" t="s">
        <v>7362</v>
      </c>
      <c r="E1278" s="47" t="s">
        <v>6939</v>
      </c>
      <c r="F1278" s="47" t="s">
        <v>7361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#VALUE!</v>
      </c>
      <c r="K1278" s="47"/>
      <c r="L1278" s="47"/>
      <c r="M1278" s="49" t="s">
        <v>1613</v>
      </c>
    </row>
    <row r="1279" spans="1:13" x14ac:dyDescent="0.25">
      <c r="A1279" s="48">
        <f t="shared" si="19"/>
        <v>1278</v>
      </c>
      <c r="B1279" s="47" t="s">
        <v>4</v>
      </c>
      <c r="C1279" s="47" t="s">
        <v>7158</v>
      </c>
      <c r="D1279" s="47" t="s">
        <v>7363</v>
      </c>
      <c r="E1279" s="47" t="s">
        <v>6940</v>
      </c>
      <c r="F1279" s="47" t="s">
        <v>7361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#VALUE!</v>
      </c>
      <c r="K1279" s="47"/>
      <c r="L1279" s="47"/>
      <c r="M1279" s="49" t="s">
        <v>1613</v>
      </c>
    </row>
    <row r="1280" spans="1:13" x14ac:dyDescent="0.25">
      <c r="A1280" s="48">
        <f t="shared" si="19"/>
        <v>1279</v>
      </c>
      <c r="B1280" s="47" t="s">
        <v>4</v>
      </c>
      <c r="C1280" s="47" t="s">
        <v>7158</v>
      </c>
      <c r="D1280" s="47" t="s">
        <v>7364</v>
      </c>
      <c r="E1280" s="47" t="s">
        <v>6941</v>
      </c>
      <c r="F1280" s="47" t="s">
        <v>7361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#VALUE!</v>
      </c>
      <c r="K1280" s="47"/>
      <c r="L1280" s="47"/>
      <c r="M1280" s="49" t="s">
        <v>1613</v>
      </c>
    </row>
    <row r="1281" spans="1:13" x14ac:dyDescent="0.25">
      <c r="A1281" s="48">
        <f t="shared" si="19"/>
        <v>1280</v>
      </c>
      <c r="B1281" s="47" t="s">
        <v>4</v>
      </c>
      <c r="C1281" s="47" t="s">
        <v>7158</v>
      </c>
      <c r="D1281" s="47" t="s">
        <v>7365</v>
      </c>
      <c r="E1281" s="47" t="s">
        <v>6942</v>
      </c>
      <c r="F1281" s="47" t="s">
        <v>7364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#VALUE!</v>
      </c>
      <c r="K1281" s="47"/>
      <c r="L1281" s="47"/>
      <c r="M1281" s="49" t="s">
        <v>1613</v>
      </c>
    </row>
    <row r="1282" spans="1:13" x14ac:dyDescent="0.25">
      <c r="A1282" s="48">
        <f t="shared" si="19"/>
        <v>1281</v>
      </c>
      <c r="B1282" s="47" t="s">
        <v>4</v>
      </c>
      <c r="C1282" s="47" t="s">
        <v>7158</v>
      </c>
      <c r="D1282" s="47" t="s">
        <v>7366</v>
      </c>
      <c r="E1282" s="47" t="s">
        <v>6943</v>
      </c>
      <c r="F1282" s="47" t="s">
        <v>7364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#VALUE!</v>
      </c>
      <c r="K1282" s="47"/>
      <c r="L1282" s="47"/>
      <c r="M1282" s="49" t="s">
        <v>1613</v>
      </c>
    </row>
    <row r="1283" spans="1:13" x14ac:dyDescent="0.25">
      <c r="A1283" s="48">
        <f t="shared" ref="A1283:A1346" si="20">1+A1282</f>
        <v>1282</v>
      </c>
      <c r="B1283" s="47" t="s">
        <v>4</v>
      </c>
      <c r="C1283" s="47" t="s">
        <v>7158</v>
      </c>
      <c r="D1283" s="47" t="s">
        <v>7367</v>
      </c>
      <c r="E1283" s="47" t="s">
        <v>6944</v>
      </c>
      <c r="F1283" s="47" t="s">
        <v>7361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#VALUE!</v>
      </c>
      <c r="K1283" s="47"/>
      <c r="L1283" s="47"/>
      <c r="M1283" s="49" t="s">
        <v>1613</v>
      </c>
    </row>
    <row r="1284" spans="1:13" x14ac:dyDescent="0.25">
      <c r="A1284" s="48">
        <f t="shared" si="20"/>
        <v>1283</v>
      </c>
      <c r="B1284" s="47" t="s">
        <v>4</v>
      </c>
      <c r="C1284" s="47" t="s">
        <v>7158</v>
      </c>
      <c r="D1284" s="47" t="s">
        <v>7368</v>
      </c>
      <c r="E1284" s="47" t="s">
        <v>6945</v>
      </c>
      <c r="F1284" s="47" t="s">
        <v>7367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#VALUE!</v>
      </c>
      <c r="K1284" s="47"/>
      <c r="L1284" s="47"/>
      <c r="M1284" s="49" t="s">
        <v>1613</v>
      </c>
    </row>
    <row r="1285" spans="1:13" x14ac:dyDescent="0.25">
      <c r="A1285" s="48">
        <f t="shared" si="20"/>
        <v>1284</v>
      </c>
      <c r="B1285" s="47" t="s">
        <v>4</v>
      </c>
      <c r="C1285" s="47" t="s">
        <v>7158</v>
      </c>
      <c r="D1285" s="47" t="s">
        <v>7369</v>
      </c>
      <c r="E1285" s="47" t="s">
        <v>6946</v>
      </c>
      <c r="F1285" s="47" t="s">
        <v>7367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#VALUE!</v>
      </c>
      <c r="K1285" s="47"/>
      <c r="L1285" s="47"/>
      <c r="M1285" s="49" t="s">
        <v>1613</v>
      </c>
    </row>
    <row r="1286" spans="1:13" x14ac:dyDescent="0.25">
      <c r="A1286" s="48">
        <f t="shared" si="20"/>
        <v>1285</v>
      </c>
      <c r="B1286" s="47" t="s">
        <v>4</v>
      </c>
      <c r="C1286" s="47" t="s">
        <v>7158</v>
      </c>
      <c r="D1286" s="47" t="s">
        <v>7370</v>
      </c>
      <c r="E1286" s="47" t="s">
        <v>6947</v>
      </c>
      <c r="F1286" s="47" t="s">
        <v>7367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#VALUE!</v>
      </c>
      <c r="K1286" s="47"/>
      <c r="L1286" s="47"/>
      <c r="M1286" s="49" t="s">
        <v>1613</v>
      </c>
    </row>
    <row r="1287" spans="1:13" x14ac:dyDescent="0.25">
      <c r="A1287" s="48">
        <f t="shared" si="20"/>
        <v>1286</v>
      </c>
      <c r="B1287" s="47" t="s">
        <v>4</v>
      </c>
      <c r="C1287" s="47" t="s">
        <v>7158</v>
      </c>
      <c r="D1287" s="47" t="s">
        <v>7371</v>
      </c>
      <c r="E1287" s="47" t="s">
        <v>6948</v>
      </c>
      <c r="F1287" s="47" t="s">
        <v>7367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#VALUE!</v>
      </c>
      <c r="K1287" s="47"/>
      <c r="L1287" s="47"/>
      <c r="M1287" s="49" t="s">
        <v>1613</v>
      </c>
    </row>
    <row r="1288" spans="1:13" x14ac:dyDescent="0.25">
      <c r="A1288" s="48">
        <f t="shared" si="20"/>
        <v>1287</v>
      </c>
      <c r="B1288" s="47" t="s">
        <v>4</v>
      </c>
      <c r="C1288" s="47" t="s">
        <v>7158</v>
      </c>
      <c r="D1288" s="47" t="s">
        <v>7372</v>
      </c>
      <c r="E1288" s="47" t="s">
        <v>6949</v>
      </c>
      <c r="F1288" s="47" t="s">
        <v>7367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#VALUE!</v>
      </c>
      <c r="K1288" s="47"/>
      <c r="L1288" s="47"/>
      <c r="M1288" s="49" t="s">
        <v>1613</v>
      </c>
    </row>
    <row r="1289" spans="1:13" x14ac:dyDescent="0.25">
      <c r="A1289" s="48">
        <f t="shared" si="20"/>
        <v>1288</v>
      </c>
      <c r="B1289" s="47" t="s">
        <v>4</v>
      </c>
      <c r="C1289" s="47" t="s">
        <v>7158</v>
      </c>
      <c r="D1289" s="47" t="s">
        <v>7373</v>
      </c>
      <c r="E1289" s="47" t="s">
        <v>6950</v>
      </c>
      <c r="F1289" s="47" t="s">
        <v>6684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#VALUE!</v>
      </c>
      <c r="K1289" s="47"/>
      <c r="L1289" s="47"/>
      <c r="M1289" s="49" t="s">
        <v>1613</v>
      </c>
    </row>
    <row r="1290" spans="1:13" x14ac:dyDescent="0.25">
      <c r="A1290" s="48">
        <f t="shared" si="20"/>
        <v>1289</v>
      </c>
      <c r="B1290" s="47" t="s">
        <v>4</v>
      </c>
      <c r="C1290" s="47" t="s">
        <v>7158</v>
      </c>
      <c r="D1290" s="47" t="s">
        <v>7374</v>
      </c>
      <c r="E1290" s="47" t="s">
        <v>6951</v>
      </c>
      <c r="F1290" s="47" t="s">
        <v>7373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#VALUE!</v>
      </c>
      <c r="K1290" s="47"/>
      <c r="L1290" s="47"/>
      <c r="M1290" s="49" t="s">
        <v>1613</v>
      </c>
    </row>
    <row r="1291" spans="1:13" x14ac:dyDescent="0.25">
      <c r="A1291" s="48">
        <f t="shared" si="20"/>
        <v>1290</v>
      </c>
      <c r="B1291" s="47" t="s">
        <v>4</v>
      </c>
      <c r="C1291" s="47" t="s">
        <v>7158</v>
      </c>
      <c r="D1291" s="47" t="s">
        <v>7375</v>
      </c>
      <c r="E1291" s="47" t="s">
        <v>6952</v>
      </c>
      <c r="F1291" s="47" t="s">
        <v>7373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#VALUE!</v>
      </c>
      <c r="K1291" s="47"/>
      <c r="L1291" s="47"/>
      <c r="M1291" s="49" t="s">
        <v>1613</v>
      </c>
    </row>
    <row r="1292" spans="1:13" x14ac:dyDescent="0.25">
      <c r="A1292" s="48">
        <f t="shared" si="20"/>
        <v>1291</v>
      </c>
      <c r="B1292" s="47" t="s">
        <v>4</v>
      </c>
      <c r="C1292" s="47" t="s">
        <v>7158</v>
      </c>
      <c r="D1292" s="47" t="s">
        <v>7376</v>
      </c>
      <c r="E1292" s="47" t="s">
        <v>6953</v>
      </c>
      <c r="F1292" s="47" t="s">
        <v>7375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#VALUE!</v>
      </c>
      <c r="K1292" s="47"/>
      <c r="L1292" s="47"/>
      <c r="M1292" s="49" t="s">
        <v>1613</v>
      </c>
    </row>
    <row r="1293" spans="1:13" x14ac:dyDescent="0.25">
      <c r="A1293" s="48">
        <f t="shared" si="20"/>
        <v>1292</v>
      </c>
      <c r="B1293" s="47" t="s">
        <v>4</v>
      </c>
      <c r="C1293" s="47" t="s">
        <v>7158</v>
      </c>
      <c r="D1293" s="47" t="s">
        <v>7377</v>
      </c>
      <c r="E1293" s="47" t="s">
        <v>6954</v>
      </c>
      <c r="F1293" s="47" t="s">
        <v>7375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#VALUE!</v>
      </c>
      <c r="K1293" s="47"/>
      <c r="L1293" s="47"/>
      <c r="M1293" s="49" t="s">
        <v>1613</v>
      </c>
    </row>
    <row r="1294" spans="1:13" x14ac:dyDescent="0.25">
      <c r="A1294" s="48">
        <f t="shared" si="20"/>
        <v>1293</v>
      </c>
      <c r="B1294" s="47" t="s">
        <v>4</v>
      </c>
      <c r="C1294" s="47" t="s">
        <v>7158</v>
      </c>
      <c r="D1294" s="47" t="s">
        <v>7378</v>
      </c>
      <c r="E1294" s="47" t="s">
        <v>6955</v>
      </c>
      <c r="F1294" s="47" t="s">
        <v>7373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#VALUE!</v>
      </c>
      <c r="K1294" s="47"/>
      <c r="L1294" s="47"/>
      <c r="M1294" s="49" t="s">
        <v>1613</v>
      </c>
    </row>
    <row r="1295" spans="1:13" x14ac:dyDescent="0.25">
      <c r="A1295" s="48">
        <f t="shared" si="20"/>
        <v>1294</v>
      </c>
      <c r="B1295" s="47" t="s">
        <v>4</v>
      </c>
      <c r="C1295" s="47" t="s">
        <v>7158</v>
      </c>
      <c r="D1295" s="47" t="s">
        <v>7379</v>
      </c>
      <c r="E1295" s="47" t="s">
        <v>6956</v>
      </c>
      <c r="F1295" s="47" t="s">
        <v>7378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#VALUE!</v>
      </c>
      <c r="K1295" s="47"/>
      <c r="L1295" s="47"/>
      <c r="M1295" s="49" t="s">
        <v>1613</v>
      </c>
    </row>
    <row r="1296" spans="1:13" x14ac:dyDescent="0.25">
      <c r="A1296" s="48">
        <f t="shared" si="20"/>
        <v>1295</v>
      </c>
      <c r="B1296" s="47" t="s">
        <v>4</v>
      </c>
      <c r="C1296" s="47" t="s">
        <v>7158</v>
      </c>
      <c r="D1296" s="47" t="s">
        <v>7380</v>
      </c>
      <c r="E1296" s="47" t="s">
        <v>6957</v>
      </c>
      <c r="F1296" s="47" t="s">
        <v>7378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#VALUE!</v>
      </c>
      <c r="K1296" s="47"/>
      <c r="L1296" s="47"/>
      <c r="M1296" s="49" t="s">
        <v>1613</v>
      </c>
    </row>
    <row r="1297" spans="1:13" x14ac:dyDescent="0.25">
      <c r="A1297" s="48">
        <f t="shared" si="20"/>
        <v>1296</v>
      </c>
      <c r="B1297" s="47" t="s">
        <v>4</v>
      </c>
      <c r="C1297" s="47" t="s">
        <v>7158</v>
      </c>
      <c r="D1297" s="47" t="s">
        <v>7381</v>
      </c>
      <c r="E1297" s="47" t="s">
        <v>6958</v>
      </c>
      <c r="F1297" s="47" t="s">
        <v>6683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#VALUE!</v>
      </c>
      <c r="K1297" s="47"/>
      <c r="L1297" s="47"/>
      <c r="M1297" s="49" t="s">
        <v>1613</v>
      </c>
    </row>
    <row r="1298" spans="1:13" x14ac:dyDescent="0.25">
      <c r="A1298" s="48">
        <f t="shared" si="20"/>
        <v>1297</v>
      </c>
      <c r="B1298" s="47" t="s">
        <v>4</v>
      </c>
      <c r="C1298" s="47" t="s">
        <v>7158</v>
      </c>
      <c r="D1298" s="47" t="s">
        <v>7382</v>
      </c>
      <c r="E1298" s="47" t="s">
        <v>6959</v>
      </c>
      <c r="F1298" s="47" t="s">
        <v>7381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#VALUE!</v>
      </c>
      <c r="K1298" s="47"/>
      <c r="L1298" s="47"/>
      <c r="M1298" s="49" t="s">
        <v>1613</v>
      </c>
    </row>
    <row r="1299" spans="1:13" x14ac:dyDescent="0.25">
      <c r="A1299" s="48">
        <f t="shared" si="20"/>
        <v>1298</v>
      </c>
      <c r="B1299" s="47" t="s">
        <v>4</v>
      </c>
      <c r="C1299" s="47" t="s">
        <v>7158</v>
      </c>
      <c r="D1299" s="47" t="s">
        <v>7383</v>
      </c>
      <c r="E1299" s="47" t="s">
        <v>6960</v>
      </c>
      <c r="F1299" s="47" t="s">
        <v>7381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#VALUE!</v>
      </c>
      <c r="K1299" s="47"/>
      <c r="L1299" s="47"/>
      <c r="M1299" s="49" t="s">
        <v>1613</v>
      </c>
    </row>
    <row r="1300" spans="1:13" x14ac:dyDescent="0.25">
      <c r="A1300" s="48">
        <f t="shared" si="20"/>
        <v>1299</v>
      </c>
      <c r="B1300" s="47" t="s">
        <v>4</v>
      </c>
      <c r="C1300" s="47" t="s">
        <v>7158</v>
      </c>
      <c r="D1300" s="47" t="s">
        <v>7384</v>
      </c>
      <c r="E1300" s="47" t="s">
        <v>6961</v>
      </c>
      <c r="F1300" s="47" t="s">
        <v>7381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#VALUE!</v>
      </c>
      <c r="K1300" s="47"/>
      <c r="L1300" s="47"/>
      <c r="M1300" s="49" t="s">
        <v>1613</v>
      </c>
    </row>
    <row r="1301" spans="1:13" x14ac:dyDescent="0.25">
      <c r="A1301" s="48">
        <f t="shared" si="20"/>
        <v>1300</v>
      </c>
      <c r="B1301" s="47" t="s">
        <v>4</v>
      </c>
      <c r="C1301" s="47" t="s">
        <v>7158</v>
      </c>
      <c r="D1301" s="47" t="s">
        <v>7385</v>
      </c>
      <c r="E1301" s="47" t="s">
        <v>6962</v>
      </c>
      <c r="F1301" s="47" t="s">
        <v>7384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#VALUE!</v>
      </c>
      <c r="K1301" s="47"/>
      <c r="L1301" s="47"/>
      <c r="M1301" s="49" t="s">
        <v>1613</v>
      </c>
    </row>
    <row r="1302" spans="1:13" x14ac:dyDescent="0.25">
      <c r="A1302" s="48">
        <f t="shared" si="20"/>
        <v>1301</v>
      </c>
      <c r="B1302" s="47" t="s">
        <v>4</v>
      </c>
      <c r="C1302" s="47" t="s">
        <v>7158</v>
      </c>
      <c r="D1302" s="47" t="s">
        <v>7386</v>
      </c>
      <c r="E1302" s="47" t="s">
        <v>6963</v>
      </c>
      <c r="F1302" s="47" t="s">
        <v>7384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#VALUE!</v>
      </c>
      <c r="K1302" s="47"/>
      <c r="L1302" s="47"/>
      <c r="M1302" s="49" t="s">
        <v>1613</v>
      </c>
    </row>
    <row r="1303" spans="1:13" x14ac:dyDescent="0.25">
      <c r="A1303" s="48">
        <f t="shared" si="20"/>
        <v>1302</v>
      </c>
      <c r="B1303" s="47" t="s">
        <v>4</v>
      </c>
      <c r="C1303" s="47" t="s">
        <v>7158</v>
      </c>
      <c r="D1303" s="47" t="s">
        <v>7387</v>
      </c>
      <c r="E1303" s="47" t="s">
        <v>6964</v>
      </c>
      <c r="F1303" s="47" t="s">
        <v>7381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#VALUE!</v>
      </c>
      <c r="K1303" s="47"/>
      <c r="L1303" s="47"/>
      <c r="M1303" s="49" t="s">
        <v>1613</v>
      </c>
    </row>
    <row r="1304" spans="1:13" x14ac:dyDescent="0.25">
      <c r="A1304" s="48">
        <f t="shared" si="20"/>
        <v>1303</v>
      </c>
      <c r="B1304" s="47" t="s">
        <v>4</v>
      </c>
      <c r="C1304" s="47" t="s">
        <v>7158</v>
      </c>
      <c r="D1304" s="47" t="s">
        <v>7388</v>
      </c>
      <c r="E1304" s="47" t="s">
        <v>6965</v>
      </c>
      <c r="F1304" s="47" t="s">
        <v>7387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#VALUE!</v>
      </c>
      <c r="K1304" s="47"/>
      <c r="L1304" s="47"/>
      <c r="M1304" s="49" t="s">
        <v>1613</v>
      </c>
    </row>
    <row r="1305" spans="1:13" x14ac:dyDescent="0.25">
      <c r="A1305" s="48">
        <f t="shared" si="20"/>
        <v>1304</v>
      </c>
      <c r="B1305" s="47" t="s">
        <v>4</v>
      </c>
      <c r="C1305" s="47" t="s">
        <v>7158</v>
      </c>
      <c r="D1305" s="47" t="s">
        <v>7389</v>
      </c>
      <c r="E1305" s="47" t="s">
        <v>6966</v>
      </c>
      <c r="F1305" s="47" t="s">
        <v>7387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#VALUE!</v>
      </c>
      <c r="K1305" s="47"/>
      <c r="L1305" s="47"/>
      <c r="M1305" s="49" t="s">
        <v>1613</v>
      </c>
    </row>
    <row r="1306" spans="1:13" x14ac:dyDescent="0.25">
      <c r="A1306" s="48">
        <f t="shared" si="20"/>
        <v>1305</v>
      </c>
      <c r="B1306" s="47" t="s">
        <v>4</v>
      </c>
      <c r="C1306" s="47" t="s">
        <v>7158</v>
      </c>
      <c r="D1306" s="47" t="s">
        <v>7390</v>
      </c>
      <c r="E1306" s="47" t="s">
        <v>6967</v>
      </c>
      <c r="F1306" s="47" t="s">
        <v>7387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#VALUE!</v>
      </c>
      <c r="K1306" s="47"/>
      <c r="L1306" s="47"/>
      <c r="M1306" s="49" t="s">
        <v>1613</v>
      </c>
    </row>
    <row r="1307" spans="1:13" x14ac:dyDescent="0.25">
      <c r="A1307" s="48">
        <f t="shared" si="20"/>
        <v>1306</v>
      </c>
      <c r="B1307" s="47" t="s">
        <v>4</v>
      </c>
      <c r="C1307" s="47" t="s">
        <v>7158</v>
      </c>
      <c r="D1307" s="47" t="s">
        <v>7391</v>
      </c>
      <c r="E1307" s="47" t="s">
        <v>6968</v>
      </c>
      <c r="F1307" s="47" t="s">
        <v>7387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#VALUE!</v>
      </c>
      <c r="K1307" s="47"/>
      <c r="L1307" s="47"/>
      <c r="M1307" s="49" t="s">
        <v>1613</v>
      </c>
    </row>
    <row r="1308" spans="1:13" x14ac:dyDescent="0.25">
      <c r="A1308" s="48">
        <f t="shared" si="20"/>
        <v>1307</v>
      </c>
      <c r="B1308" s="47" t="s">
        <v>4</v>
      </c>
      <c r="C1308" s="47" t="s">
        <v>7158</v>
      </c>
      <c r="D1308" s="47" t="s">
        <v>7392</v>
      </c>
      <c r="E1308" s="47" t="s">
        <v>6969</v>
      </c>
      <c r="F1308" s="47" t="s">
        <v>7387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#VALUE!</v>
      </c>
      <c r="K1308" s="47"/>
      <c r="L1308" s="47"/>
      <c r="M1308" s="49" t="s">
        <v>1613</v>
      </c>
    </row>
    <row r="1309" spans="1:13" x14ac:dyDescent="0.25">
      <c r="A1309" s="48">
        <f t="shared" si="20"/>
        <v>1308</v>
      </c>
      <c r="B1309" s="47" t="s">
        <v>4</v>
      </c>
      <c r="C1309" s="47" t="s">
        <v>7158</v>
      </c>
      <c r="D1309" s="47" t="s">
        <v>7393</v>
      </c>
      <c r="E1309" s="47" t="s">
        <v>6970</v>
      </c>
      <c r="F1309" s="47" t="s">
        <v>6684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#VALUE!</v>
      </c>
      <c r="K1309" s="47"/>
      <c r="L1309" s="47"/>
      <c r="M1309" s="49" t="s">
        <v>1613</v>
      </c>
    </row>
    <row r="1310" spans="1:13" x14ac:dyDescent="0.25">
      <c r="A1310" s="48">
        <f t="shared" si="20"/>
        <v>1309</v>
      </c>
      <c r="B1310" s="47" t="s">
        <v>4</v>
      </c>
      <c r="C1310" s="47" t="s">
        <v>7158</v>
      </c>
      <c r="D1310" s="47" t="s">
        <v>7394</v>
      </c>
      <c r="E1310" s="47" t="s">
        <v>6971</v>
      </c>
      <c r="F1310" s="47" t="s">
        <v>7393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#VALUE!</v>
      </c>
      <c r="K1310" s="47"/>
      <c r="L1310" s="47"/>
      <c r="M1310" s="49" t="s">
        <v>1613</v>
      </c>
    </row>
    <row r="1311" spans="1:13" x14ac:dyDescent="0.25">
      <c r="A1311" s="48">
        <f t="shared" si="20"/>
        <v>1310</v>
      </c>
      <c r="B1311" s="47" t="s">
        <v>4</v>
      </c>
      <c r="C1311" s="47" t="s">
        <v>7158</v>
      </c>
      <c r="D1311" s="47" t="s">
        <v>7395</v>
      </c>
      <c r="E1311" s="47" t="s">
        <v>6972</v>
      </c>
      <c r="F1311" s="47" t="s">
        <v>7393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#VALUE!</v>
      </c>
      <c r="K1311" s="47"/>
      <c r="L1311" s="47"/>
      <c r="M1311" s="49" t="s">
        <v>1613</v>
      </c>
    </row>
    <row r="1312" spans="1:13" x14ac:dyDescent="0.25">
      <c r="A1312" s="48">
        <f t="shared" si="20"/>
        <v>1311</v>
      </c>
      <c r="B1312" s="47" t="s">
        <v>4</v>
      </c>
      <c r="C1312" s="47" t="s">
        <v>7158</v>
      </c>
      <c r="D1312" s="47" t="s">
        <v>7396</v>
      </c>
      <c r="E1312" s="47" t="s">
        <v>6973</v>
      </c>
      <c r="F1312" s="47" t="s">
        <v>7395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#VALUE!</v>
      </c>
      <c r="K1312" s="47"/>
      <c r="L1312" s="47"/>
      <c r="M1312" s="49" t="s">
        <v>1613</v>
      </c>
    </row>
    <row r="1313" spans="1:13" x14ac:dyDescent="0.25">
      <c r="A1313" s="48">
        <f t="shared" si="20"/>
        <v>1312</v>
      </c>
      <c r="B1313" s="47" t="s">
        <v>4</v>
      </c>
      <c r="C1313" s="47" t="s">
        <v>7158</v>
      </c>
      <c r="D1313" s="47" t="s">
        <v>7397</v>
      </c>
      <c r="E1313" s="47" t="s">
        <v>6974</v>
      </c>
      <c r="F1313" s="47" t="s">
        <v>7395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#VALUE!</v>
      </c>
      <c r="K1313" s="47"/>
      <c r="L1313" s="47"/>
      <c r="M1313" s="49" t="s">
        <v>1613</v>
      </c>
    </row>
    <row r="1314" spans="1:13" x14ac:dyDescent="0.25">
      <c r="A1314" s="48">
        <f t="shared" si="20"/>
        <v>1313</v>
      </c>
      <c r="B1314" s="47" t="s">
        <v>4</v>
      </c>
      <c r="C1314" s="47" t="s">
        <v>7158</v>
      </c>
      <c r="D1314" s="47" t="s">
        <v>7398</v>
      </c>
      <c r="E1314" s="47" t="s">
        <v>6975</v>
      </c>
      <c r="F1314" s="47" t="s">
        <v>7393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#VALUE!</v>
      </c>
      <c r="K1314" s="47"/>
      <c r="L1314" s="47"/>
      <c r="M1314" s="49" t="s">
        <v>1613</v>
      </c>
    </row>
    <row r="1315" spans="1:13" x14ac:dyDescent="0.25">
      <c r="A1315" s="48">
        <f t="shared" si="20"/>
        <v>1314</v>
      </c>
      <c r="B1315" s="47" t="s">
        <v>4</v>
      </c>
      <c r="C1315" s="47" t="s">
        <v>7158</v>
      </c>
      <c r="D1315" s="47" t="s">
        <v>7399</v>
      </c>
      <c r="E1315" s="47" t="s">
        <v>6976</v>
      </c>
      <c r="F1315" s="47" t="s">
        <v>7398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#VALUE!</v>
      </c>
      <c r="K1315" s="47"/>
      <c r="L1315" s="47"/>
      <c r="M1315" s="49" t="s">
        <v>1613</v>
      </c>
    </row>
    <row r="1316" spans="1:13" x14ac:dyDescent="0.25">
      <c r="A1316" s="48">
        <f t="shared" si="20"/>
        <v>1315</v>
      </c>
      <c r="B1316" s="47" t="s">
        <v>4</v>
      </c>
      <c r="C1316" s="47" t="s">
        <v>7158</v>
      </c>
      <c r="D1316" s="47" t="s">
        <v>7400</v>
      </c>
      <c r="E1316" s="47" t="s">
        <v>6977</v>
      </c>
      <c r="F1316" s="47" t="s">
        <v>7398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#VALUE!</v>
      </c>
      <c r="K1316" s="47"/>
      <c r="L1316" s="47"/>
      <c r="M1316" s="49" t="s">
        <v>1613</v>
      </c>
    </row>
    <row r="1317" spans="1:13" x14ac:dyDescent="0.25">
      <c r="A1317" s="48">
        <f t="shared" si="20"/>
        <v>1316</v>
      </c>
      <c r="B1317" s="47" t="s">
        <v>4</v>
      </c>
      <c r="C1317" s="47" t="s">
        <v>7158</v>
      </c>
      <c r="D1317" s="47" t="s">
        <v>7401</v>
      </c>
      <c r="E1317" s="47" t="s">
        <v>6978</v>
      </c>
      <c r="F1317" s="47" t="s">
        <v>6683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#VALUE!</v>
      </c>
      <c r="K1317" s="47"/>
      <c r="L1317" s="47"/>
      <c r="M1317" s="49" t="s">
        <v>1613</v>
      </c>
    </row>
    <row r="1318" spans="1:13" x14ac:dyDescent="0.25">
      <c r="A1318" s="48">
        <f t="shared" si="20"/>
        <v>1317</v>
      </c>
      <c r="B1318" s="47" t="s">
        <v>4</v>
      </c>
      <c r="C1318" s="47" t="s">
        <v>7158</v>
      </c>
      <c r="D1318" s="47" t="s">
        <v>7402</v>
      </c>
      <c r="E1318" s="47" t="s">
        <v>6979</v>
      </c>
      <c r="F1318" s="47" t="s">
        <v>7401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#VALUE!</v>
      </c>
      <c r="K1318" s="47"/>
      <c r="L1318" s="47"/>
      <c r="M1318" s="49" t="s">
        <v>1613</v>
      </c>
    </row>
    <row r="1319" spans="1:13" x14ac:dyDescent="0.25">
      <c r="A1319" s="48">
        <f t="shared" si="20"/>
        <v>1318</v>
      </c>
      <c r="B1319" s="47" t="s">
        <v>4</v>
      </c>
      <c r="C1319" s="47" t="s">
        <v>7158</v>
      </c>
      <c r="D1319" s="47" t="s">
        <v>7403</v>
      </c>
      <c r="E1319" s="47" t="s">
        <v>6980</v>
      </c>
      <c r="F1319" s="47" t="s">
        <v>7401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#VALUE!</v>
      </c>
      <c r="K1319" s="47"/>
      <c r="L1319" s="47"/>
      <c r="M1319" s="49" t="s">
        <v>1613</v>
      </c>
    </row>
    <row r="1320" spans="1:13" x14ac:dyDescent="0.25">
      <c r="A1320" s="48">
        <f t="shared" si="20"/>
        <v>1319</v>
      </c>
      <c r="B1320" s="47" t="s">
        <v>4</v>
      </c>
      <c r="C1320" s="47" t="s">
        <v>7158</v>
      </c>
      <c r="D1320" s="47" t="s">
        <v>7404</v>
      </c>
      <c r="E1320" s="47" t="s">
        <v>6981</v>
      </c>
      <c r="F1320" s="47" t="s">
        <v>7401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#VALUE!</v>
      </c>
      <c r="K1320" s="47"/>
      <c r="L1320" s="47"/>
      <c r="M1320" s="49" t="s">
        <v>1613</v>
      </c>
    </row>
    <row r="1321" spans="1:13" x14ac:dyDescent="0.25">
      <c r="A1321" s="48">
        <f t="shared" si="20"/>
        <v>1320</v>
      </c>
      <c r="B1321" s="47" t="s">
        <v>4</v>
      </c>
      <c r="C1321" s="47" t="s">
        <v>7158</v>
      </c>
      <c r="D1321" s="47" t="s">
        <v>7405</v>
      </c>
      <c r="E1321" s="47" t="s">
        <v>6982</v>
      </c>
      <c r="F1321" s="47" t="s">
        <v>7404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#VALUE!</v>
      </c>
      <c r="K1321" s="47"/>
      <c r="L1321" s="47"/>
      <c r="M1321" s="49" t="s">
        <v>1613</v>
      </c>
    </row>
    <row r="1322" spans="1:13" x14ac:dyDescent="0.25">
      <c r="A1322" s="48">
        <f t="shared" si="20"/>
        <v>1321</v>
      </c>
      <c r="B1322" s="47" t="s">
        <v>4</v>
      </c>
      <c r="C1322" s="47" t="s">
        <v>7158</v>
      </c>
      <c r="D1322" s="47" t="s">
        <v>7406</v>
      </c>
      <c r="E1322" s="47" t="s">
        <v>6983</v>
      </c>
      <c r="F1322" s="47" t="s">
        <v>7404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#VALUE!</v>
      </c>
      <c r="K1322" s="47"/>
      <c r="L1322" s="47"/>
      <c r="M1322" s="49" t="s">
        <v>1613</v>
      </c>
    </row>
    <row r="1323" spans="1:13" x14ac:dyDescent="0.25">
      <c r="A1323" s="48">
        <f t="shared" si="20"/>
        <v>1322</v>
      </c>
      <c r="B1323" s="47" t="s">
        <v>4</v>
      </c>
      <c r="C1323" s="47" t="s">
        <v>7158</v>
      </c>
      <c r="D1323" s="47" t="s">
        <v>7407</v>
      </c>
      <c r="E1323" s="47" t="s">
        <v>6984</v>
      </c>
      <c r="F1323" s="47" t="s">
        <v>7401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#VALUE!</v>
      </c>
      <c r="K1323" s="47"/>
      <c r="L1323" s="47"/>
      <c r="M1323" s="49" t="s">
        <v>1613</v>
      </c>
    </row>
    <row r="1324" spans="1:13" x14ac:dyDescent="0.25">
      <c r="A1324" s="48">
        <f t="shared" si="20"/>
        <v>1323</v>
      </c>
      <c r="B1324" s="47" t="s">
        <v>4</v>
      </c>
      <c r="C1324" s="47" t="s">
        <v>7158</v>
      </c>
      <c r="D1324" s="47" t="s">
        <v>7408</v>
      </c>
      <c r="E1324" s="47" t="s">
        <v>6985</v>
      </c>
      <c r="F1324" s="47" t="s">
        <v>7407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#VALUE!</v>
      </c>
      <c r="K1324" s="47"/>
      <c r="L1324" s="47"/>
      <c r="M1324" s="49" t="s">
        <v>1613</v>
      </c>
    </row>
    <row r="1325" spans="1:13" x14ac:dyDescent="0.25">
      <c r="A1325" s="48">
        <f t="shared" si="20"/>
        <v>1324</v>
      </c>
      <c r="B1325" s="47" t="s">
        <v>4</v>
      </c>
      <c r="C1325" s="47" t="s">
        <v>7158</v>
      </c>
      <c r="D1325" s="47" t="s">
        <v>7409</v>
      </c>
      <c r="E1325" s="47" t="s">
        <v>6986</v>
      </c>
      <c r="F1325" s="47" t="s">
        <v>7407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#VALUE!</v>
      </c>
      <c r="K1325" s="47"/>
      <c r="L1325" s="47"/>
      <c r="M1325" s="49" t="s">
        <v>1613</v>
      </c>
    </row>
    <row r="1326" spans="1:13" x14ac:dyDescent="0.25">
      <c r="A1326" s="48">
        <f t="shared" si="20"/>
        <v>1325</v>
      </c>
      <c r="B1326" s="47" t="s">
        <v>4</v>
      </c>
      <c r="C1326" s="47" t="s">
        <v>7158</v>
      </c>
      <c r="D1326" s="47" t="s">
        <v>7410</v>
      </c>
      <c r="E1326" s="47" t="s">
        <v>6987</v>
      </c>
      <c r="F1326" s="47" t="s">
        <v>7407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#VALUE!</v>
      </c>
      <c r="K1326" s="47"/>
      <c r="L1326" s="47"/>
      <c r="M1326" s="49" t="s">
        <v>1613</v>
      </c>
    </row>
    <row r="1327" spans="1:13" x14ac:dyDescent="0.25">
      <c r="A1327" s="48">
        <f t="shared" si="20"/>
        <v>1326</v>
      </c>
      <c r="B1327" s="47" t="s">
        <v>4</v>
      </c>
      <c r="C1327" s="47" t="s">
        <v>7158</v>
      </c>
      <c r="D1327" s="47" t="s">
        <v>7411</v>
      </c>
      <c r="E1327" s="47" t="s">
        <v>6988</v>
      </c>
      <c r="F1327" s="47" t="s">
        <v>7407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#VALUE!</v>
      </c>
      <c r="K1327" s="47"/>
      <c r="L1327" s="47"/>
      <c r="M1327" s="49" t="s">
        <v>1613</v>
      </c>
    </row>
    <row r="1328" spans="1:13" x14ac:dyDescent="0.25">
      <c r="A1328" s="48">
        <f t="shared" si="20"/>
        <v>1327</v>
      </c>
      <c r="B1328" s="47" t="s">
        <v>4</v>
      </c>
      <c r="C1328" s="47" t="s">
        <v>7158</v>
      </c>
      <c r="D1328" s="47" t="s">
        <v>7412</v>
      </c>
      <c r="E1328" s="47" t="s">
        <v>6989</v>
      </c>
      <c r="F1328" s="47" t="s">
        <v>7407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#VALUE!</v>
      </c>
      <c r="K1328" s="47"/>
      <c r="L1328" s="47"/>
      <c r="M1328" s="49" t="s">
        <v>1613</v>
      </c>
    </row>
    <row r="1329" spans="1:13" x14ac:dyDescent="0.25">
      <c r="A1329" s="48">
        <f t="shared" si="20"/>
        <v>1328</v>
      </c>
      <c r="B1329" s="47" t="s">
        <v>4</v>
      </c>
      <c r="C1329" s="47" t="s">
        <v>7158</v>
      </c>
      <c r="D1329" s="47" t="s">
        <v>7413</v>
      </c>
      <c r="E1329" s="47" t="s">
        <v>6990</v>
      </c>
      <c r="F1329" s="47" t="s">
        <v>6684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#VALUE!</v>
      </c>
      <c r="K1329" s="47"/>
      <c r="L1329" s="47"/>
      <c r="M1329" s="49" t="s">
        <v>1613</v>
      </c>
    </row>
    <row r="1330" spans="1:13" x14ac:dyDescent="0.25">
      <c r="A1330" s="48">
        <f t="shared" si="20"/>
        <v>1329</v>
      </c>
      <c r="B1330" s="47" t="s">
        <v>4</v>
      </c>
      <c r="C1330" s="47" t="s">
        <v>7158</v>
      </c>
      <c r="D1330" s="47" t="s">
        <v>7414</v>
      </c>
      <c r="E1330" s="47" t="s">
        <v>6991</v>
      </c>
      <c r="F1330" s="47" t="s">
        <v>7413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#VALUE!</v>
      </c>
      <c r="K1330" s="47"/>
      <c r="L1330" s="47"/>
      <c r="M1330" s="49" t="s">
        <v>1613</v>
      </c>
    </row>
    <row r="1331" spans="1:13" x14ac:dyDescent="0.25">
      <c r="A1331" s="48">
        <f t="shared" si="20"/>
        <v>1330</v>
      </c>
      <c r="B1331" s="47" t="s">
        <v>4</v>
      </c>
      <c r="C1331" s="47" t="s">
        <v>7158</v>
      </c>
      <c r="D1331" s="47" t="s">
        <v>7415</v>
      </c>
      <c r="E1331" s="47" t="s">
        <v>6992</v>
      </c>
      <c r="F1331" s="47" t="s">
        <v>7413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#VALUE!</v>
      </c>
      <c r="K1331" s="47"/>
      <c r="L1331" s="47"/>
      <c r="M1331" s="49" t="s">
        <v>1613</v>
      </c>
    </row>
    <row r="1332" spans="1:13" x14ac:dyDescent="0.25">
      <c r="A1332" s="48">
        <f t="shared" si="20"/>
        <v>1331</v>
      </c>
      <c r="B1332" s="47" t="s">
        <v>4</v>
      </c>
      <c r="C1332" s="47" t="s">
        <v>7158</v>
      </c>
      <c r="D1332" s="47" t="s">
        <v>7416</v>
      </c>
      <c r="E1332" s="47" t="s">
        <v>6993</v>
      </c>
      <c r="F1332" s="47" t="s">
        <v>7415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#VALUE!</v>
      </c>
      <c r="K1332" s="47"/>
      <c r="L1332" s="47"/>
      <c r="M1332" s="49" t="s">
        <v>1613</v>
      </c>
    </row>
    <row r="1333" spans="1:13" x14ac:dyDescent="0.25">
      <c r="A1333" s="48">
        <f t="shared" si="20"/>
        <v>1332</v>
      </c>
      <c r="B1333" s="47" t="s">
        <v>4</v>
      </c>
      <c r="C1333" s="47" t="s">
        <v>7158</v>
      </c>
      <c r="D1333" s="47" t="s">
        <v>7417</v>
      </c>
      <c r="E1333" s="47" t="s">
        <v>6994</v>
      </c>
      <c r="F1333" s="47" t="s">
        <v>7415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#VALUE!</v>
      </c>
      <c r="K1333" s="47"/>
      <c r="L1333" s="47"/>
      <c r="M1333" s="49" t="s">
        <v>1613</v>
      </c>
    </row>
    <row r="1334" spans="1:13" x14ac:dyDescent="0.25">
      <c r="A1334" s="48">
        <f t="shared" si="20"/>
        <v>1333</v>
      </c>
      <c r="B1334" s="47" t="s">
        <v>4</v>
      </c>
      <c r="C1334" s="47" t="s">
        <v>7158</v>
      </c>
      <c r="D1334" s="47" t="s">
        <v>7418</v>
      </c>
      <c r="E1334" s="47" t="s">
        <v>6995</v>
      </c>
      <c r="F1334" s="47" t="s">
        <v>7413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#VALUE!</v>
      </c>
      <c r="K1334" s="47"/>
      <c r="L1334" s="47"/>
      <c r="M1334" s="49" t="s">
        <v>1613</v>
      </c>
    </row>
    <row r="1335" spans="1:13" x14ac:dyDescent="0.25">
      <c r="A1335" s="48">
        <f t="shared" si="20"/>
        <v>1334</v>
      </c>
      <c r="B1335" s="47" t="s">
        <v>4</v>
      </c>
      <c r="C1335" s="47" t="s">
        <v>7158</v>
      </c>
      <c r="D1335" s="47" t="s">
        <v>7419</v>
      </c>
      <c r="E1335" s="47" t="s">
        <v>6996</v>
      </c>
      <c r="F1335" s="47" t="s">
        <v>7418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#VALUE!</v>
      </c>
      <c r="K1335" s="47"/>
      <c r="L1335" s="47"/>
      <c r="M1335" s="49" t="s">
        <v>1613</v>
      </c>
    </row>
    <row r="1336" spans="1:13" x14ac:dyDescent="0.25">
      <c r="A1336" s="48">
        <f t="shared" si="20"/>
        <v>1335</v>
      </c>
      <c r="B1336" s="47" t="s">
        <v>4</v>
      </c>
      <c r="C1336" s="47" t="s">
        <v>7158</v>
      </c>
      <c r="D1336" s="47" t="s">
        <v>7420</v>
      </c>
      <c r="E1336" s="47" t="s">
        <v>6997</v>
      </c>
      <c r="F1336" s="47" t="s">
        <v>7418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#VALUE!</v>
      </c>
      <c r="K1336" s="47"/>
      <c r="L1336" s="47"/>
      <c r="M1336" s="49" t="s">
        <v>1613</v>
      </c>
    </row>
    <row r="1337" spans="1:13" x14ac:dyDescent="0.25">
      <c r="A1337" s="48">
        <f t="shared" si="20"/>
        <v>1336</v>
      </c>
      <c r="B1337" s="47" t="s">
        <v>4</v>
      </c>
      <c r="C1337" s="47" t="s">
        <v>7158</v>
      </c>
      <c r="D1337" s="47" t="s">
        <v>7421</v>
      </c>
      <c r="E1337" s="47" t="s">
        <v>6998</v>
      </c>
      <c r="F1337" s="47" t="s">
        <v>6683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#VALUE!</v>
      </c>
      <c r="K1337" s="47"/>
      <c r="L1337" s="47"/>
      <c r="M1337" s="49" t="s">
        <v>1613</v>
      </c>
    </row>
    <row r="1338" spans="1:13" x14ac:dyDescent="0.25">
      <c r="A1338" s="48">
        <f t="shared" si="20"/>
        <v>1337</v>
      </c>
      <c r="B1338" s="47" t="s">
        <v>4</v>
      </c>
      <c r="C1338" s="47" t="s">
        <v>7158</v>
      </c>
      <c r="D1338" s="47" t="s">
        <v>7422</v>
      </c>
      <c r="E1338" s="47" t="s">
        <v>6999</v>
      </c>
      <c r="F1338" s="47" t="s">
        <v>7421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#VALUE!</v>
      </c>
      <c r="K1338" s="47"/>
      <c r="L1338" s="47"/>
      <c r="M1338" s="49" t="s">
        <v>1613</v>
      </c>
    </row>
    <row r="1339" spans="1:13" x14ac:dyDescent="0.25">
      <c r="A1339" s="48">
        <f t="shared" si="20"/>
        <v>1338</v>
      </c>
      <c r="B1339" s="47" t="s">
        <v>4</v>
      </c>
      <c r="C1339" s="47" t="s">
        <v>7158</v>
      </c>
      <c r="D1339" s="47" t="s">
        <v>7423</v>
      </c>
      <c r="E1339" s="47" t="s">
        <v>7000</v>
      </c>
      <c r="F1339" s="47" t="s">
        <v>7421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#VALUE!</v>
      </c>
      <c r="K1339" s="47"/>
      <c r="L1339" s="47"/>
      <c r="M1339" s="49" t="s">
        <v>1613</v>
      </c>
    </row>
    <row r="1340" spans="1:13" x14ac:dyDescent="0.25">
      <c r="A1340" s="48">
        <f t="shared" si="20"/>
        <v>1339</v>
      </c>
      <c r="B1340" s="47" t="s">
        <v>4</v>
      </c>
      <c r="C1340" s="47" t="s">
        <v>7158</v>
      </c>
      <c r="D1340" s="47" t="s">
        <v>7424</v>
      </c>
      <c r="E1340" s="47" t="s">
        <v>7001</v>
      </c>
      <c r="F1340" s="47" t="s">
        <v>7421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#VALUE!</v>
      </c>
      <c r="K1340" s="47"/>
      <c r="L1340" s="47"/>
      <c r="M1340" s="49" t="s">
        <v>1613</v>
      </c>
    </row>
    <row r="1341" spans="1:13" x14ac:dyDescent="0.25">
      <c r="A1341" s="48">
        <f t="shared" si="20"/>
        <v>1340</v>
      </c>
      <c r="B1341" s="47" t="s">
        <v>4</v>
      </c>
      <c r="C1341" s="47" t="s">
        <v>7158</v>
      </c>
      <c r="D1341" s="47" t="s">
        <v>7425</v>
      </c>
      <c r="E1341" s="47" t="s">
        <v>7002</v>
      </c>
      <c r="F1341" s="47" t="s">
        <v>7424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#VALUE!</v>
      </c>
      <c r="K1341" s="47"/>
      <c r="L1341" s="47"/>
      <c r="M1341" s="49" t="s">
        <v>1613</v>
      </c>
    </row>
    <row r="1342" spans="1:13" x14ac:dyDescent="0.25">
      <c r="A1342" s="48">
        <f t="shared" si="20"/>
        <v>1341</v>
      </c>
      <c r="B1342" s="47" t="s">
        <v>4</v>
      </c>
      <c r="C1342" s="47" t="s">
        <v>7158</v>
      </c>
      <c r="D1342" s="47" t="s">
        <v>7426</v>
      </c>
      <c r="E1342" s="47" t="s">
        <v>7003</v>
      </c>
      <c r="F1342" s="47" t="s">
        <v>7424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#VALUE!</v>
      </c>
      <c r="K1342" s="47"/>
      <c r="L1342" s="47"/>
      <c r="M1342" s="49" t="s">
        <v>1613</v>
      </c>
    </row>
    <row r="1343" spans="1:13" x14ac:dyDescent="0.25">
      <c r="A1343" s="48">
        <f t="shared" si="20"/>
        <v>1342</v>
      </c>
      <c r="B1343" s="47" t="s">
        <v>4</v>
      </c>
      <c r="C1343" s="47" t="s">
        <v>7158</v>
      </c>
      <c r="D1343" s="47" t="s">
        <v>7427</v>
      </c>
      <c r="E1343" s="47" t="s">
        <v>7004</v>
      </c>
      <c r="F1343" s="47" t="s">
        <v>7421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#VALUE!</v>
      </c>
      <c r="K1343" s="47"/>
      <c r="L1343" s="47"/>
      <c r="M1343" s="49" t="s">
        <v>1613</v>
      </c>
    </row>
    <row r="1344" spans="1:13" x14ac:dyDescent="0.25">
      <c r="A1344" s="48">
        <f t="shared" si="20"/>
        <v>1343</v>
      </c>
      <c r="B1344" s="47" t="s">
        <v>4</v>
      </c>
      <c r="C1344" s="47" t="s">
        <v>7158</v>
      </c>
      <c r="D1344" s="47" t="s">
        <v>7428</v>
      </c>
      <c r="E1344" s="47" t="s">
        <v>7005</v>
      </c>
      <c r="F1344" s="47" t="s">
        <v>7427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#VALUE!</v>
      </c>
      <c r="K1344" s="47"/>
      <c r="L1344" s="47"/>
      <c r="M1344" s="49" t="s">
        <v>1613</v>
      </c>
    </row>
    <row r="1345" spans="1:13" x14ac:dyDescent="0.25">
      <c r="A1345" s="48">
        <f t="shared" si="20"/>
        <v>1344</v>
      </c>
      <c r="B1345" s="47" t="s">
        <v>4</v>
      </c>
      <c r="C1345" s="47" t="s">
        <v>7158</v>
      </c>
      <c r="D1345" s="47" t="s">
        <v>7429</v>
      </c>
      <c r="E1345" s="47" t="s">
        <v>7006</v>
      </c>
      <c r="F1345" s="47" t="s">
        <v>7427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#VALUE!</v>
      </c>
      <c r="K1345" s="47"/>
      <c r="L1345" s="47"/>
      <c r="M1345" s="49" t="s">
        <v>1613</v>
      </c>
    </row>
    <row r="1346" spans="1:13" x14ac:dyDescent="0.25">
      <c r="A1346" s="48">
        <f t="shared" si="20"/>
        <v>1345</v>
      </c>
      <c r="B1346" s="47" t="s">
        <v>4</v>
      </c>
      <c r="C1346" s="47" t="s">
        <v>7158</v>
      </c>
      <c r="D1346" s="47" t="s">
        <v>7430</v>
      </c>
      <c r="E1346" s="47" t="s">
        <v>7007</v>
      </c>
      <c r="F1346" s="47" t="s">
        <v>7427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#VALUE!</v>
      </c>
      <c r="K1346" s="47"/>
      <c r="L1346" s="47"/>
      <c r="M1346" s="49" t="s">
        <v>1613</v>
      </c>
    </row>
    <row r="1347" spans="1:13" x14ac:dyDescent="0.25">
      <c r="A1347" s="48">
        <f t="shared" ref="A1347:A1410" si="21">1+A1346</f>
        <v>1346</v>
      </c>
      <c r="B1347" s="47" t="s">
        <v>4</v>
      </c>
      <c r="C1347" s="47" t="s">
        <v>7158</v>
      </c>
      <c r="D1347" s="47" t="s">
        <v>7431</v>
      </c>
      <c r="E1347" s="47" t="s">
        <v>7008</v>
      </c>
      <c r="F1347" s="47" t="s">
        <v>7427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#VALUE!</v>
      </c>
      <c r="K1347" s="47"/>
      <c r="L1347" s="47"/>
      <c r="M1347" s="49" t="s">
        <v>1613</v>
      </c>
    </row>
    <row r="1348" spans="1:13" x14ac:dyDescent="0.25">
      <c r="A1348" s="48">
        <f t="shared" si="21"/>
        <v>1347</v>
      </c>
      <c r="B1348" s="47" t="s">
        <v>4</v>
      </c>
      <c r="C1348" s="47" t="s">
        <v>7158</v>
      </c>
      <c r="D1348" s="47" t="s">
        <v>7432</v>
      </c>
      <c r="E1348" s="47" t="s">
        <v>7009</v>
      </c>
      <c r="F1348" s="47" t="s">
        <v>7427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#VALUE!</v>
      </c>
      <c r="K1348" s="47"/>
      <c r="L1348" s="47"/>
      <c r="M1348" s="49" t="s">
        <v>1613</v>
      </c>
    </row>
    <row r="1349" spans="1:13" x14ac:dyDescent="0.25">
      <c r="A1349" s="48">
        <f t="shared" si="21"/>
        <v>1348</v>
      </c>
      <c r="B1349" s="47" t="s">
        <v>4</v>
      </c>
      <c r="C1349" s="47" t="s">
        <v>7158</v>
      </c>
      <c r="D1349" s="47" t="s">
        <v>7433</v>
      </c>
      <c r="E1349" s="47" t="s">
        <v>7010</v>
      </c>
      <c r="F1349" s="47" t="s">
        <v>6684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#VALUE!</v>
      </c>
      <c r="K1349" s="47"/>
      <c r="L1349" s="47"/>
      <c r="M1349" s="49" t="s">
        <v>1613</v>
      </c>
    </row>
    <row r="1350" spans="1:13" x14ac:dyDescent="0.25">
      <c r="A1350" s="48">
        <f t="shared" si="21"/>
        <v>1349</v>
      </c>
      <c r="B1350" s="47" t="s">
        <v>4</v>
      </c>
      <c r="C1350" s="47" t="s">
        <v>7158</v>
      </c>
      <c r="D1350" s="47" t="s">
        <v>7434</v>
      </c>
      <c r="E1350" s="47" t="s">
        <v>7011</v>
      </c>
      <c r="F1350" s="47" t="s">
        <v>7433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#VALUE!</v>
      </c>
      <c r="K1350" s="47"/>
      <c r="L1350" s="47"/>
      <c r="M1350" s="49" t="s">
        <v>1613</v>
      </c>
    </row>
    <row r="1351" spans="1:13" x14ac:dyDescent="0.25">
      <c r="A1351" s="48">
        <f t="shared" si="21"/>
        <v>1350</v>
      </c>
      <c r="B1351" s="47" t="s">
        <v>4</v>
      </c>
      <c r="C1351" s="47" t="s">
        <v>7158</v>
      </c>
      <c r="D1351" s="47" t="s">
        <v>7435</v>
      </c>
      <c r="E1351" s="47" t="s">
        <v>7012</v>
      </c>
      <c r="F1351" s="47" t="s">
        <v>7433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#VALUE!</v>
      </c>
      <c r="K1351" s="47"/>
      <c r="L1351" s="47"/>
      <c r="M1351" s="49" t="s">
        <v>1613</v>
      </c>
    </row>
    <row r="1352" spans="1:13" x14ac:dyDescent="0.25">
      <c r="A1352" s="48">
        <f t="shared" si="21"/>
        <v>1351</v>
      </c>
      <c r="B1352" s="47" t="s">
        <v>4</v>
      </c>
      <c r="C1352" s="47" t="s">
        <v>7158</v>
      </c>
      <c r="D1352" s="47" t="s">
        <v>7436</v>
      </c>
      <c r="E1352" s="47" t="s">
        <v>7013</v>
      </c>
      <c r="F1352" s="47" t="s">
        <v>7435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#VALUE!</v>
      </c>
      <c r="K1352" s="47"/>
      <c r="L1352" s="47"/>
      <c r="M1352" s="49" t="s">
        <v>1613</v>
      </c>
    </row>
    <row r="1353" spans="1:13" x14ac:dyDescent="0.25">
      <c r="A1353" s="48">
        <f t="shared" si="21"/>
        <v>1352</v>
      </c>
      <c r="B1353" s="47" t="s">
        <v>4</v>
      </c>
      <c r="C1353" s="47" t="s">
        <v>7158</v>
      </c>
      <c r="D1353" s="47" t="s">
        <v>7437</v>
      </c>
      <c r="E1353" s="47" t="s">
        <v>7014</v>
      </c>
      <c r="F1353" s="47" t="s">
        <v>7435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#VALUE!</v>
      </c>
      <c r="K1353" s="47"/>
      <c r="L1353" s="47"/>
      <c r="M1353" s="49" t="s">
        <v>1613</v>
      </c>
    </row>
    <row r="1354" spans="1:13" x14ac:dyDescent="0.25">
      <c r="A1354" s="48">
        <f t="shared" si="21"/>
        <v>1353</v>
      </c>
      <c r="B1354" s="47" t="s">
        <v>4</v>
      </c>
      <c r="C1354" s="47" t="s">
        <v>7158</v>
      </c>
      <c r="D1354" s="47" t="s">
        <v>7438</v>
      </c>
      <c r="E1354" s="47" t="s">
        <v>7015</v>
      </c>
      <c r="F1354" s="47" t="s">
        <v>7433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#VALUE!</v>
      </c>
      <c r="K1354" s="47"/>
      <c r="L1354" s="47"/>
      <c r="M1354" s="49" t="s">
        <v>1613</v>
      </c>
    </row>
    <row r="1355" spans="1:13" x14ac:dyDescent="0.25">
      <c r="A1355" s="48">
        <f t="shared" si="21"/>
        <v>1354</v>
      </c>
      <c r="B1355" s="47" t="s">
        <v>4</v>
      </c>
      <c r="C1355" s="47" t="s">
        <v>7158</v>
      </c>
      <c r="D1355" s="47" t="s">
        <v>7439</v>
      </c>
      <c r="E1355" s="47" t="s">
        <v>7016</v>
      </c>
      <c r="F1355" s="47" t="s">
        <v>7438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#VALUE!</v>
      </c>
      <c r="K1355" s="47"/>
      <c r="L1355" s="47"/>
      <c r="M1355" s="49" t="s">
        <v>1613</v>
      </c>
    </row>
    <row r="1356" spans="1:13" x14ac:dyDescent="0.25">
      <c r="A1356" s="48">
        <f t="shared" si="21"/>
        <v>1355</v>
      </c>
      <c r="B1356" s="47" t="s">
        <v>4</v>
      </c>
      <c r="C1356" s="47" t="s">
        <v>7158</v>
      </c>
      <c r="D1356" s="47" t="s">
        <v>7440</v>
      </c>
      <c r="E1356" s="47" t="s">
        <v>7017</v>
      </c>
      <c r="F1356" s="47" t="s">
        <v>7438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#VALUE!</v>
      </c>
      <c r="K1356" s="47"/>
      <c r="L1356" s="47"/>
      <c r="M1356" s="49" t="s">
        <v>1613</v>
      </c>
    </row>
    <row r="1357" spans="1:13" x14ac:dyDescent="0.25">
      <c r="A1357" s="48">
        <f t="shared" si="21"/>
        <v>1356</v>
      </c>
      <c r="B1357" s="47" t="s">
        <v>4</v>
      </c>
      <c r="C1357" s="47" t="s">
        <v>7158</v>
      </c>
      <c r="D1357" s="47" t="s">
        <v>7441</v>
      </c>
      <c r="E1357" s="47" t="s">
        <v>7018</v>
      </c>
      <c r="F1357" s="47" t="s">
        <v>6683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#VALUE!</v>
      </c>
      <c r="K1357" s="47"/>
      <c r="L1357" s="47"/>
      <c r="M1357" s="49" t="s">
        <v>1613</v>
      </c>
    </row>
    <row r="1358" spans="1:13" x14ac:dyDescent="0.25">
      <c r="A1358" s="48">
        <f t="shared" si="21"/>
        <v>1357</v>
      </c>
      <c r="B1358" s="47" t="s">
        <v>4</v>
      </c>
      <c r="C1358" s="47" t="s">
        <v>7158</v>
      </c>
      <c r="D1358" s="47" t="s">
        <v>7442</v>
      </c>
      <c r="E1358" s="47" t="s">
        <v>7019</v>
      </c>
      <c r="F1358" s="47" t="s">
        <v>7441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#VALUE!</v>
      </c>
      <c r="K1358" s="47"/>
      <c r="L1358" s="47"/>
      <c r="M1358" s="49" t="s">
        <v>1613</v>
      </c>
    </row>
    <row r="1359" spans="1:13" x14ac:dyDescent="0.25">
      <c r="A1359" s="48">
        <f t="shared" si="21"/>
        <v>1358</v>
      </c>
      <c r="B1359" s="47" t="s">
        <v>4</v>
      </c>
      <c r="C1359" s="47" t="s">
        <v>7158</v>
      </c>
      <c r="D1359" s="47" t="s">
        <v>7443</v>
      </c>
      <c r="E1359" s="47" t="s">
        <v>7020</v>
      </c>
      <c r="F1359" s="47" t="s">
        <v>7441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#VALUE!</v>
      </c>
      <c r="K1359" s="47"/>
      <c r="L1359" s="47"/>
      <c r="M1359" s="49" t="s">
        <v>1613</v>
      </c>
    </row>
    <row r="1360" spans="1:13" x14ac:dyDescent="0.25">
      <c r="A1360" s="48">
        <f t="shared" si="21"/>
        <v>1359</v>
      </c>
      <c r="B1360" s="47" t="s">
        <v>4</v>
      </c>
      <c r="C1360" s="47" t="s">
        <v>7158</v>
      </c>
      <c r="D1360" s="47" t="s">
        <v>7444</v>
      </c>
      <c r="E1360" s="47" t="s">
        <v>7021</v>
      </c>
      <c r="F1360" s="47" t="s">
        <v>7441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#VALUE!</v>
      </c>
      <c r="K1360" s="47"/>
      <c r="L1360" s="47"/>
      <c r="M1360" s="49" t="s">
        <v>1613</v>
      </c>
    </row>
    <row r="1361" spans="1:13" x14ac:dyDescent="0.25">
      <c r="A1361" s="48">
        <f t="shared" si="21"/>
        <v>1360</v>
      </c>
      <c r="B1361" s="47" t="s">
        <v>4</v>
      </c>
      <c r="C1361" s="47" t="s">
        <v>7158</v>
      </c>
      <c r="D1361" s="47" t="s">
        <v>7445</v>
      </c>
      <c r="E1361" s="47" t="s">
        <v>7022</v>
      </c>
      <c r="F1361" s="47" t="s">
        <v>7444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#VALUE!</v>
      </c>
      <c r="K1361" s="47"/>
      <c r="L1361" s="47"/>
      <c r="M1361" s="49" t="s">
        <v>1613</v>
      </c>
    </row>
    <row r="1362" spans="1:13" x14ac:dyDescent="0.25">
      <c r="A1362" s="48">
        <f t="shared" si="21"/>
        <v>1361</v>
      </c>
      <c r="B1362" s="47" t="s">
        <v>4</v>
      </c>
      <c r="C1362" s="47" t="s">
        <v>7158</v>
      </c>
      <c r="D1362" s="47" t="s">
        <v>7446</v>
      </c>
      <c r="E1362" s="47" t="s">
        <v>7023</v>
      </c>
      <c r="F1362" s="47" t="s">
        <v>7444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#VALUE!</v>
      </c>
      <c r="K1362" s="47"/>
      <c r="L1362" s="47"/>
      <c r="M1362" s="49" t="s">
        <v>1613</v>
      </c>
    </row>
    <row r="1363" spans="1:13" x14ac:dyDescent="0.25">
      <c r="A1363" s="48">
        <f t="shared" si="21"/>
        <v>1362</v>
      </c>
      <c r="B1363" s="47" t="s">
        <v>4</v>
      </c>
      <c r="C1363" s="47" t="s">
        <v>7158</v>
      </c>
      <c r="D1363" s="47" t="s">
        <v>7447</v>
      </c>
      <c r="E1363" s="47" t="s">
        <v>7024</v>
      </c>
      <c r="F1363" s="47" t="s">
        <v>7441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#VALUE!</v>
      </c>
      <c r="K1363" s="47"/>
      <c r="L1363" s="47"/>
      <c r="M1363" s="49" t="s">
        <v>1613</v>
      </c>
    </row>
    <row r="1364" spans="1:13" x14ac:dyDescent="0.25">
      <c r="A1364" s="48">
        <f t="shared" si="21"/>
        <v>1363</v>
      </c>
      <c r="B1364" s="47" t="s">
        <v>4</v>
      </c>
      <c r="C1364" s="47" t="s">
        <v>7158</v>
      </c>
      <c r="D1364" s="47" t="s">
        <v>7448</v>
      </c>
      <c r="E1364" s="47" t="s">
        <v>7025</v>
      </c>
      <c r="F1364" s="47" t="s">
        <v>7447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#VALUE!</v>
      </c>
      <c r="K1364" s="47"/>
      <c r="L1364" s="47"/>
      <c r="M1364" s="49" t="s">
        <v>1613</v>
      </c>
    </row>
    <row r="1365" spans="1:13" x14ac:dyDescent="0.25">
      <c r="A1365" s="48">
        <f t="shared" si="21"/>
        <v>1364</v>
      </c>
      <c r="B1365" s="47" t="s">
        <v>4</v>
      </c>
      <c r="C1365" s="47" t="s">
        <v>7158</v>
      </c>
      <c r="D1365" s="47" t="s">
        <v>7449</v>
      </c>
      <c r="E1365" s="47" t="s">
        <v>7026</v>
      </c>
      <c r="F1365" s="47" t="s">
        <v>7447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#VALUE!</v>
      </c>
      <c r="K1365" s="47"/>
      <c r="L1365" s="47"/>
      <c r="M1365" s="49" t="s">
        <v>1613</v>
      </c>
    </row>
    <row r="1366" spans="1:13" x14ac:dyDescent="0.25">
      <c r="A1366" s="48">
        <f t="shared" si="21"/>
        <v>1365</v>
      </c>
      <c r="B1366" s="47" t="s">
        <v>4</v>
      </c>
      <c r="C1366" s="47" t="s">
        <v>7158</v>
      </c>
      <c r="D1366" s="47" t="s">
        <v>7450</v>
      </c>
      <c r="E1366" s="47" t="s">
        <v>7027</v>
      </c>
      <c r="F1366" s="47" t="s">
        <v>7447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#VALUE!</v>
      </c>
      <c r="K1366" s="47"/>
      <c r="L1366" s="47"/>
      <c r="M1366" s="49" t="s">
        <v>1613</v>
      </c>
    </row>
    <row r="1367" spans="1:13" x14ac:dyDescent="0.25">
      <c r="A1367" s="48">
        <f t="shared" si="21"/>
        <v>1366</v>
      </c>
      <c r="B1367" s="47" t="s">
        <v>4</v>
      </c>
      <c r="C1367" s="47" t="s">
        <v>7158</v>
      </c>
      <c r="D1367" s="47" t="s">
        <v>7451</v>
      </c>
      <c r="E1367" s="47" t="s">
        <v>7028</v>
      </c>
      <c r="F1367" s="47" t="s">
        <v>7447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#VALUE!</v>
      </c>
      <c r="K1367" s="47"/>
      <c r="L1367" s="47"/>
      <c r="M1367" s="49" t="s">
        <v>1613</v>
      </c>
    </row>
    <row r="1368" spans="1:13" x14ac:dyDescent="0.25">
      <c r="A1368" s="48">
        <f t="shared" si="21"/>
        <v>1367</v>
      </c>
      <c r="B1368" s="47" t="s">
        <v>4</v>
      </c>
      <c r="C1368" s="47" t="s">
        <v>7158</v>
      </c>
      <c r="D1368" s="47" t="s">
        <v>7452</v>
      </c>
      <c r="E1368" s="47" t="s">
        <v>7029</v>
      </c>
      <c r="F1368" s="47" t="s">
        <v>7447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#VALUE!</v>
      </c>
      <c r="K1368" s="47"/>
      <c r="L1368" s="47"/>
      <c r="M1368" s="49" t="s">
        <v>1613</v>
      </c>
    </row>
    <row r="1369" spans="1:13" x14ac:dyDescent="0.25">
      <c r="A1369" s="48">
        <f t="shared" si="21"/>
        <v>1368</v>
      </c>
      <c r="B1369" s="47" t="s">
        <v>4</v>
      </c>
      <c r="C1369" s="47" t="s">
        <v>7158</v>
      </c>
      <c r="D1369" s="47" t="s">
        <v>7453</v>
      </c>
      <c r="E1369" s="47" t="s">
        <v>7030</v>
      </c>
      <c r="F1369" s="47" t="s">
        <v>6684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#VALUE!</v>
      </c>
      <c r="K1369" s="47"/>
      <c r="L1369" s="47"/>
      <c r="M1369" s="49" t="s">
        <v>1613</v>
      </c>
    </row>
    <row r="1370" spans="1:13" x14ac:dyDescent="0.25">
      <c r="A1370" s="48">
        <f t="shared" si="21"/>
        <v>1369</v>
      </c>
      <c r="B1370" s="47" t="s">
        <v>4</v>
      </c>
      <c r="C1370" s="47" t="s">
        <v>7158</v>
      </c>
      <c r="D1370" s="47" t="s">
        <v>7454</v>
      </c>
      <c r="E1370" s="47" t="s">
        <v>7031</v>
      </c>
      <c r="F1370" s="47" t="s">
        <v>7453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#VALUE!</v>
      </c>
      <c r="K1370" s="47"/>
      <c r="L1370" s="47"/>
      <c r="M1370" s="49" t="s">
        <v>1613</v>
      </c>
    </row>
    <row r="1371" spans="1:13" x14ac:dyDescent="0.25">
      <c r="A1371" s="48">
        <f t="shared" si="21"/>
        <v>1370</v>
      </c>
      <c r="B1371" s="47" t="s">
        <v>4</v>
      </c>
      <c r="C1371" s="47" t="s">
        <v>7158</v>
      </c>
      <c r="D1371" s="47" t="s">
        <v>7455</v>
      </c>
      <c r="E1371" s="47" t="s">
        <v>7032</v>
      </c>
      <c r="F1371" s="47" t="s">
        <v>7453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#VALUE!</v>
      </c>
      <c r="K1371" s="47"/>
      <c r="L1371" s="47"/>
      <c r="M1371" s="49" t="s">
        <v>1613</v>
      </c>
    </row>
    <row r="1372" spans="1:13" x14ac:dyDescent="0.25">
      <c r="A1372" s="48">
        <f t="shared" si="21"/>
        <v>1371</v>
      </c>
      <c r="B1372" s="47" t="s">
        <v>4</v>
      </c>
      <c r="C1372" s="47" t="s">
        <v>7158</v>
      </c>
      <c r="D1372" s="47" t="s">
        <v>7456</v>
      </c>
      <c r="E1372" s="47" t="s">
        <v>7033</v>
      </c>
      <c r="F1372" s="47" t="s">
        <v>7455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#VALUE!</v>
      </c>
      <c r="K1372" s="47"/>
      <c r="L1372" s="47"/>
      <c r="M1372" s="49" t="s">
        <v>1613</v>
      </c>
    </row>
    <row r="1373" spans="1:13" x14ac:dyDescent="0.25">
      <c r="A1373" s="48">
        <f t="shared" si="21"/>
        <v>1372</v>
      </c>
      <c r="B1373" s="47" t="s">
        <v>4</v>
      </c>
      <c r="C1373" s="47" t="s">
        <v>7158</v>
      </c>
      <c r="D1373" s="47" t="s">
        <v>7457</v>
      </c>
      <c r="E1373" s="47" t="s">
        <v>7034</v>
      </c>
      <c r="F1373" s="47" t="s">
        <v>7455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#VALUE!</v>
      </c>
      <c r="K1373" s="47"/>
      <c r="L1373" s="47"/>
      <c r="M1373" s="49" t="s">
        <v>1613</v>
      </c>
    </row>
    <row r="1374" spans="1:13" x14ac:dyDescent="0.25">
      <c r="A1374" s="48">
        <f t="shared" si="21"/>
        <v>1373</v>
      </c>
      <c r="B1374" s="47" t="s">
        <v>4</v>
      </c>
      <c r="C1374" s="47" t="s">
        <v>7158</v>
      </c>
      <c r="D1374" s="47" t="s">
        <v>7458</v>
      </c>
      <c r="E1374" s="47" t="s">
        <v>7035</v>
      </c>
      <c r="F1374" s="47" t="s">
        <v>7453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#VALUE!</v>
      </c>
      <c r="K1374" s="47"/>
      <c r="L1374" s="47"/>
      <c r="M1374" s="49" t="s">
        <v>1613</v>
      </c>
    </row>
    <row r="1375" spans="1:13" x14ac:dyDescent="0.25">
      <c r="A1375" s="48">
        <f t="shared" si="21"/>
        <v>1374</v>
      </c>
      <c r="B1375" s="47" t="s">
        <v>4</v>
      </c>
      <c r="C1375" s="47" t="s">
        <v>7158</v>
      </c>
      <c r="D1375" s="47" t="s">
        <v>7459</v>
      </c>
      <c r="E1375" s="47" t="s">
        <v>7036</v>
      </c>
      <c r="F1375" s="47" t="s">
        <v>7458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#VALUE!</v>
      </c>
      <c r="K1375" s="47"/>
      <c r="L1375" s="47"/>
      <c r="M1375" s="49" t="s">
        <v>1613</v>
      </c>
    </row>
    <row r="1376" spans="1:13" x14ac:dyDescent="0.25">
      <c r="A1376" s="48">
        <f t="shared" si="21"/>
        <v>1375</v>
      </c>
      <c r="B1376" s="47" t="s">
        <v>4</v>
      </c>
      <c r="C1376" s="47" t="s">
        <v>7158</v>
      </c>
      <c r="D1376" s="47" t="s">
        <v>7460</v>
      </c>
      <c r="E1376" s="47" t="s">
        <v>7037</v>
      </c>
      <c r="F1376" s="47" t="s">
        <v>7458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#VALUE!</v>
      </c>
      <c r="K1376" s="47"/>
      <c r="L1376" s="47"/>
      <c r="M1376" s="49" t="s">
        <v>1613</v>
      </c>
    </row>
    <row r="1377" spans="1:13" x14ac:dyDescent="0.25">
      <c r="A1377" s="48">
        <f t="shared" si="21"/>
        <v>1376</v>
      </c>
      <c r="B1377" s="47" t="s">
        <v>4</v>
      </c>
      <c r="C1377" s="47" t="s">
        <v>7158</v>
      </c>
      <c r="D1377" s="47" t="s">
        <v>7461</v>
      </c>
      <c r="E1377" s="47" t="s">
        <v>7038</v>
      </c>
      <c r="F1377" s="47" t="s">
        <v>6683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#VALUE!</v>
      </c>
      <c r="K1377" s="47"/>
      <c r="L1377" s="47"/>
      <c r="M1377" s="49" t="s">
        <v>1613</v>
      </c>
    </row>
    <row r="1378" spans="1:13" x14ac:dyDescent="0.25">
      <c r="A1378" s="48">
        <f t="shared" si="21"/>
        <v>1377</v>
      </c>
      <c r="B1378" s="47" t="s">
        <v>4</v>
      </c>
      <c r="C1378" s="47" t="s">
        <v>7158</v>
      </c>
      <c r="D1378" s="47" t="s">
        <v>7462</v>
      </c>
      <c r="E1378" s="47" t="s">
        <v>7039</v>
      </c>
      <c r="F1378" s="47" t="s">
        <v>7461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#VALUE!</v>
      </c>
      <c r="K1378" s="47"/>
      <c r="L1378" s="47"/>
      <c r="M1378" s="49" t="s">
        <v>1613</v>
      </c>
    </row>
    <row r="1379" spans="1:13" x14ac:dyDescent="0.25">
      <c r="A1379" s="48">
        <f t="shared" si="21"/>
        <v>1378</v>
      </c>
      <c r="B1379" s="47" t="s">
        <v>4</v>
      </c>
      <c r="C1379" s="47" t="s">
        <v>7158</v>
      </c>
      <c r="D1379" s="47" t="s">
        <v>7463</v>
      </c>
      <c r="E1379" s="47" t="s">
        <v>7040</v>
      </c>
      <c r="F1379" s="47" t="s">
        <v>7461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#VALUE!</v>
      </c>
      <c r="K1379" s="47"/>
      <c r="L1379" s="47"/>
      <c r="M1379" s="49" t="s">
        <v>1613</v>
      </c>
    </row>
    <row r="1380" spans="1:13" x14ac:dyDescent="0.25">
      <c r="A1380" s="48">
        <f t="shared" si="21"/>
        <v>1379</v>
      </c>
      <c r="B1380" s="47" t="s">
        <v>4</v>
      </c>
      <c r="C1380" s="47" t="s">
        <v>7158</v>
      </c>
      <c r="D1380" s="47" t="s">
        <v>7464</v>
      </c>
      <c r="E1380" s="47" t="s">
        <v>7041</v>
      </c>
      <c r="F1380" s="47" t="s">
        <v>7461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#VALUE!</v>
      </c>
      <c r="K1380" s="47"/>
      <c r="L1380" s="47"/>
      <c r="M1380" s="49" t="s">
        <v>1613</v>
      </c>
    </row>
    <row r="1381" spans="1:13" x14ac:dyDescent="0.25">
      <c r="A1381" s="48">
        <f t="shared" si="21"/>
        <v>1380</v>
      </c>
      <c r="B1381" s="47" t="s">
        <v>4</v>
      </c>
      <c r="C1381" s="47" t="s">
        <v>7158</v>
      </c>
      <c r="D1381" s="47" t="s">
        <v>7465</v>
      </c>
      <c r="E1381" s="47" t="s">
        <v>7042</v>
      </c>
      <c r="F1381" s="47" t="s">
        <v>7464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#VALUE!</v>
      </c>
      <c r="K1381" s="47"/>
      <c r="L1381" s="47"/>
      <c r="M1381" s="49" t="s">
        <v>1613</v>
      </c>
    </row>
    <row r="1382" spans="1:13" x14ac:dyDescent="0.25">
      <c r="A1382" s="48">
        <f t="shared" si="21"/>
        <v>1381</v>
      </c>
      <c r="B1382" s="47" t="s">
        <v>4</v>
      </c>
      <c r="C1382" s="47" t="s">
        <v>7158</v>
      </c>
      <c r="D1382" s="47" t="s">
        <v>7466</v>
      </c>
      <c r="E1382" s="47" t="s">
        <v>7043</v>
      </c>
      <c r="F1382" s="47" t="s">
        <v>7464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#VALUE!</v>
      </c>
      <c r="K1382" s="47"/>
      <c r="L1382" s="47"/>
      <c r="M1382" s="49" t="s">
        <v>1613</v>
      </c>
    </row>
    <row r="1383" spans="1:13" x14ac:dyDescent="0.25">
      <c r="A1383" s="48">
        <f t="shared" si="21"/>
        <v>1382</v>
      </c>
      <c r="B1383" s="47" t="s">
        <v>4</v>
      </c>
      <c r="C1383" s="47" t="s">
        <v>7158</v>
      </c>
      <c r="D1383" s="47" t="s">
        <v>7467</v>
      </c>
      <c r="E1383" s="47" t="s">
        <v>7044</v>
      </c>
      <c r="F1383" s="47" t="s">
        <v>7461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#VALUE!</v>
      </c>
      <c r="K1383" s="47"/>
      <c r="L1383" s="47"/>
      <c r="M1383" s="49" t="s">
        <v>1613</v>
      </c>
    </row>
    <row r="1384" spans="1:13" x14ac:dyDescent="0.25">
      <c r="A1384" s="48">
        <f t="shared" si="21"/>
        <v>1383</v>
      </c>
      <c r="B1384" s="47" t="s">
        <v>4</v>
      </c>
      <c r="C1384" s="47" t="s">
        <v>7158</v>
      </c>
      <c r="D1384" s="47" t="s">
        <v>7468</v>
      </c>
      <c r="E1384" s="47" t="s">
        <v>7045</v>
      </c>
      <c r="F1384" s="47" t="s">
        <v>7467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#VALUE!</v>
      </c>
      <c r="K1384" s="47"/>
      <c r="L1384" s="47"/>
      <c r="M1384" s="49" t="s">
        <v>1613</v>
      </c>
    </row>
    <row r="1385" spans="1:13" x14ac:dyDescent="0.25">
      <c r="A1385" s="48">
        <f t="shared" si="21"/>
        <v>1384</v>
      </c>
      <c r="B1385" s="47" t="s">
        <v>4</v>
      </c>
      <c r="C1385" s="47" t="s">
        <v>7158</v>
      </c>
      <c r="D1385" s="47" t="s">
        <v>7469</v>
      </c>
      <c r="E1385" s="47" t="s">
        <v>7046</v>
      </c>
      <c r="F1385" s="47" t="s">
        <v>7467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#VALUE!</v>
      </c>
      <c r="K1385" s="47"/>
      <c r="L1385" s="47"/>
      <c r="M1385" s="49" t="s">
        <v>1613</v>
      </c>
    </row>
    <row r="1386" spans="1:13" x14ac:dyDescent="0.25">
      <c r="A1386" s="48">
        <f t="shared" si="21"/>
        <v>1385</v>
      </c>
      <c r="B1386" s="47" t="s">
        <v>4</v>
      </c>
      <c r="C1386" s="47" t="s">
        <v>7158</v>
      </c>
      <c r="D1386" s="47" t="s">
        <v>7470</v>
      </c>
      <c r="E1386" s="47" t="s">
        <v>7047</v>
      </c>
      <c r="F1386" s="47" t="s">
        <v>7467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#VALUE!</v>
      </c>
      <c r="K1386" s="47"/>
      <c r="L1386" s="47"/>
      <c r="M1386" s="49" t="s">
        <v>1613</v>
      </c>
    </row>
    <row r="1387" spans="1:13" x14ac:dyDescent="0.25">
      <c r="A1387" s="48">
        <f t="shared" si="21"/>
        <v>1386</v>
      </c>
      <c r="B1387" s="47" t="s">
        <v>4</v>
      </c>
      <c r="C1387" s="47" t="s">
        <v>7158</v>
      </c>
      <c r="D1387" s="47" t="s">
        <v>7471</v>
      </c>
      <c r="E1387" s="47" t="s">
        <v>7048</v>
      </c>
      <c r="F1387" s="47" t="s">
        <v>7467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#VALUE!</v>
      </c>
      <c r="K1387" s="47"/>
      <c r="L1387" s="47"/>
      <c r="M1387" s="49" t="s">
        <v>1613</v>
      </c>
    </row>
    <row r="1388" spans="1:13" x14ac:dyDescent="0.25">
      <c r="A1388" s="48">
        <f t="shared" si="21"/>
        <v>1387</v>
      </c>
      <c r="B1388" s="47" t="s">
        <v>4</v>
      </c>
      <c r="C1388" s="47" t="s">
        <v>7158</v>
      </c>
      <c r="D1388" s="47" t="s">
        <v>7472</v>
      </c>
      <c r="E1388" s="47" t="s">
        <v>7049</v>
      </c>
      <c r="F1388" s="47" t="s">
        <v>7467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#VALUE!</v>
      </c>
      <c r="K1388" s="47"/>
      <c r="L1388" s="47"/>
      <c r="M1388" s="49" t="s">
        <v>1613</v>
      </c>
    </row>
    <row r="1389" spans="1:13" x14ac:dyDescent="0.25">
      <c r="A1389" s="48">
        <f t="shared" si="21"/>
        <v>1388</v>
      </c>
      <c r="B1389" s="47" t="s">
        <v>4</v>
      </c>
      <c r="C1389" s="47" t="s">
        <v>7158</v>
      </c>
      <c r="D1389" s="47" t="s">
        <v>7473</v>
      </c>
      <c r="E1389" s="47" t="s">
        <v>7050</v>
      </c>
      <c r="F1389" s="47" t="s">
        <v>6684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#VALUE!</v>
      </c>
      <c r="K1389" s="47"/>
      <c r="L1389" s="47"/>
      <c r="M1389" s="49" t="s">
        <v>1613</v>
      </c>
    </row>
    <row r="1390" spans="1:13" x14ac:dyDescent="0.25">
      <c r="A1390" s="48">
        <f t="shared" si="21"/>
        <v>1389</v>
      </c>
      <c r="B1390" s="47" t="s">
        <v>4</v>
      </c>
      <c r="C1390" s="47" t="s">
        <v>7158</v>
      </c>
      <c r="D1390" s="47" t="s">
        <v>7474</v>
      </c>
      <c r="E1390" s="47" t="s">
        <v>7051</v>
      </c>
      <c r="F1390" s="47" t="s">
        <v>7473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#VALUE!</v>
      </c>
      <c r="K1390" s="47"/>
      <c r="L1390" s="47"/>
      <c r="M1390" s="49" t="s">
        <v>1613</v>
      </c>
    </row>
    <row r="1391" spans="1:13" x14ac:dyDescent="0.25">
      <c r="A1391" s="48">
        <f t="shared" si="21"/>
        <v>1390</v>
      </c>
      <c r="B1391" s="47" t="s">
        <v>4</v>
      </c>
      <c r="C1391" s="47" t="s">
        <v>7158</v>
      </c>
      <c r="D1391" s="47" t="s">
        <v>7475</v>
      </c>
      <c r="E1391" s="47" t="s">
        <v>7052</v>
      </c>
      <c r="F1391" s="47" t="s">
        <v>7473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#VALUE!</v>
      </c>
      <c r="K1391" s="47"/>
      <c r="L1391" s="47"/>
      <c r="M1391" s="49" t="s">
        <v>1613</v>
      </c>
    </row>
    <row r="1392" spans="1:13" x14ac:dyDescent="0.25">
      <c r="A1392" s="48">
        <f t="shared" si="21"/>
        <v>1391</v>
      </c>
      <c r="B1392" s="47" t="s">
        <v>4</v>
      </c>
      <c r="C1392" s="47" t="s">
        <v>7158</v>
      </c>
      <c r="D1392" s="47" t="s">
        <v>7476</v>
      </c>
      <c r="E1392" s="47" t="s">
        <v>7053</v>
      </c>
      <c r="F1392" s="47" t="s">
        <v>7475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#VALUE!</v>
      </c>
      <c r="K1392" s="47"/>
      <c r="L1392" s="47"/>
      <c r="M1392" s="49" t="s">
        <v>1613</v>
      </c>
    </row>
    <row r="1393" spans="1:13" x14ac:dyDescent="0.25">
      <c r="A1393" s="48">
        <f t="shared" si="21"/>
        <v>1392</v>
      </c>
      <c r="B1393" s="47" t="s">
        <v>4</v>
      </c>
      <c r="C1393" s="47" t="s">
        <v>7158</v>
      </c>
      <c r="D1393" s="47" t="s">
        <v>7477</v>
      </c>
      <c r="E1393" s="47" t="s">
        <v>7054</v>
      </c>
      <c r="F1393" s="47" t="s">
        <v>7475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#VALUE!</v>
      </c>
      <c r="K1393" s="47"/>
      <c r="L1393" s="47"/>
      <c r="M1393" s="49" t="s">
        <v>1613</v>
      </c>
    </row>
    <row r="1394" spans="1:13" x14ac:dyDescent="0.25">
      <c r="A1394" s="48">
        <f t="shared" si="21"/>
        <v>1393</v>
      </c>
      <c r="B1394" s="47" t="s">
        <v>4</v>
      </c>
      <c r="C1394" s="47" t="s">
        <v>7158</v>
      </c>
      <c r="D1394" s="47" t="s">
        <v>7478</v>
      </c>
      <c r="E1394" s="47" t="s">
        <v>7055</v>
      </c>
      <c r="F1394" s="47" t="s">
        <v>7473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#VALUE!</v>
      </c>
      <c r="K1394" s="47"/>
      <c r="L1394" s="47"/>
      <c r="M1394" s="49" t="s">
        <v>1613</v>
      </c>
    </row>
    <row r="1395" spans="1:13" x14ac:dyDescent="0.25">
      <c r="A1395" s="48">
        <f t="shared" si="21"/>
        <v>1394</v>
      </c>
      <c r="B1395" s="47" t="s">
        <v>4</v>
      </c>
      <c r="C1395" s="47" t="s">
        <v>7158</v>
      </c>
      <c r="D1395" s="47" t="s">
        <v>7479</v>
      </c>
      <c r="E1395" s="47" t="s">
        <v>7056</v>
      </c>
      <c r="F1395" s="47" t="s">
        <v>7478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#VALUE!</v>
      </c>
      <c r="K1395" s="47"/>
      <c r="L1395" s="47"/>
      <c r="M1395" s="49" t="s">
        <v>1613</v>
      </c>
    </row>
    <row r="1396" spans="1:13" x14ac:dyDescent="0.25">
      <c r="A1396" s="48">
        <f t="shared" si="21"/>
        <v>1395</v>
      </c>
      <c r="B1396" s="47" t="s">
        <v>4</v>
      </c>
      <c r="C1396" s="47" t="s">
        <v>7158</v>
      </c>
      <c r="D1396" s="47" t="s">
        <v>7480</v>
      </c>
      <c r="E1396" s="47" t="s">
        <v>7057</v>
      </c>
      <c r="F1396" s="47" t="s">
        <v>7478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#VALUE!</v>
      </c>
      <c r="K1396" s="47"/>
      <c r="L1396" s="47"/>
      <c r="M1396" s="49" t="s">
        <v>1613</v>
      </c>
    </row>
    <row r="1397" spans="1:13" x14ac:dyDescent="0.25">
      <c r="A1397" s="48">
        <f t="shared" si="21"/>
        <v>1396</v>
      </c>
      <c r="B1397" s="47" t="s">
        <v>4</v>
      </c>
      <c r="C1397" s="47" t="s">
        <v>7158</v>
      </c>
      <c r="D1397" s="47" t="s">
        <v>7481</v>
      </c>
      <c r="E1397" s="47" t="s">
        <v>7058</v>
      </c>
      <c r="F1397" s="47" t="s">
        <v>6683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#VALUE!</v>
      </c>
      <c r="K1397" s="47"/>
      <c r="L1397" s="47"/>
      <c r="M1397" s="49" t="s">
        <v>1613</v>
      </c>
    </row>
    <row r="1398" spans="1:13" x14ac:dyDescent="0.25">
      <c r="A1398" s="48">
        <f t="shared" si="21"/>
        <v>1397</v>
      </c>
      <c r="B1398" s="47" t="s">
        <v>4</v>
      </c>
      <c r="C1398" s="47" t="s">
        <v>7158</v>
      </c>
      <c r="D1398" s="47" t="s">
        <v>7482</v>
      </c>
      <c r="E1398" s="47" t="s">
        <v>7059</v>
      </c>
      <c r="F1398" s="47" t="s">
        <v>7481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#VALUE!</v>
      </c>
      <c r="K1398" s="47"/>
      <c r="L1398" s="47"/>
      <c r="M1398" s="49" t="s">
        <v>1613</v>
      </c>
    </row>
    <row r="1399" spans="1:13" x14ac:dyDescent="0.25">
      <c r="A1399" s="48">
        <f t="shared" si="21"/>
        <v>1398</v>
      </c>
      <c r="B1399" s="47" t="s">
        <v>4</v>
      </c>
      <c r="C1399" s="47" t="s">
        <v>7158</v>
      </c>
      <c r="D1399" s="47" t="s">
        <v>7483</v>
      </c>
      <c r="E1399" s="47" t="s">
        <v>7060</v>
      </c>
      <c r="F1399" s="47" t="s">
        <v>7481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#VALUE!</v>
      </c>
      <c r="K1399" s="47"/>
      <c r="L1399" s="47"/>
      <c r="M1399" s="49" t="s">
        <v>1613</v>
      </c>
    </row>
    <row r="1400" spans="1:13" x14ac:dyDescent="0.25">
      <c r="A1400" s="48">
        <f t="shared" si="21"/>
        <v>1399</v>
      </c>
      <c r="B1400" s="47" t="s">
        <v>4</v>
      </c>
      <c r="C1400" s="47" t="s">
        <v>7158</v>
      </c>
      <c r="D1400" s="47" t="s">
        <v>7484</v>
      </c>
      <c r="E1400" s="47" t="s">
        <v>7061</v>
      </c>
      <c r="F1400" s="47" t="s">
        <v>7481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#VALUE!</v>
      </c>
      <c r="K1400" s="47"/>
      <c r="L1400" s="47"/>
      <c r="M1400" s="49" t="s">
        <v>1613</v>
      </c>
    </row>
    <row r="1401" spans="1:13" x14ac:dyDescent="0.25">
      <c r="A1401" s="48">
        <f t="shared" si="21"/>
        <v>1400</v>
      </c>
      <c r="B1401" s="47" t="s">
        <v>4</v>
      </c>
      <c r="C1401" s="47" t="s">
        <v>7158</v>
      </c>
      <c r="D1401" s="47" t="s">
        <v>7485</v>
      </c>
      <c r="E1401" s="47" t="s">
        <v>7062</v>
      </c>
      <c r="F1401" s="47" t="s">
        <v>7484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#VALUE!</v>
      </c>
      <c r="K1401" s="47"/>
      <c r="L1401" s="47"/>
      <c r="M1401" s="49" t="s">
        <v>1613</v>
      </c>
    </row>
    <row r="1402" spans="1:13" x14ac:dyDescent="0.25">
      <c r="A1402" s="48">
        <f t="shared" si="21"/>
        <v>1401</v>
      </c>
      <c r="B1402" s="47" t="s">
        <v>4</v>
      </c>
      <c r="C1402" s="47" t="s">
        <v>7158</v>
      </c>
      <c r="D1402" s="47" t="s">
        <v>7486</v>
      </c>
      <c r="E1402" s="47" t="s">
        <v>7063</v>
      </c>
      <c r="F1402" s="47" t="s">
        <v>7484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#VALUE!</v>
      </c>
      <c r="K1402" s="47"/>
      <c r="L1402" s="47"/>
      <c r="M1402" s="49" t="s">
        <v>1613</v>
      </c>
    </row>
    <row r="1403" spans="1:13" x14ac:dyDescent="0.25">
      <c r="A1403" s="48">
        <f t="shared" si="21"/>
        <v>1402</v>
      </c>
      <c r="B1403" s="47" t="s">
        <v>4</v>
      </c>
      <c r="C1403" s="47" t="s">
        <v>7158</v>
      </c>
      <c r="D1403" s="47" t="s">
        <v>7487</v>
      </c>
      <c r="E1403" s="47" t="s">
        <v>7064</v>
      </c>
      <c r="F1403" s="47" t="s">
        <v>7481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#VALUE!</v>
      </c>
      <c r="K1403" s="47"/>
      <c r="L1403" s="47"/>
      <c r="M1403" s="49" t="s">
        <v>1613</v>
      </c>
    </row>
    <row r="1404" spans="1:13" x14ac:dyDescent="0.25">
      <c r="A1404" s="48">
        <f t="shared" si="21"/>
        <v>1403</v>
      </c>
      <c r="B1404" s="47" t="s">
        <v>4</v>
      </c>
      <c r="C1404" s="47" t="s">
        <v>7158</v>
      </c>
      <c r="D1404" s="47" t="s">
        <v>7488</v>
      </c>
      <c r="E1404" s="47" t="s">
        <v>7065</v>
      </c>
      <c r="F1404" s="47" t="s">
        <v>7487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#VALUE!</v>
      </c>
      <c r="K1404" s="47"/>
      <c r="L1404" s="47"/>
      <c r="M1404" s="49" t="s">
        <v>1613</v>
      </c>
    </row>
    <row r="1405" spans="1:13" x14ac:dyDescent="0.25">
      <c r="A1405" s="48">
        <f t="shared" si="21"/>
        <v>1404</v>
      </c>
      <c r="B1405" s="47" t="s">
        <v>4</v>
      </c>
      <c r="C1405" s="47" t="s">
        <v>7158</v>
      </c>
      <c r="D1405" s="47" t="s">
        <v>7489</v>
      </c>
      <c r="E1405" s="47" t="s">
        <v>7066</v>
      </c>
      <c r="F1405" s="47" t="s">
        <v>7487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#VALUE!</v>
      </c>
      <c r="K1405" s="47"/>
      <c r="L1405" s="47"/>
      <c r="M1405" s="49" t="s">
        <v>1613</v>
      </c>
    </row>
    <row r="1406" spans="1:13" x14ac:dyDescent="0.25">
      <c r="A1406" s="48">
        <f t="shared" si="21"/>
        <v>1405</v>
      </c>
      <c r="B1406" s="47" t="s">
        <v>4</v>
      </c>
      <c r="C1406" s="47" t="s">
        <v>7158</v>
      </c>
      <c r="D1406" s="47" t="s">
        <v>7490</v>
      </c>
      <c r="E1406" s="47" t="s">
        <v>7067</v>
      </c>
      <c r="F1406" s="47" t="s">
        <v>7487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#VALUE!</v>
      </c>
      <c r="K1406" s="47"/>
      <c r="L1406" s="47"/>
      <c r="M1406" s="49" t="s">
        <v>1613</v>
      </c>
    </row>
    <row r="1407" spans="1:13" x14ac:dyDescent="0.25">
      <c r="A1407" s="48">
        <f t="shared" si="21"/>
        <v>1406</v>
      </c>
      <c r="B1407" s="47" t="s">
        <v>4</v>
      </c>
      <c r="C1407" s="47" t="s">
        <v>7158</v>
      </c>
      <c r="D1407" s="47" t="s">
        <v>7491</v>
      </c>
      <c r="E1407" s="47" t="s">
        <v>7068</v>
      </c>
      <c r="F1407" s="47" t="s">
        <v>7487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#VALUE!</v>
      </c>
      <c r="K1407" s="47"/>
      <c r="L1407" s="47"/>
      <c r="M1407" s="49" t="s">
        <v>1613</v>
      </c>
    </row>
    <row r="1408" spans="1:13" x14ac:dyDescent="0.25">
      <c r="A1408" s="48">
        <f t="shared" si="21"/>
        <v>1407</v>
      </c>
      <c r="B1408" s="47" t="s">
        <v>4</v>
      </c>
      <c r="C1408" s="47" t="s">
        <v>7158</v>
      </c>
      <c r="D1408" s="47" t="s">
        <v>7492</v>
      </c>
      <c r="E1408" s="47" t="s">
        <v>7069</v>
      </c>
      <c r="F1408" s="47" t="s">
        <v>7487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#VALUE!</v>
      </c>
      <c r="K1408" s="47"/>
      <c r="L1408" s="47"/>
      <c r="M1408" s="49" t="s">
        <v>1613</v>
      </c>
    </row>
    <row r="1409" spans="1:13" x14ac:dyDescent="0.25">
      <c r="A1409" s="48">
        <f t="shared" si="21"/>
        <v>1408</v>
      </c>
      <c r="B1409" s="47" t="s">
        <v>4</v>
      </c>
      <c r="C1409" s="47" t="s">
        <v>7158</v>
      </c>
      <c r="D1409" s="47" t="s">
        <v>7493</v>
      </c>
      <c r="E1409" s="47" t="s">
        <v>7070</v>
      </c>
      <c r="F1409" s="47" t="s">
        <v>6684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#VALUE!</v>
      </c>
      <c r="K1409" s="47"/>
      <c r="L1409" s="47"/>
      <c r="M1409" s="49" t="s">
        <v>1613</v>
      </c>
    </row>
    <row r="1410" spans="1:13" x14ac:dyDescent="0.25">
      <c r="A1410" s="48">
        <f t="shared" si="21"/>
        <v>1409</v>
      </c>
      <c r="B1410" s="47" t="s">
        <v>4</v>
      </c>
      <c r="C1410" s="47" t="s">
        <v>7158</v>
      </c>
      <c r="D1410" s="47" t="s">
        <v>7494</v>
      </c>
      <c r="E1410" s="47" t="s">
        <v>7071</v>
      </c>
      <c r="F1410" s="47" t="s">
        <v>7493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#VALUE!</v>
      </c>
      <c r="K1410" s="47"/>
      <c r="L1410" s="47"/>
      <c r="M1410" s="49" t="s">
        <v>1613</v>
      </c>
    </row>
    <row r="1411" spans="1:13" x14ac:dyDescent="0.25">
      <c r="A1411" s="48">
        <f t="shared" ref="A1411:A1474" si="22">1+A1410</f>
        <v>1410</v>
      </c>
      <c r="B1411" s="47" t="s">
        <v>4</v>
      </c>
      <c r="C1411" s="47" t="s">
        <v>7158</v>
      </c>
      <c r="D1411" s="47" t="s">
        <v>7495</v>
      </c>
      <c r="E1411" s="47" t="s">
        <v>7072</v>
      </c>
      <c r="F1411" s="47" t="s">
        <v>7493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#VALUE!</v>
      </c>
      <c r="K1411" s="47"/>
      <c r="L1411" s="47"/>
      <c r="M1411" s="49" t="s">
        <v>1613</v>
      </c>
    </row>
    <row r="1412" spans="1:13" x14ac:dyDescent="0.25">
      <c r="A1412" s="48">
        <f t="shared" si="22"/>
        <v>1411</v>
      </c>
      <c r="B1412" s="47" t="s">
        <v>4</v>
      </c>
      <c r="C1412" s="47" t="s">
        <v>7158</v>
      </c>
      <c r="D1412" s="47" t="s">
        <v>7496</v>
      </c>
      <c r="E1412" s="47" t="s">
        <v>7073</v>
      </c>
      <c r="F1412" s="47" t="s">
        <v>7495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#VALUE!</v>
      </c>
      <c r="K1412" s="47"/>
      <c r="L1412" s="47"/>
      <c r="M1412" s="49" t="s">
        <v>1613</v>
      </c>
    </row>
    <row r="1413" spans="1:13" x14ac:dyDescent="0.25">
      <c r="A1413" s="48">
        <f t="shared" si="22"/>
        <v>1412</v>
      </c>
      <c r="B1413" s="47" t="s">
        <v>4</v>
      </c>
      <c r="C1413" s="47" t="s">
        <v>7158</v>
      </c>
      <c r="D1413" s="47" t="s">
        <v>7497</v>
      </c>
      <c r="E1413" s="47" t="s">
        <v>7074</v>
      </c>
      <c r="F1413" s="47" t="s">
        <v>7495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#VALUE!</v>
      </c>
      <c r="K1413" s="47"/>
      <c r="L1413" s="47"/>
      <c r="M1413" s="49" t="s">
        <v>1613</v>
      </c>
    </row>
    <row r="1414" spans="1:13" x14ac:dyDescent="0.25">
      <c r="A1414" s="48">
        <f t="shared" si="22"/>
        <v>1413</v>
      </c>
      <c r="B1414" s="47" t="s">
        <v>4</v>
      </c>
      <c r="C1414" s="47" t="s">
        <v>7158</v>
      </c>
      <c r="D1414" s="47" t="s">
        <v>7498</v>
      </c>
      <c r="E1414" s="47" t="s">
        <v>7075</v>
      </c>
      <c r="F1414" s="47" t="s">
        <v>7493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#VALUE!</v>
      </c>
      <c r="K1414" s="47"/>
      <c r="L1414" s="47"/>
      <c r="M1414" s="49" t="s">
        <v>1613</v>
      </c>
    </row>
    <row r="1415" spans="1:13" x14ac:dyDescent="0.25">
      <c r="A1415" s="48">
        <f t="shared" si="22"/>
        <v>1414</v>
      </c>
      <c r="B1415" s="47" t="s">
        <v>4</v>
      </c>
      <c r="C1415" s="47" t="s">
        <v>7158</v>
      </c>
      <c r="D1415" s="47" t="s">
        <v>7499</v>
      </c>
      <c r="E1415" s="47" t="s">
        <v>7076</v>
      </c>
      <c r="F1415" s="47" t="s">
        <v>7498</v>
      </c>
      <c r="G1415" s="47" t="s">
        <v>14</v>
      </c>
      <c r="H1415" s="47" t="s">
        <v>86</v>
      </c>
      <c r="I1415" s="47" t="s">
        <v>5290</v>
      </c>
      <c r="J1415" s="47" t="e">
        <f>VLOOKUP(Table2[[#This Row], [Author]],People!A:B,2,0)</f>
        <v>#VALUE!</v>
      </c>
      <c r="K1415" s="47"/>
      <c r="L1415" s="47"/>
      <c r="M1415" s="49" t="s">
        <v>1613</v>
      </c>
    </row>
    <row r="1416" spans="1:13" x14ac:dyDescent="0.25">
      <c r="A1416" s="48">
        <f t="shared" si="22"/>
        <v>1415</v>
      </c>
      <c r="B1416" s="47" t="s">
        <v>4</v>
      </c>
      <c r="C1416" s="47" t="s">
        <v>7158</v>
      </c>
      <c r="D1416" s="47" t="s">
        <v>7500</v>
      </c>
      <c r="E1416" s="47" t="s">
        <v>7077</v>
      </c>
      <c r="F1416" s="47" t="s">
        <v>7498</v>
      </c>
      <c r="G1416" s="47" t="s">
        <v>14</v>
      </c>
      <c r="H1416" s="47" t="s">
        <v>86</v>
      </c>
      <c r="I1416" s="47" t="s">
        <v>5290</v>
      </c>
      <c r="J1416" s="47" t="e">
        <f>VLOOKUP(Table2[[#This Row], [Author]],People!A:B,2,0)</f>
        <v>#VALUE!</v>
      </c>
      <c r="K1416" s="47"/>
      <c r="L1416" s="47"/>
      <c r="M1416" s="49" t="s">
        <v>1613</v>
      </c>
    </row>
    <row r="1417" spans="1:13" x14ac:dyDescent="0.25">
      <c r="A1417" s="48">
        <f t="shared" si="22"/>
        <v>1416</v>
      </c>
      <c r="B1417" s="47" t="s">
        <v>4</v>
      </c>
      <c r="C1417" s="47" t="s">
        <v>7158</v>
      </c>
      <c r="D1417" s="47" t="s">
        <v>7501</v>
      </c>
      <c r="E1417" s="47" t="s">
        <v>7078</v>
      </c>
      <c r="F1417" s="47" t="s">
        <v>6683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#VALUE!</v>
      </c>
      <c r="K1417" s="47"/>
      <c r="L1417" s="47"/>
      <c r="M1417" s="49" t="s">
        <v>1613</v>
      </c>
    </row>
    <row r="1418" spans="1:13" x14ac:dyDescent="0.25">
      <c r="A1418" s="48">
        <f t="shared" si="22"/>
        <v>1417</v>
      </c>
      <c r="B1418" s="47" t="s">
        <v>4</v>
      </c>
      <c r="C1418" s="47" t="s">
        <v>7158</v>
      </c>
      <c r="D1418" s="47" t="s">
        <v>7502</v>
      </c>
      <c r="E1418" s="47" t="s">
        <v>7079</v>
      </c>
      <c r="F1418" s="47" t="s">
        <v>7501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#VALUE!</v>
      </c>
      <c r="K1418" s="47"/>
      <c r="L1418" s="47"/>
      <c r="M1418" s="49" t="s">
        <v>1613</v>
      </c>
    </row>
    <row r="1419" spans="1:13" x14ac:dyDescent="0.25">
      <c r="A1419" s="48">
        <f t="shared" si="22"/>
        <v>1418</v>
      </c>
      <c r="B1419" s="47" t="s">
        <v>4</v>
      </c>
      <c r="C1419" s="47" t="s">
        <v>7158</v>
      </c>
      <c r="D1419" s="47" t="s">
        <v>7503</v>
      </c>
      <c r="E1419" s="47" t="s">
        <v>7080</v>
      </c>
      <c r="F1419" s="47" t="s">
        <v>7501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#VALUE!</v>
      </c>
      <c r="K1419" s="47"/>
      <c r="L1419" s="47"/>
      <c r="M1419" s="49" t="s">
        <v>1613</v>
      </c>
    </row>
    <row r="1420" spans="1:13" x14ac:dyDescent="0.25">
      <c r="A1420" s="48">
        <f t="shared" si="22"/>
        <v>1419</v>
      </c>
      <c r="B1420" s="47" t="s">
        <v>4</v>
      </c>
      <c r="C1420" s="47" t="s">
        <v>7158</v>
      </c>
      <c r="D1420" s="47" t="s">
        <v>7504</v>
      </c>
      <c r="E1420" s="47" t="s">
        <v>7081</v>
      </c>
      <c r="F1420" s="47" t="s">
        <v>7501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#VALUE!</v>
      </c>
      <c r="K1420" s="47"/>
      <c r="L1420" s="47"/>
      <c r="M1420" s="49" t="s">
        <v>1613</v>
      </c>
    </row>
    <row r="1421" spans="1:13" x14ac:dyDescent="0.25">
      <c r="A1421" s="48">
        <f t="shared" si="22"/>
        <v>1420</v>
      </c>
      <c r="B1421" s="47" t="s">
        <v>4</v>
      </c>
      <c r="C1421" s="47" t="s">
        <v>7158</v>
      </c>
      <c r="D1421" s="47" t="s">
        <v>7505</v>
      </c>
      <c r="E1421" s="47" t="s">
        <v>7082</v>
      </c>
      <c r="F1421" s="47" t="s">
        <v>7504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#VALUE!</v>
      </c>
      <c r="K1421" s="47"/>
      <c r="L1421" s="47"/>
      <c r="M1421" s="49" t="s">
        <v>1613</v>
      </c>
    </row>
    <row r="1422" spans="1:13" x14ac:dyDescent="0.25">
      <c r="A1422" s="48">
        <f t="shared" si="22"/>
        <v>1421</v>
      </c>
      <c r="B1422" s="47" t="s">
        <v>4</v>
      </c>
      <c r="C1422" s="47" t="s">
        <v>7158</v>
      </c>
      <c r="D1422" s="47" t="s">
        <v>7506</v>
      </c>
      <c r="E1422" s="47" t="s">
        <v>7083</v>
      </c>
      <c r="F1422" s="47" t="s">
        <v>7504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#VALUE!</v>
      </c>
      <c r="K1422" s="47"/>
      <c r="L1422" s="47"/>
      <c r="M1422" s="49" t="s">
        <v>1613</v>
      </c>
    </row>
    <row r="1423" spans="1:13" x14ac:dyDescent="0.25">
      <c r="A1423" s="48">
        <f t="shared" si="22"/>
        <v>1422</v>
      </c>
      <c r="B1423" s="47" t="s">
        <v>4</v>
      </c>
      <c r="C1423" s="47" t="s">
        <v>7158</v>
      </c>
      <c r="D1423" s="47" t="s">
        <v>7507</v>
      </c>
      <c r="E1423" s="47" t="s">
        <v>7084</v>
      </c>
      <c r="F1423" s="47" t="s">
        <v>7501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#VALUE!</v>
      </c>
      <c r="K1423" s="47"/>
      <c r="L1423" s="47"/>
      <c r="M1423" s="49" t="s">
        <v>1613</v>
      </c>
    </row>
    <row r="1424" spans="1:13" x14ac:dyDescent="0.25">
      <c r="A1424" s="48">
        <f t="shared" si="22"/>
        <v>1423</v>
      </c>
      <c r="B1424" s="47" t="s">
        <v>4</v>
      </c>
      <c r="C1424" s="47" t="s">
        <v>7158</v>
      </c>
      <c r="D1424" s="47" t="s">
        <v>7508</v>
      </c>
      <c r="E1424" s="47" t="s">
        <v>7085</v>
      </c>
      <c r="F1424" s="47" t="s">
        <v>7507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#VALUE!</v>
      </c>
      <c r="K1424" s="47"/>
      <c r="L1424" s="47"/>
      <c r="M1424" s="49" t="s">
        <v>1613</v>
      </c>
    </row>
    <row r="1425" spans="1:13" x14ac:dyDescent="0.25">
      <c r="A1425" s="48">
        <f t="shared" si="22"/>
        <v>1424</v>
      </c>
      <c r="B1425" s="47" t="s">
        <v>4</v>
      </c>
      <c r="C1425" s="47" t="s">
        <v>7158</v>
      </c>
      <c r="D1425" s="47" t="s">
        <v>7509</v>
      </c>
      <c r="E1425" s="47" t="s">
        <v>7086</v>
      </c>
      <c r="F1425" s="47" t="s">
        <v>7507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#VALUE!</v>
      </c>
      <c r="K1425" s="47"/>
      <c r="L1425" s="47"/>
      <c r="M1425" s="49" t="s">
        <v>1613</v>
      </c>
    </row>
    <row r="1426" spans="1:13" x14ac:dyDescent="0.25">
      <c r="A1426" s="48">
        <f t="shared" si="22"/>
        <v>1425</v>
      </c>
      <c r="B1426" s="47" t="s">
        <v>4</v>
      </c>
      <c r="C1426" s="47" t="s">
        <v>7158</v>
      </c>
      <c r="D1426" s="47" t="s">
        <v>7510</v>
      </c>
      <c r="E1426" s="47" t="s">
        <v>7087</v>
      </c>
      <c r="F1426" s="47" t="s">
        <v>7507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#VALUE!</v>
      </c>
      <c r="K1426" s="47"/>
      <c r="L1426" s="47"/>
      <c r="M1426" s="49" t="s">
        <v>1613</v>
      </c>
    </row>
    <row r="1427" spans="1:13" x14ac:dyDescent="0.25">
      <c r="A1427" s="48">
        <f t="shared" si="22"/>
        <v>1426</v>
      </c>
      <c r="B1427" s="47" t="s">
        <v>4</v>
      </c>
      <c r="C1427" s="47" t="s">
        <v>7158</v>
      </c>
      <c r="D1427" s="47" t="s">
        <v>7511</v>
      </c>
      <c r="E1427" s="47" t="s">
        <v>7088</v>
      </c>
      <c r="F1427" s="47" t="s">
        <v>7507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#VALUE!</v>
      </c>
      <c r="K1427" s="47"/>
      <c r="L1427" s="47"/>
      <c r="M1427" s="49" t="s">
        <v>1613</v>
      </c>
    </row>
    <row r="1428" spans="1:13" x14ac:dyDescent="0.25">
      <c r="A1428" s="48">
        <f t="shared" si="22"/>
        <v>1427</v>
      </c>
      <c r="B1428" s="47" t="s">
        <v>4</v>
      </c>
      <c r="C1428" s="47" t="s">
        <v>7158</v>
      </c>
      <c r="D1428" s="47" t="s">
        <v>7512</v>
      </c>
      <c r="E1428" s="47" t="s">
        <v>7089</v>
      </c>
      <c r="F1428" s="47" t="s">
        <v>7507</v>
      </c>
      <c r="G1428" s="47" t="s">
        <v>14</v>
      </c>
      <c r="H1428" s="47" t="s">
        <v>86</v>
      </c>
      <c r="I1428" s="47" t="s">
        <v>5290</v>
      </c>
      <c r="J1428" s="47" t="e">
        <f>VLOOKUP(Table2[[#This Row], [Author]],People!A:B,2,0)</f>
        <v>#VALUE!</v>
      </c>
      <c r="K1428" s="47"/>
      <c r="L1428" s="47"/>
      <c r="M1428" s="49" t="s">
        <v>1613</v>
      </c>
    </row>
    <row r="1429" spans="1:13" x14ac:dyDescent="0.25">
      <c r="A1429" s="48">
        <f t="shared" si="22"/>
        <v>1428</v>
      </c>
      <c r="B1429" s="47" t="s">
        <v>4</v>
      </c>
      <c r="C1429" s="47" t="s">
        <v>7158</v>
      </c>
      <c r="D1429" s="47" t="s">
        <v>7513</v>
      </c>
      <c r="E1429" s="47" t="s">
        <v>7090</v>
      </c>
      <c r="F1429" s="47" t="s">
        <v>6684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#VALUE!</v>
      </c>
      <c r="K1429" s="47"/>
      <c r="L1429" s="47"/>
      <c r="M1429" s="49" t="s">
        <v>1613</v>
      </c>
    </row>
    <row r="1430" spans="1:13" x14ac:dyDescent="0.25">
      <c r="A1430" s="48">
        <f t="shared" si="22"/>
        <v>1429</v>
      </c>
      <c r="B1430" s="47" t="s">
        <v>4</v>
      </c>
      <c r="C1430" s="47" t="s">
        <v>7158</v>
      </c>
      <c r="D1430" s="47" t="s">
        <v>7514</v>
      </c>
      <c r="E1430" s="47" t="s">
        <v>7091</v>
      </c>
      <c r="F1430" s="47" t="s">
        <v>7513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#VALUE!</v>
      </c>
      <c r="K1430" s="47"/>
      <c r="L1430" s="47"/>
      <c r="M1430" s="49" t="s">
        <v>1613</v>
      </c>
    </row>
    <row r="1431" spans="1:13" x14ac:dyDescent="0.25">
      <c r="A1431" s="48">
        <f t="shared" si="22"/>
        <v>1430</v>
      </c>
      <c r="B1431" s="47" t="s">
        <v>4</v>
      </c>
      <c r="C1431" s="47" t="s">
        <v>7158</v>
      </c>
      <c r="D1431" s="47" t="s">
        <v>7515</v>
      </c>
      <c r="E1431" s="47" t="s">
        <v>7092</v>
      </c>
      <c r="F1431" s="47" t="s">
        <v>7513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#VALUE!</v>
      </c>
      <c r="K1431" s="47"/>
      <c r="L1431" s="47"/>
      <c r="M1431" s="49" t="s">
        <v>1613</v>
      </c>
    </row>
    <row r="1432" spans="1:13" x14ac:dyDescent="0.25">
      <c r="A1432" s="48">
        <f t="shared" si="22"/>
        <v>1431</v>
      </c>
      <c r="B1432" s="47" t="s">
        <v>4</v>
      </c>
      <c r="C1432" s="47" t="s">
        <v>7158</v>
      </c>
      <c r="D1432" s="47" t="s">
        <v>7516</v>
      </c>
      <c r="E1432" s="47" t="s">
        <v>7093</v>
      </c>
      <c r="F1432" s="47" t="s">
        <v>7515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#VALUE!</v>
      </c>
      <c r="K1432" s="47"/>
      <c r="L1432" s="47"/>
      <c r="M1432" s="49" t="s">
        <v>1613</v>
      </c>
    </row>
    <row r="1433" spans="1:13" x14ac:dyDescent="0.25">
      <c r="A1433" s="48">
        <f t="shared" si="22"/>
        <v>1432</v>
      </c>
      <c r="B1433" s="47" t="s">
        <v>4</v>
      </c>
      <c r="C1433" s="47" t="s">
        <v>7158</v>
      </c>
      <c r="D1433" s="47" t="s">
        <v>7517</v>
      </c>
      <c r="E1433" s="47" t="s">
        <v>7094</v>
      </c>
      <c r="F1433" s="47" t="s">
        <v>7515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#VALUE!</v>
      </c>
      <c r="K1433" s="47"/>
      <c r="L1433" s="47"/>
      <c r="M1433" s="49" t="s">
        <v>1613</v>
      </c>
    </row>
    <row r="1434" spans="1:13" x14ac:dyDescent="0.25">
      <c r="A1434" s="48">
        <f t="shared" si="22"/>
        <v>1433</v>
      </c>
      <c r="B1434" s="47" t="s">
        <v>4</v>
      </c>
      <c r="C1434" s="47" t="s">
        <v>7158</v>
      </c>
      <c r="D1434" s="47" t="s">
        <v>7518</v>
      </c>
      <c r="E1434" s="47" t="s">
        <v>7095</v>
      </c>
      <c r="F1434" s="47" t="s">
        <v>7513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#VALUE!</v>
      </c>
      <c r="K1434" s="47"/>
      <c r="L1434" s="47"/>
      <c r="M1434" s="49" t="s">
        <v>1613</v>
      </c>
    </row>
    <row r="1435" spans="1:13" x14ac:dyDescent="0.25">
      <c r="A1435" s="48">
        <f t="shared" si="22"/>
        <v>1434</v>
      </c>
      <c r="B1435" s="47" t="s">
        <v>4</v>
      </c>
      <c r="C1435" s="47" t="s">
        <v>7158</v>
      </c>
      <c r="D1435" s="47" t="s">
        <v>7519</v>
      </c>
      <c r="E1435" s="47" t="s">
        <v>7096</v>
      </c>
      <c r="F1435" s="47" t="s">
        <v>7518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#VALUE!</v>
      </c>
      <c r="K1435" s="47"/>
      <c r="L1435" s="47"/>
      <c r="M1435" s="49" t="s">
        <v>1613</v>
      </c>
    </row>
    <row r="1436" spans="1:13" x14ac:dyDescent="0.25">
      <c r="A1436" s="48">
        <f t="shared" si="22"/>
        <v>1435</v>
      </c>
      <c r="B1436" s="47" t="s">
        <v>4</v>
      </c>
      <c r="C1436" s="47" t="s">
        <v>7158</v>
      </c>
      <c r="D1436" s="47" t="s">
        <v>7520</v>
      </c>
      <c r="E1436" s="47" t="s">
        <v>7097</v>
      </c>
      <c r="F1436" s="47" t="s">
        <v>7518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#VALUE!</v>
      </c>
      <c r="K1436" s="47"/>
      <c r="L1436" s="47"/>
      <c r="M1436" s="49" t="s">
        <v>1613</v>
      </c>
    </row>
    <row r="1437" spans="1:13" x14ac:dyDescent="0.25">
      <c r="A1437" s="48">
        <f t="shared" si="22"/>
        <v>1436</v>
      </c>
      <c r="B1437" s="47" t="s">
        <v>4</v>
      </c>
      <c r="C1437" s="47" t="s">
        <v>7158</v>
      </c>
      <c r="D1437" s="47" t="s">
        <v>7521</v>
      </c>
      <c r="E1437" s="47" t="s">
        <v>7098</v>
      </c>
      <c r="F1437" s="47" t="s">
        <v>6683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#VALUE!</v>
      </c>
      <c r="K1437" s="47"/>
      <c r="L1437" s="47"/>
      <c r="M1437" s="49" t="s">
        <v>1613</v>
      </c>
    </row>
    <row r="1438" spans="1:13" x14ac:dyDescent="0.25">
      <c r="A1438" s="48">
        <f t="shared" si="22"/>
        <v>1437</v>
      </c>
      <c r="B1438" s="47" t="s">
        <v>4</v>
      </c>
      <c r="C1438" s="47" t="s">
        <v>7158</v>
      </c>
      <c r="D1438" s="47" t="s">
        <v>7522</v>
      </c>
      <c r="E1438" s="47" t="s">
        <v>7099</v>
      </c>
      <c r="F1438" s="47" t="s">
        <v>7521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#VALUE!</v>
      </c>
      <c r="K1438" s="47"/>
      <c r="L1438" s="47"/>
      <c r="M1438" s="49" t="s">
        <v>1613</v>
      </c>
    </row>
    <row r="1439" spans="1:13" x14ac:dyDescent="0.25">
      <c r="A1439" s="48">
        <f t="shared" si="22"/>
        <v>1438</v>
      </c>
      <c r="B1439" s="47" t="s">
        <v>4</v>
      </c>
      <c r="C1439" s="47" t="s">
        <v>7158</v>
      </c>
      <c r="D1439" s="47" t="s">
        <v>7523</v>
      </c>
      <c r="E1439" s="47" t="s">
        <v>7100</v>
      </c>
      <c r="F1439" s="47" t="s">
        <v>7521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#VALUE!</v>
      </c>
      <c r="K1439" s="47"/>
      <c r="L1439" s="47"/>
      <c r="M1439" s="49" t="s">
        <v>1613</v>
      </c>
    </row>
    <row r="1440" spans="1:13" x14ac:dyDescent="0.25">
      <c r="A1440" s="48">
        <f t="shared" si="22"/>
        <v>1439</v>
      </c>
      <c r="B1440" s="47" t="s">
        <v>4</v>
      </c>
      <c r="C1440" s="47" t="s">
        <v>7158</v>
      </c>
      <c r="D1440" s="47" t="s">
        <v>7524</v>
      </c>
      <c r="E1440" s="47" t="s">
        <v>7101</v>
      </c>
      <c r="F1440" s="47" t="s">
        <v>7521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#VALUE!</v>
      </c>
      <c r="K1440" s="47"/>
      <c r="L1440" s="47"/>
      <c r="M1440" s="49" t="s">
        <v>1613</v>
      </c>
    </row>
    <row r="1441" spans="1:13" x14ac:dyDescent="0.25">
      <c r="A1441" s="48">
        <f t="shared" si="22"/>
        <v>1440</v>
      </c>
      <c r="B1441" s="47" t="s">
        <v>4</v>
      </c>
      <c r="C1441" s="47" t="s">
        <v>7158</v>
      </c>
      <c r="D1441" s="47" t="s">
        <v>7525</v>
      </c>
      <c r="E1441" s="47" t="s">
        <v>7102</v>
      </c>
      <c r="F1441" s="47" t="s">
        <v>7524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#VALUE!</v>
      </c>
      <c r="K1441" s="47"/>
      <c r="L1441" s="47"/>
      <c r="M1441" s="49" t="s">
        <v>1613</v>
      </c>
    </row>
    <row r="1442" spans="1:13" x14ac:dyDescent="0.25">
      <c r="A1442" s="48">
        <f t="shared" si="22"/>
        <v>1441</v>
      </c>
      <c r="B1442" s="47" t="s">
        <v>4</v>
      </c>
      <c r="C1442" s="47" t="s">
        <v>7158</v>
      </c>
      <c r="D1442" s="47" t="s">
        <v>7526</v>
      </c>
      <c r="E1442" s="47" t="s">
        <v>7103</v>
      </c>
      <c r="F1442" s="47" t="s">
        <v>7524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#VALUE!</v>
      </c>
      <c r="K1442" s="47"/>
      <c r="L1442" s="47"/>
      <c r="M1442" s="49" t="s">
        <v>1613</v>
      </c>
    </row>
    <row r="1443" spans="1:13" x14ac:dyDescent="0.25">
      <c r="A1443" s="48">
        <f t="shared" si="22"/>
        <v>1442</v>
      </c>
      <c r="B1443" s="47" t="s">
        <v>4</v>
      </c>
      <c r="C1443" s="47" t="s">
        <v>7158</v>
      </c>
      <c r="D1443" s="47" t="s">
        <v>7527</v>
      </c>
      <c r="E1443" s="47" t="s">
        <v>7104</v>
      </c>
      <c r="F1443" s="47" t="s">
        <v>7521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#VALUE!</v>
      </c>
      <c r="K1443" s="47"/>
      <c r="L1443" s="47"/>
      <c r="M1443" s="49" t="s">
        <v>1613</v>
      </c>
    </row>
    <row r="1444" spans="1:13" x14ac:dyDescent="0.25">
      <c r="A1444" s="48">
        <f t="shared" si="22"/>
        <v>1443</v>
      </c>
      <c r="B1444" s="47" t="s">
        <v>4</v>
      </c>
      <c r="C1444" s="47" t="s">
        <v>7158</v>
      </c>
      <c r="D1444" s="47" t="s">
        <v>7528</v>
      </c>
      <c r="E1444" s="47" t="s">
        <v>7105</v>
      </c>
      <c r="F1444" s="47" t="s">
        <v>7527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#VALUE!</v>
      </c>
      <c r="K1444" s="47"/>
      <c r="L1444" s="47"/>
      <c r="M1444" s="49" t="s">
        <v>1613</v>
      </c>
    </row>
    <row r="1445" spans="1:13" x14ac:dyDescent="0.25">
      <c r="A1445" s="48">
        <f t="shared" si="22"/>
        <v>1444</v>
      </c>
      <c r="B1445" s="47" t="s">
        <v>4</v>
      </c>
      <c r="C1445" s="47" t="s">
        <v>7158</v>
      </c>
      <c r="D1445" s="47" t="s">
        <v>7529</v>
      </c>
      <c r="E1445" s="47" t="s">
        <v>7106</v>
      </c>
      <c r="F1445" s="47" t="s">
        <v>7527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#VALUE!</v>
      </c>
      <c r="K1445" s="47"/>
      <c r="L1445" s="47"/>
      <c r="M1445" s="49" t="s">
        <v>1613</v>
      </c>
    </row>
    <row r="1446" spans="1:13" x14ac:dyDescent="0.25">
      <c r="A1446" s="48">
        <f t="shared" si="22"/>
        <v>1445</v>
      </c>
      <c r="B1446" s="47" t="s">
        <v>4</v>
      </c>
      <c r="C1446" s="47" t="s">
        <v>7158</v>
      </c>
      <c r="D1446" s="47" t="s">
        <v>7530</v>
      </c>
      <c r="E1446" s="47" t="s">
        <v>7107</v>
      </c>
      <c r="F1446" s="47" t="s">
        <v>7527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#VALUE!</v>
      </c>
      <c r="K1446" s="47"/>
      <c r="L1446" s="47"/>
      <c r="M1446" s="49" t="s">
        <v>1613</v>
      </c>
    </row>
    <row r="1447" spans="1:13" x14ac:dyDescent="0.25">
      <c r="A1447" s="48">
        <f t="shared" si="22"/>
        <v>1446</v>
      </c>
      <c r="B1447" s="47" t="s">
        <v>4</v>
      </c>
      <c r="C1447" s="47" t="s">
        <v>7158</v>
      </c>
      <c r="D1447" s="47" t="s">
        <v>7531</v>
      </c>
      <c r="E1447" s="47" t="s">
        <v>7108</v>
      </c>
      <c r="F1447" s="47" t="s">
        <v>7527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#VALUE!</v>
      </c>
      <c r="K1447" s="47"/>
      <c r="L1447" s="47"/>
      <c r="M1447" s="49" t="s">
        <v>1613</v>
      </c>
    </row>
    <row r="1448" spans="1:13" x14ac:dyDescent="0.25">
      <c r="A1448" s="48">
        <f t="shared" si="22"/>
        <v>1447</v>
      </c>
      <c r="B1448" s="47" t="s">
        <v>4</v>
      </c>
      <c r="C1448" s="47" t="s">
        <v>7158</v>
      </c>
      <c r="D1448" s="47" t="s">
        <v>7532</v>
      </c>
      <c r="E1448" s="47" t="s">
        <v>7109</v>
      </c>
      <c r="F1448" s="47" t="s">
        <v>7527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#VALUE!</v>
      </c>
      <c r="K1448" s="47"/>
      <c r="L1448" s="47"/>
      <c r="M1448" s="49" t="s">
        <v>1613</v>
      </c>
    </row>
    <row r="1449" spans="1:13" x14ac:dyDescent="0.25">
      <c r="A1449" s="48">
        <f t="shared" si="22"/>
        <v>1448</v>
      </c>
      <c r="B1449" s="47" t="s">
        <v>4</v>
      </c>
      <c r="C1449" s="47" t="s">
        <v>7158</v>
      </c>
      <c r="D1449" s="47" t="s">
        <v>7533</v>
      </c>
      <c r="E1449" s="47" t="s">
        <v>7110</v>
      </c>
      <c r="F1449" s="47" t="s">
        <v>6684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#VALUE!</v>
      </c>
      <c r="K1449" s="47"/>
      <c r="L1449" s="47"/>
      <c r="M1449" s="49" t="s">
        <v>1613</v>
      </c>
    </row>
    <row r="1450" spans="1:13" x14ac:dyDescent="0.25">
      <c r="A1450" s="48">
        <f t="shared" si="22"/>
        <v>1449</v>
      </c>
      <c r="B1450" s="47" t="s">
        <v>4</v>
      </c>
      <c r="C1450" s="47" t="s">
        <v>7158</v>
      </c>
      <c r="D1450" s="47" t="s">
        <v>7534</v>
      </c>
      <c r="E1450" s="47" t="s">
        <v>7111</v>
      </c>
      <c r="F1450" s="47" t="s">
        <v>7533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#VALUE!</v>
      </c>
      <c r="K1450" s="47"/>
      <c r="L1450" s="47"/>
      <c r="M1450" s="49" t="s">
        <v>1613</v>
      </c>
    </row>
    <row r="1451" spans="1:13" x14ac:dyDescent="0.25">
      <c r="A1451" s="48">
        <f t="shared" si="22"/>
        <v>1450</v>
      </c>
      <c r="B1451" s="47" t="s">
        <v>4</v>
      </c>
      <c r="C1451" s="47" t="s">
        <v>7158</v>
      </c>
      <c r="D1451" s="47" t="s">
        <v>7535</v>
      </c>
      <c r="E1451" s="47" t="s">
        <v>7112</v>
      </c>
      <c r="F1451" s="47" t="s">
        <v>7533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#VALUE!</v>
      </c>
      <c r="K1451" s="47"/>
      <c r="L1451" s="47"/>
      <c r="M1451" s="49" t="s">
        <v>1613</v>
      </c>
    </row>
    <row r="1452" spans="1:13" x14ac:dyDescent="0.25">
      <c r="A1452" s="48">
        <f t="shared" si="22"/>
        <v>1451</v>
      </c>
      <c r="B1452" s="47" t="s">
        <v>4</v>
      </c>
      <c r="C1452" s="47" t="s">
        <v>7158</v>
      </c>
      <c r="D1452" s="47" t="s">
        <v>7536</v>
      </c>
      <c r="E1452" s="47" t="s">
        <v>7113</v>
      </c>
      <c r="F1452" s="47" t="s">
        <v>7535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#VALUE!</v>
      </c>
      <c r="K1452" s="47"/>
      <c r="L1452" s="47"/>
      <c r="M1452" s="49" t="s">
        <v>1613</v>
      </c>
    </row>
    <row r="1453" spans="1:13" x14ac:dyDescent="0.25">
      <c r="A1453" s="48">
        <f t="shared" si="22"/>
        <v>1452</v>
      </c>
      <c r="B1453" s="47" t="s">
        <v>4</v>
      </c>
      <c r="C1453" s="47" t="s">
        <v>7158</v>
      </c>
      <c r="D1453" s="47" t="s">
        <v>7537</v>
      </c>
      <c r="E1453" s="47" t="s">
        <v>7114</v>
      </c>
      <c r="F1453" s="47" t="s">
        <v>7535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#VALUE!</v>
      </c>
      <c r="K1453" s="47"/>
      <c r="L1453" s="47"/>
      <c r="M1453" s="49" t="s">
        <v>1613</v>
      </c>
    </row>
    <row r="1454" spans="1:13" x14ac:dyDescent="0.25">
      <c r="A1454" s="48">
        <f t="shared" si="22"/>
        <v>1453</v>
      </c>
      <c r="B1454" s="47" t="s">
        <v>4</v>
      </c>
      <c r="C1454" s="47" t="s">
        <v>7158</v>
      </c>
      <c r="D1454" s="47" t="s">
        <v>7538</v>
      </c>
      <c r="E1454" s="47" t="s">
        <v>7115</v>
      </c>
      <c r="F1454" s="47" t="s">
        <v>7533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#VALUE!</v>
      </c>
      <c r="K1454" s="47"/>
      <c r="L1454" s="47"/>
      <c r="M1454" s="49" t="s">
        <v>1613</v>
      </c>
    </row>
    <row r="1455" spans="1:13" x14ac:dyDescent="0.25">
      <c r="A1455" s="48">
        <f t="shared" si="22"/>
        <v>1454</v>
      </c>
      <c r="B1455" s="47" t="s">
        <v>4</v>
      </c>
      <c r="C1455" s="47" t="s">
        <v>7158</v>
      </c>
      <c r="D1455" s="47" t="s">
        <v>7539</v>
      </c>
      <c r="E1455" s="47" t="s">
        <v>7116</v>
      </c>
      <c r="F1455" s="47" t="s">
        <v>7538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#VALUE!</v>
      </c>
      <c r="K1455" s="47"/>
      <c r="L1455" s="47"/>
      <c r="M1455" s="49" t="s">
        <v>1613</v>
      </c>
    </row>
    <row r="1456" spans="1:13" x14ac:dyDescent="0.25">
      <c r="A1456" s="48">
        <f t="shared" si="22"/>
        <v>1455</v>
      </c>
      <c r="B1456" s="47" t="s">
        <v>4</v>
      </c>
      <c r="C1456" s="47" t="s">
        <v>7158</v>
      </c>
      <c r="D1456" s="47" t="s">
        <v>7540</v>
      </c>
      <c r="E1456" s="47" t="s">
        <v>7117</v>
      </c>
      <c r="F1456" s="47" t="s">
        <v>7538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#VALUE!</v>
      </c>
      <c r="K1456" s="47"/>
      <c r="L1456" s="47"/>
      <c r="M1456" s="49" t="s">
        <v>1613</v>
      </c>
    </row>
    <row r="1457" spans="1:13" x14ac:dyDescent="0.25">
      <c r="A1457" s="48">
        <f t="shared" si="22"/>
        <v>1456</v>
      </c>
      <c r="B1457" s="47" t="s">
        <v>4</v>
      </c>
      <c r="C1457" s="47" t="s">
        <v>7158</v>
      </c>
      <c r="D1457" s="47" t="s">
        <v>7541</v>
      </c>
      <c r="E1457" s="47" t="s">
        <v>7118</v>
      </c>
      <c r="F1457" s="47" t="s">
        <v>6683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#VALUE!</v>
      </c>
      <c r="K1457" s="47"/>
      <c r="L1457" s="47"/>
      <c r="M1457" s="49" t="s">
        <v>1613</v>
      </c>
    </row>
    <row r="1458" spans="1:13" x14ac:dyDescent="0.25">
      <c r="A1458" s="48">
        <f t="shared" si="22"/>
        <v>1457</v>
      </c>
      <c r="B1458" s="47" t="s">
        <v>4</v>
      </c>
      <c r="C1458" s="47" t="s">
        <v>7158</v>
      </c>
      <c r="D1458" s="47" t="s">
        <v>7542</v>
      </c>
      <c r="E1458" s="47" t="s">
        <v>7119</v>
      </c>
      <c r="F1458" s="47" t="s">
        <v>7541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#VALUE!</v>
      </c>
      <c r="K1458" s="47"/>
      <c r="L1458" s="47"/>
      <c r="M1458" s="49" t="s">
        <v>1613</v>
      </c>
    </row>
    <row r="1459" spans="1:13" x14ac:dyDescent="0.25">
      <c r="A1459" s="48">
        <f t="shared" si="22"/>
        <v>1458</v>
      </c>
      <c r="B1459" s="47" t="s">
        <v>4</v>
      </c>
      <c r="C1459" s="47" t="s">
        <v>7158</v>
      </c>
      <c r="D1459" s="47" t="s">
        <v>7543</v>
      </c>
      <c r="E1459" s="47" t="s">
        <v>7120</v>
      </c>
      <c r="F1459" s="47" t="s">
        <v>7541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#VALUE!</v>
      </c>
      <c r="K1459" s="47"/>
      <c r="L1459" s="47"/>
      <c r="M1459" s="49" t="s">
        <v>1613</v>
      </c>
    </row>
    <row r="1460" spans="1:13" x14ac:dyDescent="0.25">
      <c r="A1460" s="48">
        <f t="shared" si="22"/>
        <v>1459</v>
      </c>
      <c r="B1460" s="47" t="s">
        <v>4</v>
      </c>
      <c r="C1460" s="47" t="s">
        <v>7158</v>
      </c>
      <c r="D1460" s="47" t="s">
        <v>7544</v>
      </c>
      <c r="E1460" s="47" t="s">
        <v>7121</v>
      </c>
      <c r="F1460" s="47" t="s">
        <v>7541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#VALUE!</v>
      </c>
      <c r="K1460" s="47"/>
      <c r="L1460" s="47"/>
      <c r="M1460" s="49" t="s">
        <v>1613</v>
      </c>
    </row>
    <row r="1461" spans="1:13" x14ac:dyDescent="0.25">
      <c r="A1461" s="48">
        <f t="shared" si="22"/>
        <v>1460</v>
      </c>
      <c r="B1461" s="47" t="s">
        <v>4</v>
      </c>
      <c r="C1461" s="47" t="s">
        <v>7158</v>
      </c>
      <c r="D1461" s="47" t="s">
        <v>7545</v>
      </c>
      <c r="E1461" s="47" t="s">
        <v>7122</v>
      </c>
      <c r="F1461" s="47" t="s">
        <v>7544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#VALUE!</v>
      </c>
      <c r="K1461" s="47"/>
      <c r="L1461" s="47"/>
      <c r="M1461" s="49" t="s">
        <v>1613</v>
      </c>
    </row>
    <row r="1462" spans="1:13" x14ac:dyDescent="0.25">
      <c r="A1462" s="48">
        <f t="shared" si="22"/>
        <v>1461</v>
      </c>
      <c r="B1462" s="47" t="s">
        <v>4</v>
      </c>
      <c r="C1462" s="47" t="s">
        <v>7158</v>
      </c>
      <c r="D1462" s="47" t="s">
        <v>7546</v>
      </c>
      <c r="E1462" s="47" t="s">
        <v>7123</v>
      </c>
      <c r="F1462" s="47" t="s">
        <v>7544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#VALUE!</v>
      </c>
      <c r="K1462" s="47"/>
      <c r="L1462" s="47"/>
      <c r="M1462" s="49" t="s">
        <v>1613</v>
      </c>
    </row>
    <row r="1463" spans="1:13" x14ac:dyDescent="0.25">
      <c r="A1463" s="48">
        <f t="shared" si="22"/>
        <v>1462</v>
      </c>
      <c r="B1463" s="47" t="s">
        <v>4</v>
      </c>
      <c r="C1463" s="47" t="s">
        <v>7158</v>
      </c>
      <c r="D1463" s="47" t="s">
        <v>7547</v>
      </c>
      <c r="E1463" s="47" t="s">
        <v>7124</v>
      </c>
      <c r="F1463" s="47" t="s">
        <v>7541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#VALUE!</v>
      </c>
      <c r="K1463" s="47"/>
      <c r="L1463" s="47"/>
      <c r="M1463" s="49" t="s">
        <v>1613</v>
      </c>
    </row>
    <row r="1464" spans="1:13" x14ac:dyDescent="0.25">
      <c r="A1464" s="48">
        <f t="shared" si="22"/>
        <v>1463</v>
      </c>
      <c r="B1464" s="47" t="s">
        <v>4</v>
      </c>
      <c r="C1464" s="47" t="s">
        <v>7158</v>
      </c>
      <c r="D1464" s="47" t="s">
        <v>7548</v>
      </c>
      <c r="E1464" s="47" t="s">
        <v>7125</v>
      </c>
      <c r="F1464" s="47" t="s">
        <v>7547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#VALUE!</v>
      </c>
      <c r="K1464" s="47"/>
      <c r="L1464" s="47"/>
      <c r="M1464" s="49" t="s">
        <v>1613</v>
      </c>
    </row>
    <row r="1465" spans="1:13" x14ac:dyDescent="0.25">
      <c r="A1465" s="48">
        <f t="shared" si="22"/>
        <v>1464</v>
      </c>
      <c r="B1465" s="47" t="s">
        <v>4</v>
      </c>
      <c r="C1465" s="47" t="s">
        <v>7158</v>
      </c>
      <c r="D1465" s="47" t="s">
        <v>7549</v>
      </c>
      <c r="E1465" s="47" t="s">
        <v>7126</v>
      </c>
      <c r="F1465" s="47" t="s">
        <v>7547</v>
      </c>
      <c r="G1465" s="47" t="s">
        <v>14</v>
      </c>
      <c r="H1465" s="47" t="s">
        <v>86</v>
      </c>
      <c r="I1465" s="47" t="s">
        <v>5290</v>
      </c>
      <c r="J1465" s="47" t="e">
        <f>VLOOKUP(Table2[[#This Row], [Author]],People!A:B,2,0)</f>
        <v>#VALUE!</v>
      </c>
      <c r="K1465" s="47"/>
      <c r="L1465" s="47"/>
      <c r="M1465" s="49" t="s">
        <v>1613</v>
      </c>
    </row>
    <row r="1466" spans="1:13" x14ac:dyDescent="0.25">
      <c r="A1466" s="48">
        <f t="shared" si="22"/>
        <v>1465</v>
      </c>
      <c r="B1466" s="47" t="s">
        <v>4</v>
      </c>
      <c r="C1466" s="47" t="s">
        <v>7158</v>
      </c>
      <c r="D1466" s="47" t="s">
        <v>7550</v>
      </c>
      <c r="E1466" s="47" t="s">
        <v>7127</v>
      </c>
      <c r="F1466" s="47" t="s">
        <v>7547</v>
      </c>
      <c r="G1466" s="47" t="s">
        <v>14</v>
      </c>
      <c r="H1466" s="47" t="s">
        <v>86</v>
      </c>
      <c r="I1466" s="47" t="s">
        <v>5290</v>
      </c>
      <c r="J1466" s="47" t="e">
        <f>VLOOKUP(Table2[[#This Row], [Author]],People!A:B,2,0)</f>
        <v>#VALUE!</v>
      </c>
      <c r="K1466" s="47"/>
      <c r="L1466" s="47"/>
      <c r="M1466" s="49" t="s">
        <v>1613</v>
      </c>
    </row>
    <row r="1467" spans="1:13" x14ac:dyDescent="0.25">
      <c r="A1467" s="48">
        <f t="shared" si="22"/>
        <v>1466</v>
      </c>
      <c r="B1467" s="47" t="s">
        <v>4</v>
      </c>
      <c r="C1467" s="47" t="s">
        <v>7158</v>
      </c>
      <c r="D1467" s="47" t="s">
        <v>7551</v>
      </c>
      <c r="E1467" s="47" t="s">
        <v>7128</v>
      </c>
      <c r="F1467" s="47" t="s">
        <v>7547</v>
      </c>
      <c r="G1467" s="47" t="s">
        <v>14</v>
      </c>
      <c r="H1467" s="47" t="s">
        <v>86</v>
      </c>
      <c r="I1467" s="47" t="s">
        <v>5290</v>
      </c>
      <c r="J1467" s="47" t="e">
        <f>VLOOKUP(Table2[[#This Row], [Author]],People!A:B,2,0)</f>
        <v>#VALUE!</v>
      </c>
      <c r="K1467" s="47"/>
      <c r="L1467" s="47"/>
      <c r="M1467" s="49" t="s">
        <v>1613</v>
      </c>
    </row>
    <row r="1468" spans="1:13" x14ac:dyDescent="0.25">
      <c r="A1468" s="48">
        <f t="shared" si="22"/>
        <v>1467</v>
      </c>
      <c r="B1468" s="47" t="s">
        <v>4</v>
      </c>
      <c r="C1468" s="47" t="s">
        <v>7158</v>
      </c>
      <c r="D1468" s="47" t="s">
        <v>7552</v>
      </c>
      <c r="E1468" s="47" t="s">
        <v>7129</v>
      </c>
      <c r="F1468" s="47" t="s">
        <v>7547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#VALUE!</v>
      </c>
      <c r="K1468" s="47"/>
      <c r="L1468" s="47"/>
      <c r="M1468" s="49" t="s">
        <v>1613</v>
      </c>
    </row>
    <row r="1469" spans="1:13" x14ac:dyDescent="0.25">
      <c r="A1469" s="48">
        <f t="shared" si="22"/>
        <v>1468</v>
      </c>
      <c r="B1469" s="47" t="s">
        <v>4</v>
      </c>
      <c r="C1469" s="47" t="s">
        <v>7158</v>
      </c>
      <c r="D1469" s="47" t="s">
        <v>7553</v>
      </c>
      <c r="E1469" s="47" t="s">
        <v>7130</v>
      </c>
      <c r="F1469" s="47" t="s">
        <v>6684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#VALUE!</v>
      </c>
      <c r="K1469" s="47"/>
      <c r="L1469" s="47"/>
      <c r="M1469" s="49" t="s">
        <v>1613</v>
      </c>
    </row>
    <row r="1470" spans="1:13" x14ac:dyDescent="0.25">
      <c r="A1470" s="48">
        <f t="shared" si="22"/>
        <v>1469</v>
      </c>
      <c r="B1470" s="47" t="s">
        <v>4</v>
      </c>
      <c r="C1470" s="47" t="s">
        <v>7158</v>
      </c>
      <c r="D1470" s="47" t="s">
        <v>7554</v>
      </c>
      <c r="E1470" s="47" t="s">
        <v>7131</v>
      </c>
      <c r="F1470" s="47" t="s">
        <v>7553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#VALUE!</v>
      </c>
      <c r="K1470" s="47"/>
      <c r="L1470" s="47"/>
      <c r="M1470" s="49" t="s">
        <v>1613</v>
      </c>
    </row>
    <row r="1471" spans="1:13" x14ac:dyDescent="0.25">
      <c r="A1471" s="48">
        <f t="shared" si="22"/>
        <v>1470</v>
      </c>
      <c r="B1471" s="47" t="s">
        <v>4</v>
      </c>
      <c r="C1471" s="47" t="s">
        <v>7158</v>
      </c>
      <c r="D1471" s="47" t="s">
        <v>7555</v>
      </c>
      <c r="E1471" s="47" t="s">
        <v>7132</v>
      </c>
      <c r="F1471" s="47" t="s">
        <v>7553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#VALUE!</v>
      </c>
      <c r="K1471" s="47"/>
      <c r="L1471" s="47"/>
      <c r="M1471" s="49" t="s">
        <v>1613</v>
      </c>
    </row>
    <row r="1472" spans="1:13" x14ac:dyDescent="0.25">
      <c r="A1472" s="48">
        <f t="shared" si="22"/>
        <v>1471</v>
      </c>
      <c r="B1472" s="47" t="s">
        <v>4</v>
      </c>
      <c r="C1472" s="47" t="s">
        <v>7158</v>
      </c>
      <c r="D1472" s="47" t="s">
        <v>7556</v>
      </c>
      <c r="E1472" s="47" t="s">
        <v>7133</v>
      </c>
      <c r="F1472" s="47" t="s">
        <v>7555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#VALUE!</v>
      </c>
      <c r="K1472" s="47"/>
      <c r="L1472" s="47"/>
      <c r="M1472" s="49" t="s">
        <v>1613</v>
      </c>
    </row>
    <row r="1473" spans="1:13" x14ac:dyDescent="0.25">
      <c r="A1473" s="48">
        <f t="shared" si="22"/>
        <v>1472</v>
      </c>
      <c r="B1473" s="47" t="s">
        <v>4</v>
      </c>
      <c r="C1473" s="47" t="s">
        <v>7158</v>
      </c>
      <c r="D1473" s="47" t="s">
        <v>7557</v>
      </c>
      <c r="E1473" s="47" t="s">
        <v>7134</v>
      </c>
      <c r="F1473" s="47" t="s">
        <v>7555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#VALUE!</v>
      </c>
      <c r="K1473" s="47"/>
      <c r="L1473" s="47"/>
      <c r="M1473" s="49" t="s">
        <v>1613</v>
      </c>
    </row>
    <row r="1474" spans="1:13" x14ac:dyDescent="0.25">
      <c r="A1474" s="48">
        <f t="shared" si="22"/>
        <v>1473</v>
      </c>
      <c r="B1474" s="47" t="s">
        <v>4</v>
      </c>
      <c r="C1474" s="47" t="s">
        <v>7158</v>
      </c>
      <c r="D1474" s="47" t="s">
        <v>7558</v>
      </c>
      <c r="E1474" s="47" t="s">
        <v>7135</v>
      </c>
      <c r="F1474" s="47" t="s">
        <v>7553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#VALUE!</v>
      </c>
      <c r="K1474" s="47"/>
      <c r="L1474" s="47"/>
      <c r="M1474" s="49" t="s">
        <v>1613</v>
      </c>
    </row>
    <row r="1475" spans="1:13" x14ac:dyDescent="0.25">
      <c r="A1475" s="48">
        <f t="shared" ref="A1475:A1538" si="23">1+A1474</f>
        <v>1474</v>
      </c>
      <c r="B1475" s="47" t="s">
        <v>4</v>
      </c>
      <c r="C1475" s="47" t="s">
        <v>7158</v>
      </c>
      <c r="D1475" s="47" t="s">
        <v>7559</v>
      </c>
      <c r="E1475" s="47" t="s">
        <v>7136</v>
      </c>
      <c r="F1475" s="47" t="s">
        <v>7558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#VALUE!</v>
      </c>
      <c r="K1475" s="47"/>
      <c r="L1475" s="47"/>
      <c r="M1475" s="49" t="s">
        <v>1613</v>
      </c>
    </row>
    <row r="1476" spans="1:13" x14ac:dyDescent="0.25">
      <c r="A1476" s="48">
        <f t="shared" si="23"/>
        <v>1475</v>
      </c>
      <c r="B1476" s="47" t="s">
        <v>4</v>
      </c>
      <c r="C1476" s="47" t="s">
        <v>7158</v>
      </c>
      <c r="D1476" s="47" t="s">
        <v>7560</v>
      </c>
      <c r="E1476" s="47" t="s">
        <v>7137</v>
      </c>
      <c r="F1476" s="47" t="s">
        <v>7558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#VALUE!</v>
      </c>
      <c r="K1476" s="47"/>
      <c r="L1476" s="47"/>
      <c r="M1476" s="49" t="s">
        <v>1613</v>
      </c>
    </row>
    <row r="1477" spans="1:13" x14ac:dyDescent="0.25">
      <c r="A1477" s="48">
        <f t="shared" si="23"/>
        <v>1476</v>
      </c>
      <c r="B1477" s="47" t="s">
        <v>4</v>
      </c>
      <c r="C1477" s="47" t="s">
        <v>7158</v>
      </c>
      <c r="D1477" s="47" t="s">
        <v>7561</v>
      </c>
      <c r="E1477" s="47" t="s">
        <v>7138</v>
      </c>
      <c r="F1477" s="47" t="s">
        <v>6683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#VALUE!</v>
      </c>
      <c r="K1477" s="47"/>
      <c r="L1477" s="47"/>
      <c r="M1477" s="49" t="s">
        <v>1613</v>
      </c>
    </row>
    <row r="1478" spans="1:13" x14ac:dyDescent="0.25">
      <c r="A1478" s="48">
        <f t="shared" si="23"/>
        <v>1477</v>
      </c>
      <c r="B1478" s="47" t="s">
        <v>4</v>
      </c>
      <c r="C1478" s="47" t="s">
        <v>7158</v>
      </c>
      <c r="D1478" s="47" t="s">
        <v>7562</v>
      </c>
      <c r="E1478" s="47" t="s">
        <v>7139</v>
      </c>
      <c r="F1478" s="47" t="s">
        <v>7561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#VALUE!</v>
      </c>
      <c r="K1478" s="47"/>
      <c r="L1478" s="47"/>
      <c r="M1478" s="49" t="s">
        <v>1613</v>
      </c>
    </row>
    <row r="1479" spans="1:13" x14ac:dyDescent="0.25">
      <c r="A1479" s="48">
        <f t="shared" si="23"/>
        <v>1478</v>
      </c>
      <c r="B1479" s="47" t="s">
        <v>4</v>
      </c>
      <c r="C1479" s="47" t="s">
        <v>7158</v>
      </c>
      <c r="D1479" s="47" t="s">
        <v>7563</v>
      </c>
      <c r="E1479" s="47" t="s">
        <v>7140</v>
      </c>
      <c r="F1479" s="47" t="s">
        <v>7561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#VALUE!</v>
      </c>
      <c r="K1479" s="47"/>
      <c r="L1479" s="47"/>
      <c r="M1479" s="49" t="s">
        <v>1613</v>
      </c>
    </row>
    <row r="1480" spans="1:13" x14ac:dyDescent="0.25">
      <c r="A1480" s="48">
        <f t="shared" si="23"/>
        <v>1479</v>
      </c>
      <c r="B1480" s="47" t="s">
        <v>4</v>
      </c>
      <c r="C1480" s="47" t="s">
        <v>7158</v>
      </c>
      <c r="D1480" s="47" t="s">
        <v>7564</v>
      </c>
      <c r="E1480" s="47" t="s">
        <v>7141</v>
      </c>
      <c r="F1480" s="47" t="s">
        <v>7561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#VALUE!</v>
      </c>
      <c r="K1480" s="47"/>
      <c r="L1480" s="47"/>
      <c r="M1480" s="49" t="s">
        <v>1613</v>
      </c>
    </row>
    <row r="1481" spans="1:13" x14ac:dyDescent="0.25">
      <c r="A1481" s="48">
        <f t="shared" si="23"/>
        <v>1480</v>
      </c>
      <c r="B1481" s="47" t="s">
        <v>4</v>
      </c>
      <c r="C1481" s="47" t="s">
        <v>7158</v>
      </c>
      <c r="D1481" s="47" t="s">
        <v>7565</v>
      </c>
      <c r="E1481" s="47" t="s">
        <v>7142</v>
      </c>
      <c r="F1481" s="47" t="s">
        <v>7564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#VALUE!</v>
      </c>
      <c r="K1481" s="47"/>
      <c r="L1481" s="47"/>
      <c r="M1481" s="49" t="s">
        <v>1613</v>
      </c>
    </row>
    <row r="1482" spans="1:13" x14ac:dyDescent="0.25">
      <c r="A1482" s="48">
        <f t="shared" si="23"/>
        <v>1481</v>
      </c>
      <c r="B1482" s="47" t="s">
        <v>4</v>
      </c>
      <c r="C1482" s="47" t="s">
        <v>7158</v>
      </c>
      <c r="D1482" s="47" t="s">
        <v>7566</v>
      </c>
      <c r="E1482" s="47" t="s">
        <v>7143</v>
      </c>
      <c r="F1482" s="47" t="s">
        <v>7564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#VALUE!</v>
      </c>
      <c r="K1482" s="47"/>
      <c r="L1482" s="47"/>
      <c r="M1482" s="49" t="s">
        <v>1613</v>
      </c>
    </row>
    <row r="1483" spans="1:13" x14ac:dyDescent="0.25">
      <c r="A1483" s="48">
        <f t="shared" si="23"/>
        <v>1482</v>
      </c>
      <c r="B1483" s="47" t="s">
        <v>4</v>
      </c>
      <c r="C1483" s="47" t="s">
        <v>7158</v>
      </c>
      <c r="D1483" s="47" t="s">
        <v>7567</v>
      </c>
      <c r="E1483" s="47" t="s">
        <v>7144</v>
      </c>
      <c r="F1483" s="47" t="s">
        <v>7561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#VALUE!</v>
      </c>
      <c r="K1483" s="47"/>
      <c r="L1483" s="47"/>
      <c r="M1483" s="49" t="s">
        <v>1613</v>
      </c>
    </row>
    <row r="1484" spans="1:13" x14ac:dyDescent="0.25">
      <c r="A1484" s="48">
        <f t="shared" si="23"/>
        <v>1483</v>
      </c>
      <c r="B1484" s="47" t="s">
        <v>4</v>
      </c>
      <c r="C1484" s="47" t="s">
        <v>7158</v>
      </c>
      <c r="D1484" s="47" t="s">
        <v>7568</v>
      </c>
      <c r="E1484" s="47" t="s">
        <v>7145</v>
      </c>
      <c r="F1484" s="47" t="s">
        <v>7567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#VALUE!</v>
      </c>
      <c r="K1484" s="47"/>
      <c r="L1484" s="47"/>
      <c r="M1484" s="49" t="s">
        <v>1613</v>
      </c>
    </row>
    <row r="1485" spans="1:13" x14ac:dyDescent="0.25">
      <c r="A1485" s="48">
        <f t="shared" si="23"/>
        <v>1484</v>
      </c>
      <c r="B1485" s="47" t="s">
        <v>4</v>
      </c>
      <c r="C1485" s="47" t="s">
        <v>7158</v>
      </c>
      <c r="D1485" s="47" t="s">
        <v>7569</v>
      </c>
      <c r="E1485" s="47" t="s">
        <v>7146</v>
      </c>
      <c r="F1485" s="47" t="s">
        <v>7567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#VALUE!</v>
      </c>
      <c r="K1485" s="47"/>
      <c r="L1485" s="47"/>
      <c r="M1485" s="49" t="s">
        <v>1613</v>
      </c>
    </row>
    <row r="1486" spans="1:13" x14ac:dyDescent="0.25">
      <c r="A1486" s="48">
        <f t="shared" si="23"/>
        <v>1485</v>
      </c>
      <c r="B1486" s="47" t="s">
        <v>4</v>
      </c>
      <c r="C1486" s="47" t="s">
        <v>7158</v>
      </c>
      <c r="D1486" s="47" t="s">
        <v>7570</v>
      </c>
      <c r="E1486" s="47" t="s">
        <v>7147</v>
      </c>
      <c r="F1486" s="47" t="s">
        <v>7567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#VALUE!</v>
      </c>
      <c r="K1486" s="47"/>
      <c r="L1486" s="47"/>
      <c r="M1486" s="49" t="s">
        <v>1613</v>
      </c>
    </row>
    <row r="1487" spans="1:13" x14ac:dyDescent="0.25">
      <c r="A1487" s="48">
        <f t="shared" si="23"/>
        <v>1486</v>
      </c>
      <c r="B1487" s="47" t="s">
        <v>4</v>
      </c>
      <c r="C1487" s="47" t="s">
        <v>7158</v>
      </c>
      <c r="D1487" s="47" t="s">
        <v>7571</v>
      </c>
      <c r="E1487" s="47" t="s">
        <v>7148</v>
      </c>
      <c r="F1487" s="47" t="s">
        <v>7567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#VALUE!</v>
      </c>
      <c r="K1487" s="47"/>
      <c r="L1487" s="47"/>
      <c r="M1487" s="49" t="s">
        <v>1613</v>
      </c>
    </row>
    <row r="1488" spans="1:13" x14ac:dyDescent="0.25">
      <c r="A1488" s="48">
        <f t="shared" si="23"/>
        <v>1487</v>
      </c>
      <c r="B1488" s="47" t="s">
        <v>4</v>
      </c>
      <c r="C1488" s="47" t="s">
        <v>7158</v>
      </c>
      <c r="D1488" s="47" t="s">
        <v>7572</v>
      </c>
      <c r="E1488" s="47" t="s">
        <v>7149</v>
      </c>
      <c r="F1488" s="47" t="s">
        <v>7567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#VALUE!</v>
      </c>
      <c r="K1488" s="47"/>
      <c r="L1488" s="47"/>
      <c r="M1488" s="49" t="s">
        <v>1613</v>
      </c>
    </row>
    <row r="1489" spans="1:13" x14ac:dyDescent="0.25">
      <c r="A1489" s="48">
        <f t="shared" si="23"/>
        <v>1488</v>
      </c>
      <c r="B1489" s="47" t="s">
        <v>4</v>
      </c>
      <c r="C1489" s="47" t="s">
        <v>7158</v>
      </c>
      <c r="D1489" s="47" t="s">
        <v>7573</v>
      </c>
      <c r="E1489" s="47" t="s">
        <v>7150</v>
      </c>
      <c r="F1489" s="47" t="s">
        <v>6684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#VALUE!</v>
      </c>
      <c r="K1489" s="47"/>
      <c r="L1489" s="47"/>
      <c r="M1489" s="49" t="s">
        <v>1613</v>
      </c>
    </row>
    <row r="1490" spans="1:13" x14ac:dyDescent="0.25">
      <c r="A1490" s="48">
        <f t="shared" si="23"/>
        <v>1489</v>
      </c>
      <c r="B1490" s="47" t="s">
        <v>4</v>
      </c>
      <c r="C1490" s="47" t="s">
        <v>7158</v>
      </c>
      <c r="D1490" s="47" t="s">
        <v>7574</v>
      </c>
      <c r="E1490" s="47" t="s">
        <v>7151</v>
      </c>
      <c r="F1490" s="47" t="s">
        <v>7573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#VALUE!</v>
      </c>
      <c r="K1490" s="47"/>
      <c r="L1490" s="47"/>
      <c r="M1490" s="49" t="s">
        <v>1613</v>
      </c>
    </row>
    <row r="1491" spans="1:13" x14ac:dyDescent="0.25">
      <c r="A1491" s="48">
        <f t="shared" si="23"/>
        <v>1490</v>
      </c>
      <c r="B1491" s="47" t="s">
        <v>4</v>
      </c>
      <c r="C1491" s="47" t="s">
        <v>7158</v>
      </c>
      <c r="D1491" s="47" t="s">
        <v>7575</v>
      </c>
      <c r="E1491" s="47" t="s">
        <v>7152</v>
      </c>
      <c r="F1491" s="47" t="s">
        <v>7573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#VALUE!</v>
      </c>
      <c r="K1491" s="47"/>
      <c r="L1491" s="47"/>
      <c r="M1491" s="49" t="s">
        <v>1613</v>
      </c>
    </row>
    <row r="1492" spans="1:13" x14ac:dyDescent="0.25">
      <c r="A1492" s="48">
        <f t="shared" si="23"/>
        <v>1491</v>
      </c>
      <c r="B1492" s="47" t="s">
        <v>4</v>
      </c>
      <c r="C1492" s="47" t="s">
        <v>7158</v>
      </c>
      <c r="D1492" s="47" t="s">
        <v>7576</v>
      </c>
      <c r="E1492" s="47" t="s">
        <v>7153</v>
      </c>
      <c r="F1492" s="47" t="s">
        <v>7575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#VALUE!</v>
      </c>
      <c r="K1492" s="47"/>
      <c r="L1492" s="47"/>
      <c r="M1492" s="49" t="s">
        <v>1613</v>
      </c>
    </row>
    <row r="1493" spans="1:13" x14ac:dyDescent="0.25">
      <c r="A1493" s="48">
        <f t="shared" si="23"/>
        <v>1492</v>
      </c>
      <c r="B1493" s="47" t="s">
        <v>4</v>
      </c>
      <c r="C1493" s="47" t="s">
        <v>7158</v>
      </c>
      <c r="D1493" s="47" t="s">
        <v>7577</v>
      </c>
      <c r="E1493" s="47" t="s">
        <v>7154</v>
      </c>
      <c r="F1493" s="47" t="s">
        <v>7575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#VALUE!</v>
      </c>
      <c r="K1493" s="47"/>
      <c r="L1493" s="47"/>
      <c r="M1493" s="49" t="s">
        <v>1613</v>
      </c>
    </row>
    <row r="1494" spans="1:13" x14ac:dyDescent="0.25">
      <c r="A1494" s="48">
        <f t="shared" si="23"/>
        <v>1493</v>
      </c>
      <c r="B1494" s="47" t="s">
        <v>4</v>
      </c>
      <c r="C1494" s="47" t="s">
        <v>7158</v>
      </c>
      <c r="D1494" s="47" t="s">
        <v>7578</v>
      </c>
      <c r="E1494" s="47" t="s">
        <v>7155</v>
      </c>
      <c r="F1494" s="47" t="s">
        <v>7573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#VALUE!</v>
      </c>
      <c r="K1494" s="47"/>
      <c r="L1494" s="47"/>
      <c r="M1494" s="49" t="s">
        <v>1613</v>
      </c>
    </row>
    <row r="1495" spans="1:13" x14ac:dyDescent="0.25">
      <c r="A1495" s="48">
        <f t="shared" si="23"/>
        <v>1494</v>
      </c>
      <c r="B1495" s="47" t="s">
        <v>4</v>
      </c>
      <c r="C1495" s="47" t="s">
        <v>7158</v>
      </c>
      <c r="D1495" s="47" t="s">
        <v>7579</v>
      </c>
      <c r="E1495" s="47" t="s">
        <v>7156</v>
      </c>
      <c r="F1495" s="47" t="s">
        <v>7578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#VALUE!</v>
      </c>
      <c r="K1495" s="47"/>
      <c r="L1495" s="47"/>
      <c r="M1495" s="49" t="s">
        <v>1613</v>
      </c>
    </row>
    <row r="1496" spans="1:13" x14ac:dyDescent="0.25">
      <c r="A1496" s="48">
        <f t="shared" si="23"/>
        <v>1495</v>
      </c>
      <c r="B1496" s="47" t="s">
        <v>4</v>
      </c>
      <c r="C1496" s="47" t="s">
        <v>7158</v>
      </c>
      <c r="D1496" s="47" t="s">
        <v>7580</v>
      </c>
      <c r="E1496" s="47" t="s">
        <v>7157</v>
      </c>
      <c r="F1496" s="47" t="s">
        <v>7578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#VALUE!</v>
      </c>
      <c r="K1496" s="47"/>
      <c r="L1496" s="47"/>
      <c r="M1496" s="49" t="s">
        <v>1613</v>
      </c>
    </row>
    <row r="1497" spans="1:13" x14ac:dyDescent="0.25">
      <c r="A1497" s="48">
        <f t="shared" si="23"/>
        <v>1496</v>
      </c>
      <c r="B1497" s="47" t="s">
        <v>4</v>
      </c>
      <c r="C1497" s="47" t="s">
        <v>7160</v>
      </c>
      <c r="D1497" s="47" t="s">
        <v>7159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#VALUE!</v>
      </c>
      <c r="K1497" s="47"/>
      <c r="L1497" s="47"/>
      <c r="M1497" s="49" t="s">
        <v>4782</v>
      </c>
    </row>
    <row r="1498" spans="1:13" x14ac:dyDescent="0.25">
      <c r="A1498" s="48">
        <f t="shared" si="23"/>
        <v>1497</v>
      </c>
      <c r="B1498" s="47" t="s">
        <v>4</v>
      </c>
      <c r="C1498" s="47" t="s">
        <v>7582</v>
      </c>
      <c r="D1498" s="47" t="s">
        <v>7581</v>
      </c>
      <c r="E1498" s="64" t="s">
        <v>7583</v>
      </c>
      <c r="F1498" s="47" t="s">
        <v>7584</v>
      </c>
      <c r="G1498" s="47" t="s">
        <v>14</v>
      </c>
      <c r="H1498" s="47" t="str">
        <f>IFERROR(VLOOKUP(Table2[[#This Row], [Ticket]],Okey!A:B,2,0),"")</f>
        <v/>
      </c>
      <c r="I1498" s="47" t="s">
        <v>5290</v>
      </c>
      <c r="J1498" s="47" t="e">
        <f>VLOOKUP(Table2[[#This Row], [Author]],People!A:B,2,0)</f>
        <v>#VALUE!</v>
      </c>
      <c r="K1498" s="47"/>
      <c r="L1498" s="47"/>
      <c r="M1498" s="49" t="s">
        <v>1613</v>
      </c>
    </row>
    <row r="1499" spans="1:13" x14ac:dyDescent="0.25">
      <c r="A1499" s="48">
        <f t="shared" si="23"/>
        <v>1498</v>
      </c>
      <c r="B1499" s="47" t="s">
        <v>4</v>
      </c>
      <c r="C1499" s="47" t="s">
        <v>7582</v>
      </c>
      <c r="D1499" s="47" t="s">
        <v>7585</v>
      </c>
      <c r="E1499" s="47"/>
      <c r="F1499" s="47" t="s">
        <v>7581</v>
      </c>
      <c r="G1499" s="47" t="s">
        <v>13</v>
      </c>
      <c r="H1499" s="47" t="str">
        <f>IFERROR(VLOOKUP(Table2[[#This Row], [Ticket]],Okey!A:B,2,0),"")</f>
        <v/>
      </c>
      <c r="I1499" s="47" t="s">
        <v>5290</v>
      </c>
      <c r="J1499" s="47" t="e">
        <f>VLOOKUP(Table2[[#This Row], [Author]],People!A:B,2,0)</f>
        <v>#VALUE!</v>
      </c>
      <c r="K1499" s="47"/>
      <c r="L1499" s="47"/>
      <c r="M1499" s="49" t="s">
        <v>1613</v>
      </c>
    </row>
    <row r="1500" spans="1:13" x14ac:dyDescent="0.25">
      <c r="A1500" s="48">
        <f t="shared" si="23"/>
        <v>1499</v>
      </c>
      <c r="B1500" s="47" t="s">
        <v>4</v>
      </c>
      <c r="C1500" s="47" t="s">
        <v>7582</v>
      </c>
      <c r="D1500" s="47" t="s">
        <v>7586</v>
      </c>
      <c r="E1500" s="47"/>
      <c r="F1500" s="47" t="s">
        <v>7581</v>
      </c>
      <c r="G1500" s="47" t="s">
        <v>13</v>
      </c>
      <c r="H1500" s="47" t="str">
        <f>IFERROR(VLOOKUP(Table2[[#This Row], [Ticket]],Okey!A:B,2,0),"")</f>
        <v/>
      </c>
      <c r="I1500" s="47" t="s">
        <v>5290</v>
      </c>
      <c r="J1500" s="47" t="e">
        <f>VLOOKUP(Table2[[#This Row], [Author]],People!A:B,2,0)</f>
        <v>#VALUE!</v>
      </c>
      <c r="K1500" s="47"/>
      <c r="L1500" s="47"/>
      <c r="M1500" s="49" t="s">
        <v>1613</v>
      </c>
    </row>
    <row r="1501" spans="1:13" x14ac:dyDescent="0.25">
      <c r="A1501" s="48">
        <f t="shared" si="23"/>
        <v>1500</v>
      </c>
      <c r="B1501" s="47" t="s">
        <v>4</v>
      </c>
      <c r="C1501" s="47" t="s">
        <v>7587</v>
      </c>
      <c r="D1501" s="47" t="s">
        <v>7598</v>
      </c>
      <c r="E1501" s="47" t="s">
        <v>7588</v>
      </c>
      <c r="F1501" s="47" t="s">
        <v>7608</v>
      </c>
      <c r="G1501" s="47" t="s">
        <v>14</v>
      </c>
      <c r="H1501" s="47" t="str">
        <f>IFERROR(VLOOKUP(Table2[[#This Row], [Ticket]],Okey!A:B,2,0),"")</f>
        <v/>
      </c>
      <c r="I1501" s="47" t="s">
        <v>5290</v>
      </c>
      <c r="J1501" s="47" t="e">
        <f>VLOOKUP(Table2[[#This Row], [Author]],People!A:B,2,0)</f>
        <v>#VALUE!</v>
      </c>
      <c r="K1501" s="47"/>
      <c r="L1501" s="47"/>
      <c r="M1501" s="49" t="s">
        <v>4787</v>
      </c>
    </row>
    <row r="1502" spans="1:13" x14ac:dyDescent="0.25">
      <c r="A1502" s="48">
        <f t="shared" si="23"/>
        <v>1501</v>
      </c>
      <c r="B1502" s="47" t="s">
        <v>4</v>
      </c>
      <c r="C1502" s="47" t="s">
        <v>7587</v>
      </c>
      <c r="D1502" s="47" t="s">
        <v>7599</v>
      </c>
      <c r="E1502" s="47" t="s">
        <v>7589</v>
      </c>
      <c r="F1502" s="47" t="s">
        <v>7609</v>
      </c>
      <c r="G1502" s="47" t="s">
        <v>14</v>
      </c>
      <c r="H1502" s="47" t="str">
        <f>IFERROR(VLOOKUP(Table2[[#This Row], [Ticket]],Okey!A:B,2,0),"")</f>
        <v/>
      </c>
      <c r="I1502" s="47" t="s">
        <v>5290</v>
      </c>
      <c r="J1502" s="47" t="e">
        <f>VLOOKUP(Table2[[#This Row], [Author]],People!A:B,2,0)</f>
        <v>#VALUE!</v>
      </c>
      <c r="K1502" s="47"/>
      <c r="L1502" s="47"/>
      <c r="M1502" s="49" t="s">
        <v>4787</v>
      </c>
    </row>
    <row r="1503" spans="1:13" x14ac:dyDescent="0.25">
      <c r="A1503" s="48">
        <f t="shared" si="23"/>
        <v>1502</v>
      </c>
      <c r="B1503" s="47" t="s">
        <v>4</v>
      </c>
      <c r="C1503" s="47" t="s">
        <v>7587</v>
      </c>
      <c r="D1503" s="47" t="s">
        <v>7600</v>
      </c>
      <c r="E1503" s="47" t="s">
        <v>7590</v>
      </c>
      <c r="F1503" s="47" t="s">
        <v>7610</v>
      </c>
      <c r="G1503" s="47" t="s">
        <v>14</v>
      </c>
      <c r="H1503" s="47" t="str">
        <f>IFERROR(VLOOKUP(Table2[[#This Row], [Ticket]],Okey!A:B,2,0),"")</f>
        <v/>
      </c>
      <c r="I1503" s="47" t="s">
        <v>5290</v>
      </c>
      <c r="J1503" s="47" t="e">
        <f>VLOOKUP(Table2[[#This Row], [Author]],People!A:B,2,0)</f>
        <v>#VALUE!</v>
      </c>
      <c r="K1503" s="47"/>
      <c r="L1503" s="47"/>
      <c r="M1503" s="49" t="s">
        <v>4787</v>
      </c>
    </row>
    <row r="1504" spans="1:13" x14ac:dyDescent="0.25">
      <c r="A1504" s="48">
        <f t="shared" si="23"/>
        <v>1503</v>
      </c>
      <c r="B1504" s="47" t="s">
        <v>4</v>
      </c>
      <c r="C1504" s="47" t="s">
        <v>7587</v>
      </c>
      <c r="D1504" s="47" t="s">
        <v>7601</v>
      </c>
      <c r="E1504" s="47" t="s">
        <v>7591</v>
      </c>
      <c r="F1504" s="47" t="s">
        <v>7610</v>
      </c>
      <c r="G1504" s="47" t="s">
        <v>14</v>
      </c>
      <c r="H1504" s="47" t="str">
        <f>IFERROR(VLOOKUP(Table2[[#This Row], [Ticket]],Okey!A:B,2,0),"")</f>
        <v/>
      </c>
      <c r="I1504" s="47" t="s">
        <v>5290</v>
      </c>
      <c r="J1504" s="47" t="e">
        <f>VLOOKUP(Table2[[#This Row], [Author]],People!A:B,2,0)</f>
        <v>#VALUE!</v>
      </c>
      <c r="K1504" s="47"/>
      <c r="L1504" s="47"/>
      <c r="M1504" s="49" t="s">
        <v>4787</v>
      </c>
    </row>
    <row r="1505" spans="1:13" x14ac:dyDescent="0.25">
      <c r="A1505" s="48">
        <f t="shared" si="23"/>
        <v>1504</v>
      </c>
      <c r="B1505" s="47" t="s">
        <v>4</v>
      </c>
      <c r="C1505" s="47" t="s">
        <v>7587</v>
      </c>
      <c r="D1505" s="47" t="s">
        <v>7602</v>
      </c>
      <c r="E1505" s="47" t="s">
        <v>7592</v>
      </c>
      <c r="F1505" s="47" t="s">
        <v>7611</v>
      </c>
      <c r="G1505" s="47" t="s">
        <v>14</v>
      </c>
      <c r="H1505" s="47" t="str">
        <f>IFERROR(VLOOKUP(Table2[[#This Row], [Ticket]],Okey!A:B,2,0),"")</f>
        <v/>
      </c>
      <c r="I1505" s="47" t="s">
        <v>5290</v>
      </c>
      <c r="J1505" s="47" t="e">
        <f>VLOOKUP(Table2[[#This Row], [Author]],People!A:B,2,0)</f>
        <v>#VALUE!</v>
      </c>
      <c r="K1505" s="47"/>
      <c r="L1505" s="47"/>
      <c r="M1505" s="49" t="s">
        <v>4787</v>
      </c>
    </row>
    <row r="1506" spans="1:13" x14ac:dyDescent="0.25">
      <c r="A1506" s="48">
        <f t="shared" si="23"/>
        <v>1505</v>
      </c>
      <c r="B1506" s="47" t="s">
        <v>4</v>
      </c>
      <c r="C1506" s="47" t="s">
        <v>7587</v>
      </c>
      <c r="D1506" s="47" t="s">
        <v>7603</v>
      </c>
      <c r="E1506" s="47" t="s">
        <v>7593</v>
      </c>
      <c r="F1506" s="47" t="s">
        <v>7611</v>
      </c>
      <c r="G1506" s="47" t="s">
        <v>14</v>
      </c>
      <c r="H1506" s="47" t="str">
        <f>IFERROR(VLOOKUP(Table2[[#This Row], [Ticket]],Okey!A:B,2,0),"")</f>
        <v/>
      </c>
      <c r="I1506" s="47" t="s">
        <v>5290</v>
      </c>
      <c r="J1506" s="47" t="e">
        <f>VLOOKUP(Table2[[#This Row], [Author]],People!A:B,2,0)</f>
        <v>#VALUE!</v>
      </c>
      <c r="K1506" s="47"/>
      <c r="L1506" s="47"/>
      <c r="M1506" s="49" t="s">
        <v>4787</v>
      </c>
    </row>
    <row r="1507" spans="1:13" x14ac:dyDescent="0.25">
      <c r="A1507" s="48">
        <f t="shared" si="23"/>
        <v>1506</v>
      </c>
      <c r="B1507" s="47" t="s">
        <v>4</v>
      </c>
      <c r="C1507" s="47" t="s">
        <v>7587</v>
      </c>
      <c r="D1507" s="47" t="s">
        <v>7604</v>
      </c>
      <c r="E1507" s="47" t="s">
        <v>7594</v>
      </c>
      <c r="F1507" s="65" t="s">
        <v>7600</v>
      </c>
      <c r="G1507" s="47" t="s">
        <v>14</v>
      </c>
      <c r="H1507" s="47" t="str">
        <f>IFERROR(VLOOKUP(Table2[[#This Row], [Ticket]],Okey!A:B,2,0),"")</f>
        <v/>
      </c>
      <c r="I1507" s="47" t="s">
        <v>5290</v>
      </c>
      <c r="J1507" s="47" t="e">
        <f>VLOOKUP(Table2[[#This Row], [Author]],People!A:B,2,0)</f>
        <v>#VALUE!</v>
      </c>
      <c r="K1507" s="47"/>
      <c r="L1507" s="47"/>
      <c r="M1507" s="49" t="s">
        <v>4787</v>
      </c>
    </row>
    <row r="1508" spans="1:13" x14ac:dyDescent="0.25">
      <c r="A1508" s="48">
        <f t="shared" si="23"/>
        <v>1507</v>
      </c>
      <c r="B1508" s="47" t="s">
        <v>4</v>
      </c>
      <c r="C1508" s="47" t="s">
        <v>7587</v>
      </c>
      <c r="D1508" s="47" t="s">
        <v>7605</v>
      </c>
      <c r="E1508" s="47" t="s">
        <v>7595</v>
      </c>
      <c r="F1508" s="65" t="s">
        <v>7601</v>
      </c>
      <c r="G1508" s="47" t="s">
        <v>14</v>
      </c>
      <c r="H1508" s="47" t="str">
        <f>IFERROR(VLOOKUP(Table2[[#This Row], [Ticket]],Okey!A:B,2,0),"")</f>
        <v/>
      </c>
      <c r="I1508" s="47" t="s">
        <v>5290</v>
      </c>
      <c r="J1508" s="47" t="e">
        <f>VLOOKUP(Table2[[#This Row], [Author]],People!A:B,2,0)</f>
        <v>#VALUE!</v>
      </c>
      <c r="K1508" s="47"/>
      <c r="L1508" s="47"/>
      <c r="M1508" s="49" t="s">
        <v>4787</v>
      </c>
    </row>
    <row r="1509" spans="1:13" x14ac:dyDescent="0.25">
      <c r="A1509" s="48">
        <f t="shared" si="23"/>
        <v>1508</v>
      </c>
      <c r="B1509" s="47" t="s">
        <v>4</v>
      </c>
      <c r="C1509" s="47" t="s">
        <v>7587</v>
      </c>
      <c r="D1509" s="47" t="s">
        <v>7606</v>
      </c>
      <c r="E1509" s="47" t="s">
        <v>7596</v>
      </c>
      <c r="F1509" s="65" t="s">
        <v>7602</v>
      </c>
      <c r="G1509" s="47" t="s">
        <v>14</v>
      </c>
      <c r="H1509" s="47" t="str">
        <f>IFERROR(VLOOKUP(Table2[[#This Row], [Ticket]],Okey!A:B,2,0),"")</f>
        <v/>
      </c>
      <c r="I1509" s="47" t="s">
        <v>5290</v>
      </c>
      <c r="J1509" s="47" t="e">
        <f>VLOOKUP(Table2[[#This Row], [Author]],People!A:B,2,0)</f>
        <v>#VALUE!</v>
      </c>
      <c r="K1509" s="47"/>
      <c r="L1509" s="47"/>
      <c r="M1509" s="49" t="s">
        <v>4787</v>
      </c>
    </row>
    <row r="1510" spans="1:13" x14ac:dyDescent="0.25">
      <c r="A1510" s="48">
        <f t="shared" si="23"/>
        <v>1509</v>
      </c>
      <c r="B1510" s="47" t="s">
        <v>4</v>
      </c>
      <c r="C1510" s="47" t="s">
        <v>7587</v>
      </c>
      <c r="D1510" s="47" t="s">
        <v>7607</v>
      </c>
      <c r="E1510" s="47" t="s">
        <v>7597</v>
      </c>
      <c r="F1510" s="65" t="s">
        <v>7603</v>
      </c>
      <c r="G1510" s="47" t="s">
        <v>14</v>
      </c>
      <c r="H1510" s="47" t="str">
        <f>IFERROR(VLOOKUP(Table2[[#This Row], [Ticket]],Okey!A:B,2,0),"")</f>
        <v/>
      </c>
      <c r="I1510" s="47" t="s">
        <v>5290</v>
      </c>
      <c r="J1510" s="47" t="e">
        <f>VLOOKUP(Table2[[#This Row], [Author]],People!A:B,2,0)</f>
        <v>#VALUE!</v>
      </c>
      <c r="K1510" s="47"/>
      <c r="L1510" s="47"/>
      <c r="M1510" s="49" t="s">
        <v>4787</v>
      </c>
    </row>
    <row r="1511" spans="1:13" x14ac:dyDescent="0.25">
      <c r="A1511" s="48">
        <f t="shared" si="23"/>
        <v>1510</v>
      </c>
      <c r="B1511" s="47" t="s">
        <v>4</v>
      </c>
      <c r="C1511" s="47" t="s">
        <v>7587</v>
      </c>
      <c r="D1511" s="47" t="s">
        <v>7612</v>
      </c>
      <c r="E1511" s="47" t="s">
        <v>7619</v>
      </c>
      <c r="F1511" s="47"/>
      <c r="G1511" s="47" t="s">
        <v>15</v>
      </c>
      <c r="H1511" s="47" t="str">
        <f>IFERROR(VLOOKUP(Table2[[#This Row], [Ticket]],Okey!A:B,2,0),"")</f>
        <v/>
      </c>
      <c r="I1511" s="47" t="s">
        <v>5290</v>
      </c>
      <c r="J1511" s="47" t="e">
        <f>VLOOKUP(Table2[[#This Row], [Author]],People!A:B,2,0)</f>
        <v>#VALUE!</v>
      </c>
      <c r="K1511" s="47"/>
      <c r="L1511" s="47"/>
      <c r="M1511" s="49" t="s">
        <v>4787</v>
      </c>
    </row>
    <row r="1512" spans="1:13" x14ac:dyDescent="0.25">
      <c r="A1512" s="48">
        <f t="shared" si="23"/>
        <v>1511</v>
      </c>
      <c r="B1512" s="47" t="s">
        <v>4</v>
      </c>
      <c r="C1512" s="47" t="s">
        <v>7587</v>
      </c>
      <c r="D1512" s="47" t="s">
        <v>7613</v>
      </c>
      <c r="E1512" s="47" t="s">
        <v>7620</v>
      </c>
      <c r="F1512" s="47"/>
      <c r="G1512" s="47" t="s">
        <v>15</v>
      </c>
      <c r="H1512" s="47" t="str">
        <f>IFERROR(VLOOKUP(Table2[[#This Row], [Ticket]],Okey!A:B,2,0),"")</f>
        <v/>
      </c>
      <c r="I1512" s="47" t="s">
        <v>5290</v>
      </c>
      <c r="J1512" s="47" t="e">
        <f>VLOOKUP(Table2[[#This Row], [Author]],People!A:B,2,0)</f>
        <v>#VALUE!</v>
      </c>
      <c r="K1512" s="47"/>
      <c r="L1512" s="47"/>
      <c r="M1512" s="49" t="s">
        <v>4787</v>
      </c>
    </row>
    <row r="1513" spans="1:13" x14ac:dyDescent="0.25">
      <c r="A1513" s="48">
        <f t="shared" si="23"/>
        <v>1512</v>
      </c>
      <c r="B1513" s="47" t="s">
        <v>4</v>
      </c>
      <c r="C1513" s="47" t="s">
        <v>7587</v>
      </c>
      <c r="D1513" s="47" t="s">
        <v>7614</v>
      </c>
      <c r="E1513" s="47" t="s">
        <v>7621</v>
      </c>
      <c r="F1513" s="47"/>
      <c r="G1513" s="47" t="s">
        <v>15</v>
      </c>
      <c r="H1513" s="47" t="str">
        <f>IFERROR(VLOOKUP(Table2[[#This Row], [Ticket]],Okey!A:B,2,0),"")</f>
        <v/>
      </c>
      <c r="I1513" s="47" t="s">
        <v>5290</v>
      </c>
      <c r="J1513" s="47" t="e">
        <f>VLOOKUP(Table2[[#This Row], [Author]],People!A:B,2,0)</f>
        <v>#VALUE!</v>
      </c>
      <c r="K1513" s="47"/>
      <c r="L1513" s="47"/>
      <c r="M1513" s="49" t="s">
        <v>4787</v>
      </c>
    </row>
    <row r="1514" spans="1:13" x14ac:dyDescent="0.25">
      <c r="A1514" s="48">
        <f t="shared" si="23"/>
        <v>1513</v>
      </c>
      <c r="B1514" s="47" t="s">
        <v>4</v>
      </c>
      <c r="C1514" s="47" t="s">
        <v>7587</v>
      </c>
      <c r="D1514" s="47" t="s">
        <v>7615</v>
      </c>
      <c r="E1514" s="47" t="s">
        <v>7622</v>
      </c>
      <c r="F1514" s="47"/>
      <c r="G1514" s="47" t="s">
        <v>15</v>
      </c>
      <c r="H1514" s="47" t="str">
        <f>IFERROR(VLOOKUP(Table2[[#This Row], [Ticket]],Okey!A:B,2,0),"")</f>
        <v/>
      </c>
      <c r="I1514" s="47" t="s">
        <v>5290</v>
      </c>
      <c r="J1514" s="47" t="e">
        <f>VLOOKUP(Table2[[#This Row], [Author]],People!A:B,2,0)</f>
        <v>#VALUE!</v>
      </c>
      <c r="K1514" s="47"/>
      <c r="L1514" s="47"/>
      <c r="M1514" s="49" t="s">
        <v>4787</v>
      </c>
    </row>
    <row r="1515" spans="1:13" x14ac:dyDescent="0.25">
      <c r="A1515" s="48">
        <f t="shared" si="23"/>
        <v>1514</v>
      </c>
      <c r="B1515" s="47" t="s">
        <v>4</v>
      </c>
      <c r="C1515" s="47" t="s">
        <v>7587</v>
      </c>
      <c r="D1515" s="47" t="s">
        <v>7616</v>
      </c>
      <c r="E1515" s="47" t="s">
        <v>7623</v>
      </c>
      <c r="F1515" s="47"/>
      <c r="G1515" s="47" t="s">
        <v>15</v>
      </c>
      <c r="H1515" s="47" t="str">
        <f>IFERROR(VLOOKUP(Table2[[#This Row], [Ticket]],Okey!A:B,2,0),"")</f>
        <v/>
      </c>
      <c r="I1515" s="47" t="s">
        <v>5290</v>
      </c>
      <c r="J1515" s="47" t="e">
        <f>VLOOKUP(Table2[[#This Row], [Author]],People!A:B,2,0)</f>
        <v>#VALUE!</v>
      </c>
      <c r="K1515" s="47"/>
      <c r="L1515" s="47"/>
      <c r="M1515" s="49" t="s">
        <v>4787</v>
      </c>
    </row>
    <row r="1516" spans="1:13" x14ac:dyDescent="0.25">
      <c r="A1516" s="48">
        <f t="shared" si="23"/>
        <v>1515</v>
      </c>
      <c r="B1516" s="47" t="s">
        <v>4</v>
      </c>
      <c r="C1516" s="47" t="s">
        <v>7587</v>
      </c>
      <c r="D1516" s="47" t="s">
        <v>7617</v>
      </c>
      <c r="E1516" s="47" t="s">
        <v>7624</v>
      </c>
      <c r="F1516" s="47"/>
      <c r="G1516" s="47" t="s">
        <v>15</v>
      </c>
      <c r="H1516" s="47" t="str">
        <f>IFERROR(VLOOKUP(Table2[[#This Row], [Ticket]],Okey!A:B,2,0),"")</f>
        <v/>
      </c>
      <c r="I1516" s="47" t="s">
        <v>5290</v>
      </c>
      <c r="J1516" s="47" t="e">
        <f>VLOOKUP(Table2[[#This Row], [Author]],People!A:B,2,0)</f>
        <v>#VALUE!</v>
      </c>
      <c r="K1516" s="47"/>
      <c r="L1516" s="47"/>
      <c r="M1516" s="49" t="s">
        <v>4787</v>
      </c>
    </row>
    <row r="1517" spans="1:13" x14ac:dyDescent="0.25">
      <c r="A1517" s="48">
        <f t="shared" si="23"/>
        <v>1516</v>
      </c>
      <c r="B1517" s="47" t="s">
        <v>4</v>
      </c>
      <c r="C1517" s="47" t="s">
        <v>7587</v>
      </c>
      <c r="D1517" s="47" t="s">
        <v>7618</v>
      </c>
      <c r="E1517" s="47" t="s">
        <v>7625</v>
      </c>
      <c r="F1517" s="47"/>
      <c r="G1517" s="47" t="s">
        <v>15</v>
      </c>
      <c r="H1517" s="47" t="str">
        <f>IFERROR(VLOOKUP(Table2[[#This Row], [Ticket]],Okey!A:B,2,0),"")</f>
        <v/>
      </c>
      <c r="I1517" s="47" t="s">
        <v>5290</v>
      </c>
      <c r="J1517" s="47" t="e">
        <f>VLOOKUP(Table2[[#This Row], [Author]],People!A:B,2,0)</f>
        <v>#VALUE!</v>
      </c>
      <c r="K1517" s="47"/>
      <c r="L1517" s="47"/>
      <c r="M1517" s="49" t="s">
        <v>4787</v>
      </c>
    </row>
    <row r="1518" spans="1:13" x14ac:dyDescent="0.25">
      <c r="A1518" s="48">
        <f t="shared" si="23"/>
        <v>1517</v>
      </c>
      <c r="B1518" s="47" t="s">
        <v>4</v>
      </c>
      <c r="C1518" s="47" t="s">
        <v>7626</v>
      </c>
      <c r="D1518" s="47" t="s">
        <v>7634</v>
      </c>
      <c r="E1518" s="47" t="s">
        <v>7627</v>
      </c>
      <c r="F1518" s="47" t="s">
        <v>4840</v>
      </c>
      <c r="G1518" s="47" t="s">
        <v>14</v>
      </c>
      <c r="H1518" s="47" t="str">
        <f>IFERROR(VLOOKUP(Table2[[#This Row], [Ticket]],Okey!A:B,2,0),"")</f>
        <v/>
      </c>
      <c r="I1518" s="47" t="s">
        <v>6455</v>
      </c>
      <c r="J1518" s="47" t="e">
        <f>VLOOKUP(Table2[[#This Row], [Author]],People!A:B,2,0)</f>
        <v>#VALUE!</v>
      </c>
      <c r="K1518" s="47" t="s">
        <v>7858</v>
      </c>
      <c r="L1518" s="47" t="e">
        <f>VLOOKUP(Table2[[#This Row],[Node]],#REF!,2,0)</f>
        <v>#VALUE!</v>
      </c>
      <c r="M1518" s="49" t="s">
        <v>4778</v>
      </c>
    </row>
    <row r="1519" spans="1:13" x14ac:dyDescent="0.25">
      <c r="A1519" s="48">
        <f t="shared" si="23"/>
        <v>1518</v>
      </c>
      <c r="B1519" s="47" t="s">
        <v>4</v>
      </c>
      <c r="C1519" s="47" t="s">
        <v>7626</v>
      </c>
      <c r="D1519" s="47" t="s">
        <v>7635</v>
      </c>
      <c r="E1519" s="47" t="s">
        <v>7628</v>
      </c>
      <c r="F1519" s="47" t="s">
        <v>6422</v>
      </c>
      <c r="G1519" s="47" t="s">
        <v>14</v>
      </c>
      <c r="H1519" s="47" t="str">
        <f>IFERROR(VLOOKUP(Table2[[#This Row], [Ticket]],Okey!A:B,2,0),"")</f>
        <v/>
      </c>
      <c r="I1519" s="47" t="s">
        <v>6455</v>
      </c>
      <c r="J1519" s="47" t="e">
        <f>VLOOKUP(Table2[[#This Row], [Author]],People!A:B,2,0)</f>
        <v>#VALUE!</v>
      </c>
      <c r="K1519" s="47" t="s">
        <v>7858</v>
      </c>
      <c r="L1519" s="47" t="e">
        <f>VLOOKUP(Table2[[#This Row],[Node]],#REF!,2,0)</f>
        <v>#VALUE!</v>
      </c>
      <c r="M1519" s="49" t="s">
        <v>4778</v>
      </c>
    </row>
    <row r="1520" spans="1:13" x14ac:dyDescent="0.25">
      <c r="A1520" s="48">
        <f t="shared" si="23"/>
        <v>1519</v>
      </c>
      <c r="B1520" s="47" t="s">
        <v>4</v>
      </c>
      <c r="C1520" s="47" t="s">
        <v>7626</v>
      </c>
      <c r="D1520" s="47" t="s">
        <v>7636</v>
      </c>
      <c r="E1520" s="47" t="s">
        <v>7629</v>
      </c>
      <c r="F1520" s="47" t="s">
        <v>7641</v>
      </c>
      <c r="G1520" s="47" t="s">
        <v>14</v>
      </c>
      <c r="H1520" s="47" t="str">
        <f>IFERROR(VLOOKUP(Table2[[#This Row], [Ticket]],Okey!A:B,2,0),"")</f>
        <v/>
      </c>
      <c r="I1520" s="47" t="s">
        <v>6455</v>
      </c>
      <c r="J1520" s="47" t="e">
        <f>VLOOKUP(Table2[[#This Row], [Author]],People!A:B,2,0)</f>
        <v>#VALUE!</v>
      </c>
      <c r="K1520" s="47" t="s">
        <v>7858</v>
      </c>
      <c r="L1520" s="47" t="e">
        <f>VLOOKUP(Table2[[#This Row],[Node]],#REF!,2,0)</f>
        <v>#VALUE!</v>
      </c>
      <c r="M1520" s="49" t="s">
        <v>4778</v>
      </c>
    </row>
    <row r="1521" spans="1:13" x14ac:dyDescent="0.25">
      <c r="A1521" s="48">
        <f t="shared" si="23"/>
        <v>1520</v>
      </c>
      <c r="B1521" s="47" t="s">
        <v>4</v>
      </c>
      <c r="C1521" s="47" t="s">
        <v>7626</v>
      </c>
      <c r="D1521" s="47" t="s">
        <v>7637</v>
      </c>
      <c r="E1521" s="47" t="s">
        <v>7630</v>
      </c>
      <c r="F1521" s="47" t="s">
        <v>3660</v>
      </c>
      <c r="G1521" s="47" t="s">
        <v>14</v>
      </c>
      <c r="H1521" s="47" t="str">
        <f>IFERROR(VLOOKUP(Table2[[#This Row], [Ticket]],Okey!A:B,2,0),"")</f>
        <v/>
      </c>
      <c r="I1521" s="47" t="s">
        <v>6455</v>
      </c>
      <c r="J1521" s="47" t="e">
        <f>VLOOKUP(Table2[[#This Row], [Author]],People!A:B,2,0)</f>
        <v>#VALUE!</v>
      </c>
      <c r="K1521" s="47" t="s">
        <v>7858</v>
      </c>
      <c r="L1521" s="47" t="e">
        <f>VLOOKUP(Table2[[#This Row],[Node]],#REF!,2,0)</f>
        <v>#VALUE!</v>
      </c>
      <c r="M1521" s="49" t="s">
        <v>4778</v>
      </c>
    </row>
    <row r="1522" spans="1:13" x14ac:dyDescent="0.25">
      <c r="A1522" s="48">
        <f t="shared" si="23"/>
        <v>1521</v>
      </c>
      <c r="B1522" s="47" t="s">
        <v>4</v>
      </c>
      <c r="C1522" s="47" t="s">
        <v>7626</v>
      </c>
      <c r="D1522" s="47" t="s">
        <v>7638</v>
      </c>
      <c r="E1522" s="47" t="s">
        <v>7631</v>
      </c>
      <c r="F1522" s="47" t="s">
        <v>7637</v>
      </c>
      <c r="G1522" s="47" t="s">
        <v>14</v>
      </c>
      <c r="H1522" s="47" t="str">
        <f>IFERROR(VLOOKUP(Table2[[#This Row], [Ticket]],Okey!A:B,2,0),"")</f>
        <v/>
      </c>
      <c r="I1522" s="47" t="s">
        <v>6455</v>
      </c>
      <c r="J1522" s="47" t="e">
        <f>VLOOKUP(Table2[[#This Row], [Author]],People!A:B,2,0)</f>
        <v>#VALUE!</v>
      </c>
      <c r="K1522" s="47" t="s">
        <v>7858</v>
      </c>
      <c r="L1522" s="47" t="e">
        <f>VLOOKUP(Table2[[#This Row],[Node]],#REF!,2,0)</f>
        <v>#VALUE!</v>
      </c>
      <c r="M1522" s="49" t="s">
        <v>4778</v>
      </c>
    </row>
    <row r="1523" spans="1:13" x14ac:dyDescent="0.25">
      <c r="A1523" s="48">
        <f t="shared" si="23"/>
        <v>1522</v>
      </c>
      <c r="B1523" s="47" t="s">
        <v>4</v>
      </c>
      <c r="C1523" s="47" t="s">
        <v>7626</v>
      </c>
      <c r="D1523" s="47" t="s">
        <v>7639</v>
      </c>
      <c r="E1523" s="47" t="s">
        <v>7632</v>
      </c>
      <c r="F1523" s="47" t="s">
        <v>7637</v>
      </c>
      <c r="G1523" s="47" t="s">
        <v>14</v>
      </c>
      <c r="H1523" s="47" t="str">
        <f>IFERROR(VLOOKUP(Table2[[#This Row], [Ticket]],Okey!A:B,2,0),"")</f>
        <v/>
      </c>
      <c r="I1523" s="47" t="s">
        <v>6455</v>
      </c>
      <c r="J1523" s="47" t="e">
        <f>VLOOKUP(Table2[[#This Row], [Author]],People!A:B,2,0)</f>
        <v>#VALUE!</v>
      </c>
      <c r="K1523" s="47" t="s">
        <v>7858</v>
      </c>
      <c r="L1523" s="47" t="e">
        <f>VLOOKUP(Table2[[#This Row],[Node]],#REF!,2,0)</f>
        <v>#VALUE!</v>
      </c>
      <c r="M1523" s="49" t="s">
        <v>4778</v>
      </c>
    </row>
    <row r="1524" spans="1:13" x14ac:dyDescent="0.25">
      <c r="A1524" s="48">
        <f t="shared" si="23"/>
        <v>1523</v>
      </c>
      <c r="B1524" s="47" t="s">
        <v>4</v>
      </c>
      <c r="C1524" s="47" t="s">
        <v>7626</v>
      </c>
      <c r="D1524" s="47" t="s">
        <v>7640</v>
      </c>
      <c r="E1524" s="47" t="s">
        <v>7633</v>
      </c>
      <c r="F1524" s="47" t="s">
        <v>7637</v>
      </c>
      <c r="G1524" s="47" t="s">
        <v>14</v>
      </c>
      <c r="H1524" s="47" t="str">
        <f>IFERROR(VLOOKUP(Table2[[#This Row], [Ticket]],Okey!A:B,2,0),"")</f>
        <v/>
      </c>
      <c r="I1524" s="47" t="s">
        <v>6455</v>
      </c>
      <c r="J1524" s="47" t="e">
        <f>VLOOKUP(Table2[[#This Row], [Author]],People!A:B,2,0)</f>
        <v>#VALUE!</v>
      </c>
      <c r="K1524" s="47" t="s">
        <v>7858</v>
      </c>
      <c r="L1524" s="47" t="e">
        <f>VLOOKUP(Table2[[#This Row],[Node]],#REF!,2,0)</f>
        <v>#VALUE!</v>
      </c>
      <c r="M1524" s="49" t="s">
        <v>4778</v>
      </c>
    </row>
    <row r="1525" spans="1:13" x14ac:dyDescent="0.25">
      <c r="A1525" s="48">
        <f t="shared" si="23"/>
        <v>1524</v>
      </c>
      <c r="B1525" s="47" t="s">
        <v>4</v>
      </c>
      <c r="C1525" s="47" t="s">
        <v>7626</v>
      </c>
      <c r="D1525" s="47" t="s">
        <v>7642</v>
      </c>
      <c r="E1525" s="47" t="s">
        <v>7643</v>
      </c>
      <c r="F1525" s="47"/>
      <c r="G1525" s="47" t="s">
        <v>15</v>
      </c>
      <c r="H1525" s="47" t="str">
        <f>IFERROR(VLOOKUP(Table2[[#This Row], [Ticket]],Okey!A:B,2,0),"")</f>
        <v/>
      </c>
      <c r="I1525" s="47" t="s">
        <v>6455</v>
      </c>
      <c r="J1525" s="47" t="e">
        <f>VLOOKUP(Table2[[#This Row], [Author]],People!A:B,2,0)</f>
        <v>#VALUE!</v>
      </c>
      <c r="K1525" s="47" t="s">
        <v>7857</v>
      </c>
      <c r="L1525" s="47"/>
      <c r="M1525" s="49" t="s">
        <v>4778</v>
      </c>
    </row>
    <row r="1526" spans="1:13" x14ac:dyDescent="0.25">
      <c r="A1526" s="48">
        <f t="shared" si="23"/>
        <v>1525</v>
      </c>
      <c r="B1526" s="47" t="s">
        <v>4</v>
      </c>
      <c r="C1526" s="47" t="s">
        <v>7626</v>
      </c>
      <c r="D1526" s="47" t="s">
        <v>7644</v>
      </c>
      <c r="E1526" s="47" t="s">
        <v>7645</v>
      </c>
      <c r="F1526" s="47"/>
      <c r="G1526" s="47" t="s">
        <v>15</v>
      </c>
      <c r="H1526" s="47" t="str">
        <f>IFERROR(VLOOKUP(Table2[[#This Row], [Ticket]],Okey!A:B,2,0),"")</f>
        <v/>
      </c>
      <c r="I1526" s="47" t="s">
        <v>6455</v>
      </c>
      <c r="J1526" s="47" t="e">
        <f>VLOOKUP(Table2[[#This Row], [Author]],People!A:B,2,0)</f>
        <v>#VALUE!</v>
      </c>
      <c r="K1526" s="47" t="s">
        <v>7857</v>
      </c>
      <c r="L1526" s="47"/>
      <c r="M1526" s="49" t="s">
        <v>4778</v>
      </c>
    </row>
    <row r="1527" spans="1:13" x14ac:dyDescent="0.25">
      <c r="A1527" s="48">
        <f t="shared" si="23"/>
        <v>1526</v>
      </c>
      <c r="B1527" s="47" t="s">
        <v>4</v>
      </c>
      <c r="C1527" s="47" t="s">
        <v>7626</v>
      </c>
      <c r="D1527" s="47" t="s">
        <v>7646</v>
      </c>
      <c r="E1527" s="47" t="s">
        <v>7647</v>
      </c>
      <c r="F1527" s="47"/>
      <c r="G1527" s="47" t="s">
        <v>15</v>
      </c>
      <c r="H1527" s="47" t="str">
        <f>IFERROR(VLOOKUP(Table2[[#This Row], [Ticket]],Okey!A:B,2,0),"")</f>
        <v/>
      </c>
      <c r="I1527" s="47" t="s">
        <v>6455</v>
      </c>
      <c r="J1527" s="47" t="e">
        <f>VLOOKUP(Table2[[#This Row], [Author]],People!A:B,2,0)</f>
        <v>#VALUE!</v>
      </c>
      <c r="K1527" s="47" t="s">
        <v>7857</v>
      </c>
      <c r="L1527" s="47"/>
      <c r="M1527" s="49" t="s">
        <v>4778</v>
      </c>
    </row>
    <row r="1528" spans="1:13" x14ac:dyDescent="0.25">
      <c r="A1528" s="48">
        <f t="shared" si="23"/>
        <v>1527</v>
      </c>
      <c r="B1528" s="47" t="s">
        <v>4</v>
      </c>
      <c r="C1528" s="47" t="s">
        <v>7626</v>
      </c>
      <c r="D1528" s="47" t="s">
        <v>7648</v>
      </c>
      <c r="E1528" s="47" t="s">
        <v>7649</v>
      </c>
      <c r="F1528" s="47"/>
      <c r="G1528" s="47" t="s">
        <v>15</v>
      </c>
      <c r="H1528" s="47" t="str">
        <f>IFERROR(VLOOKUP(Table2[[#This Row], [Ticket]],Okey!A:B,2,0),"")</f>
        <v/>
      </c>
      <c r="I1528" s="47" t="s">
        <v>6455</v>
      </c>
      <c r="J1528" s="47" t="e">
        <f>VLOOKUP(Table2[[#This Row], [Author]],People!A:B,2,0)</f>
        <v>#VALUE!</v>
      </c>
      <c r="K1528" s="47" t="s">
        <v>7857</v>
      </c>
      <c r="L1528" s="47"/>
      <c r="M1528" s="49" t="s">
        <v>4778</v>
      </c>
    </row>
    <row r="1529" spans="1:13" x14ac:dyDescent="0.25">
      <c r="A1529" s="48">
        <f t="shared" si="23"/>
        <v>1528</v>
      </c>
      <c r="B1529" s="47" t="s">
        <v>4</v>
      </c>
      <c r="C1529" s="47" t="s">
        <v>7626</v>
      </c>
      <c r="D1529" s="47" t="s">
        <v>7650</v>
      </c>
      <c r="E1529" s="47" t="s">
        <v>7651</v>
      </c>
      <c r="F1529" s="47"/>
      <c r="G1529" s="47" t="s">
        <v>15</v>
      </c>
      <c r="H1529" s="47" t="str">
        <f>IFERROR(VLOOKUP(Table2[[#This Row], [Ticket]],Okey!A:B,2,0),"")</f>
        <v/>
      </c>
      <c r="I1529" s="47" t="s">
        <v>6455</v>
      </c>
      <c r="J1529" s="47" t="e">
        <f>VLOOKUP(Table2[[#This Row], [Author]],People!A:B,2,0)</f>
        <v>#VALUE!</v>
      </c>
      <c r="K1529" s="47" t="s">
        <v>7857</v>
      </c>
      <c r="L1529" s="47"/>
      <c r="M1529" s="49" t="s">
        <v>4778</v>
      </c>
    </row>
    <row r="1530" spans="1:13" x14ac:dyDescent="0.25">
      <c r="A1530" s="48">
        <f t="shared" si="23"/>
        <v>1529</v>
      </c>
      <c r="B1530" s="47" t="s">
        <v>4</v>
      </c>
      <c r="C1530" s="47" t="s">
        <v>7626</v>
      </c>
      <c r="D1530" s="47" t="s">
        <v>7652</v>
      </c>
      <c r="E1530" s="47" t="s">
        <v>7653</v>
      </c>
      <c r="F1530" s="47"/>
      <c r="G1530" s="47" t="s">
        <v>15</v>
      </c>
      <c r="H1530" s="47" t="str">
        <f>IFERROR(VLOOKUP(Table2[[#This Row], [Ticket]],Okey!A:B,2,0),"")</f>
        <v/>
      </c>
      <c r="I1530" s="47" t="s">
        <v>6455</v>
      </c>
      <c r="J1530" s="47" t="e">
        <f>VLOOKUP(Table2[[#This Row], [Author]],People!A:B,2,0)</f>
        <v>#VALUE!</v>
      </c>
      <c r="K1530" s="47" t="s">
        <v>7857</v>
      </c>
      <c r="L1530" s="47"/>
      <c r="M1530" s="49" t="s">
        <v>4778</v>
      </c>
    </row>
    <row r="1531" spans="1:13" x14ac:dyDescent="0.25">
      <c r="A1531" s="48">
        <f t="shared" si="23"/>
        <v>1530</v>
      </c>
      <c r="B1531" s="47" t="s">
        <v>4</v>
      </c>
      <c r="C1531" s="47" t="s">
        <v>7626</v>
      </c>
      <c r="D1531" s="47" t="s">
        <v>7654</v>
      </c>
      <c r="E1531" s="47" t="s">
        <v>7655</v>
      </c>
      <c r="F1531" s="47"/>
      <c r="G1531" s="47" t="s">
        <v>15</v>
      </c>
      <c r="H1531" s="47" t="str">
        <f>IFERROR(VLOOKUP(Table2[[#This Row], [Ticket]],Okey!A:B,2,0),"")</f>
        <v/>
      </c>
      <c r="I1531" s="47" t="s">
        <v>6455</v>
      </c>
      <c r="J1531" s="47" t="e">
        <f>VLOOKUP(Table2[[#This Row], [Author]],People!A:B,2,0)</f>
        <v>#VALUE!</v>
      </c>
      <c r="K1531" s="47" t="s">
        <v>7857</v>
      </c>
      <c r="L1531" s="47"/>
      <c r="M1531" s="49" t="s">
        <v>4778</v>
      </c>
    </row>
    <row r="1532" spans="1:13" x14ac:dyDescent="0.25">
      <c r="A1532" s="48">
        <f t="shared" si="23"/>
        <v>1531</v>
      </c>
      <c r="B1532" s="47" t="s">
        <v>4</v>
      </c>
      <c r="C1532" s="47" t="s">
        <v>7626</v>
      </c>
      <c r="D1532" s="47" t="s">
        <v>7656</v>
      </c>
      <c r="E1532" s="47" t="s">
        <v>7657</v>
      </c>
      <c r="F1532" s="47"/>
      <c r="G1532" s="47" t="s">
        <v>15</v>
      </c>
      <c r="H1532" s="47" t="str">
        <f>IFERROR(VLOOKUP(Table2[[#This Row], [Ticket]],Okey!A:B,2,0),"")</f>
        <v/>
      </c>
      <c r="I1532" s="47" t="s">
        <v>6455</v>
      </c>
      <c r="J1532" s="47" t="e">
        <f>VLOOKUP(Table2[[#This Row], [Author]],People!A:B,2,0)</f>
        <v>#VALUE!</v>
      </c>
      <c r="K1532" s="47" t="s">
        <v>7857</v>
      </c>
      <c r="L1532" s="47"/>
      <c r="M1532" s="49" t="s">
        <v>4778</v>
      </c>
    </row>
    <row r="1533" spans="1:13" x14ac:dyDescent="0.25">
      <c r="A1533" s="48">
        <f t="shared" si="23"/>
        <v>1532</v>
      </c>
      <c r="B1533" s="47" t="s">
        <v>4</v>
      </c>
      <c r="C1533" s="47" t="s">
        <v>7626</v>
      </c>
      <c r="D1533" s="47" t="s">
        <v>5602</v>
      </c>
      <c r="E1533" s="47" t="s">
        <v>7658</v>
      </c>
      <c r="F1533" s="47"/>
      <c r="G1533" s="47" t="s">
        <v>15</v>
      </c>
      <c r="H1533" s="47" t="str">
        <f>IFERROR(VLOOKUP(Table2[[#This Row], [Ticket]],Okey!A:B,2,0),"")</f>
        <v/>
      </c>
      <c r="I1533" s="47" t="s">
        <v>6455</v>
      </c>
      <c r="J1533" s="47" t="e">
        <f>VLOOKUP(Table2[[#This Row], [Author]],People!A:B,2,0)</f>
        <v>#VALUE!</v>
      </c>
      <c r="K1533" s="47" t="s">
        <v>7857</v>
      </c>
      <c r="L1533" s="47"/>
      <c r="M1533" s="49" t="s">
        <v>4778</v>
      </c>
    </row>
    <row r="1534" spans="1:13" x14ac:dyDescent="0.25">
      <c r="A1534" s="48">
        <f t="shared" si="23"/>
        <v>1533</v>
      </c>
      <c r="B1534" s="47" t="s">
        <v>4</v>
      </c>
      <c r="C1534" s="47" t="s">
        <v>7626</v>
      </c>
      <c r="D1534" s="47" t="s">
        <v>5616</v>
      </c>
      <c r="E1534" s="47" t="s">
        <v>7659</v>
      </c>
      <c r="F1534" s="47"/>
      <c r="G1534" s="47" t="s">
        <v>15</v>
      </c>
      <c r="H1534" s="47" t="str">
        <f>IFERROR(VLOOKUP(Table2[[#This Row], [Ticket]],Okey!A:B,2,0),"")</f>
        <v/>
      </c>
      <c r="I1534" s="47" t="s">
        <v>6455</v>
      </c>
      <c r="J1534" s="47" t="e">
        <f>VLOOKUP(Table2[[#This Row], [Author]],People!A:B,2,0)</f>
        <v>#VALUE!</v>
      </c>
      <c r="K1534" s="47" t="s">
        <v>7857</v>
      </c>
      <c r="L1534" s="47"/>
      <c r="M1534" s="49" t="s">
        <v>4778</v>
      </c>
    </row>
    <row r="1535" spans="1:13" x14ac:dyDescent="0.25">
      <c r="A1535" s="48">
        <f t="shared" si="23"/>
        <v>1534</v>
      </c>
      <c r="B1535" s="47" t="s">
        <v>4</v>
      </c>
      <c r="C1535" s="47" t="s">
        <v>7626</v>
      </c>
      <c r="D1535" s="47" t="s">
        <v>5621</v>
      </c>
      <c r="E1535" s="47" t="s">
        <v>7660</v>
      </c>
      <c r="F1535" s="47"/>
      <c r="G1535" s="47" t="s">
        <v>15</v>
      </c>
      <c r="H1535" s="47" t="str">
        <f>IFERROR(VLOOKUP(Table2[[#This Row], [Ticket]],Okey!A:B,2,0),"")</f>
        <v/>
      </c>
      <c r="I1535" s="47" t="s">
        <v>6455</v>
      </c>
      <c r="J1535" s="47" t="e">
        <f>VLOOKUP(Table2[[#This Row], [Author]],People!A:B,2,0)</f>
        <v>#VALUE!</v>
      </c>
      <c r="K1535" s="47" t="s">
        <v>7857</v>
      </c>
      <c r="L1535" s="47"/>
      <c r="M1535" s="49" t="s">
        <v>4778</v>
      </c>
    </row>
    <row r="1536" spans="1:13" x14ac:dyDescent="0.25">
      <c r="A1536" s="48">
        <f t="shared" si="23"/>
        <v>1535</v>
      </c>
      <c r="B1536" s="47" t="s">
        <v>4</v>
      </c>
      <c r="C1536" s="47" t="s">
        <v>7626</v>
      </c>
      <c r="D1536" s="47" t="s">
        <v>5627</v>
      </c>
      <c r="E1536" s="47" t="s">
        <v>7661</v>
      </c>
      <c r="F1536" s="47"/>
      <c r="G1536" s="47" t="s">
        <v>15</v>
      </c>
      <c r="H1536" s="47" t="str">
        <f>IFERROR(VLOOKUP(Table2[[#This Row], [Ticket]],Okey!A:B,2,0),"")</f>
        <v/>
      </c>
      <c r="I1536" s="47" t="s">
        <v>6455</v>
      </c>
      <c r="J1536" s="47" t="e">
        <f>VLOOKUP(Table2[[#This Row], [Author]],People!A:B,2,0)</f>
        <v>#VALUE!</v>
      </c>
      <c r="K1536" s="47" t="s">
        <v>7857</v>
      </c>
      <c r="L1536" s="47"/>
      <c r="M1536" s="49" t="s">
        <v>4778</v>
      </c>
    </row>
    <row r="1537" spans="1:13" x14ac:dyDescent="0.25">
      <c r="A1537" s="48">
        <f t="shared" si="23"/>
        <v>1536</v>
      </c>
      <c r="B1537" s="47" t="s">
        <v>4</v>
      </c>
      <c r="C1537" s="47" t="s">
        <v>7626</v>
      </c>
      <c r="D1537" s="47" t="s">
        <v>5637</v>
      </c>
      <c r="E1537" s="47" t="s">
        <v>7662</v>
      </c>
      <c r="F1537" s="47"/>
      <c r="G1537" s="47" t="s">
        <v>15</v>
      </c>
      <c r="H1537" s="47" t="str">
        <f>IFERROR(VLOOKUP(Table2[[#This Row], [Ticket]],Okey!A:B,2,0),"")</f>
        <v/>
      </c>
      <c r="I1537" s="47" t="s">
        <v>6455</v>
      </c>
      <c r="J1537" s="47" t="e">
        <f>VLOOKUP(Table2[[#This Row], [Author]],People!A:B,2,0)</f>
        <v>#VALUE!</v>
      </c>
      <c r="K1537" s="47" t="s">
        <v>7857</v>
      </c>
      <c r="L1537" s="47"/>
      <c r="M1537" s="49" t="s">
        <v>4778</v>
      </c>
    </row>
    <row r="1538" spans="1:13" x14ac:dyDescent="0.25">
      <c r="A1538" s="48">
        <f t="shared" si="23"/>
        <v>1537</v>
      </c>
      <c r="B1538" s="47" t="s">
        <v>4</v>
      </c>
      <c r="C1538" s="47" t="s">
        <v>7626</v>
      </c>
      <c r="D1538" s="47" t="s">
        <v>7663</v>
      </c>
      <c r="E1538" s="47" t="s">
        <v>7664</v>
      </c>
      <c r="F1538" s="47"/>
      <c r="G1538" s="47" t="s">
        <v>15</v>
      </c>
      <c r="H1538" s="47" t="str">
        <f>IFERROR(VLOOKUP(Table2[[#This Row], [Ticket]],Okey!A:B,2,0),"")</f>
        <v/>
      </c>
      <c r="I1538" s="47" t="s">
        <v>6455</v>
      </c>
      <c r="J1538" s="47" t="e">
        <f>VLOOKUP(Table2[[#This Row], [Author]],People!A:B,2,0)</f>
        <v>#VALUE!</v>
      </c>
      <c r="K1538" s="47" t="s">
        <v>7857</v>
      </c>
      <c r="L1538" s="47"/>
      <c r="M1538" s="49" t="s">
        <v>4778</v>
      </c>
    </row>
    <row r="1539" spans="1:13" x14ac:dyDescent="0.25">
      <c r="A1539" s="48">
        <f t="shared" ref="A1539:A1602" si="24">1+A1538</f>
        <v>1538</v>
      </c>
      <c r="B1539" s="47" t="s">
        <v>4</v>
      </c>
      <c r="C1539" s="47" t="s">
        <v>7626</v>
      </c>
      <c r="D1539" s="47" t="s">
        <v>7665</v>
      </c>
      <c r="E1539" s="47" t="s">
        <v>7666</v>
      </c>
      <c r="F1539" s="47"/>
      <c r="G1539" s="47" t="s">
        <v>15</v>
      </c>
      <c r="H1539" s="47" t="str">
        <f>IFERROR(VLOOKUP(Table2[[#This Row], [Ticket]],Okey!A:B,2,0),"")</f>
        <v/>
      </c>
      <c r="I1539" s="47" t="s">
        <v>6455</v>
      </c>
      <c r="J1539" s="47" t="e">
        <f>VLOOKUP(Table2[[#This Row], [Author]],People!A:B,2,0)</f>
        <v>#VALUE!</v>
      </c>
      <c r="K1539" s="47" t="s">
        <v>7857</v>
      </c>
      <c r="L1539" s="47"/>
      <c r="M1539" s="49" t="s">
        <v>4778</v>
      </c>
    </row>
    <row r="1540" spans="1:13" x14ac:dyDescent="0.25">
      <c r="A1540" s="48">
        <f t="shared" si="24"/>
        <v>1539</v>
      </c>
      <c r="B1540" s="47" t="s">
        <v>4</v>
      </c>
      <c r="C1540" s="47" t="s">
        <v>7626</v>
      </c>
      <c r="D1540" s="47" t="s">
        <v>7667</v>
      </c>
      <c r="E1540" s="47" t="s">
        <v>7668</v>
      </c>
      <c r="F1540" s="47"/>
      <c r="G1540" s="47" t="s">
        <v>15</v>
      </c>
      <c r="H1540" s="47" t="str">
        <f>IFERROR(VLOOKUP(Table2[[#This Row], [Ticket]],Okey!A:B,2,0),"")</f>
        <v/>
      </c>
      <c r="I1540" s="47" t="s">
        <v>6455</v>
      </c>
      <c r="J1540" s="47" t="e">
        <f>VLOOKUP(Table2[[#This Row], [Author]],People!A:B,2,0)</f>
        <v>#VALUE!</v>
      </c>
      <c r="K1540" s="47" t="s">
        <v>7857</v>
      </c>
      <c r="L1540" s="47"/>
      <c r="M1540" s="49" t="s">
        <v>4778</v>
      </c>
    </row>
    <row r="1541" spans="1:13" x14ac:dyDescent="0.25">
      <c r="A1541" s="48">
        <f t="shared" si="24"/>
        <v>1540</v>
      </c>
      <c r="B1541" s="47" t="s">
        <v>4</v>
      </c>
      <c r="C1541" s="47" t="s">
        <v>7626</v>
      </c>
      <c r="D1541" s="47" t="s">
        <v>7669</v>
      </c>
      <c r="E1541" s="47" t="s">
        <v>7670</v>
      </c>
      <c r="F1541" s="47" t="s">
        <v>7646</v>
      </c>
      <c r="G1541" s="47" t="s">
        <v>16</v>
      </c>
      <c r="H1541" s="47" t="str">
        <f>IFERROR(VLOOKUP(Table2[[#This Row], [Ticket]],Okey!A:B,2,0),"")</f>
        <v/>
      </c>
      <c r="I1541" s="47" t="s">
        <v>6455</v>
      </c>
      <c r="J1541" s="47" t="e">
        <f>VLOOKUP(Table2[[#This Row], [Author]],People!A:B,2,0)</f>
        <v>#VALUE!</v>
      </c>
      <c r="K1541" s="47" t="s">
        <v>7859</v>
      </c>
      <c r="L1541" s="47" t="e">
        <f>VLOOKUP(Table2[[#This Row],[Node]],#REF!,2,0)</f>
        <v>#VALUE!</v>
      </c>
      <c r="M1541" s="49" t="s">
        <v>4778</v>
      </c>
    </row>
    <row r="1542" spans="1:13" x14ac:dyDescent="0.25">
      <c r="A1542" s="48">
        <f t="shared" si="24"/>
        <v>1541</v>
      </c>
      <c r="B1542" s="47" t="s">
        <v>4</v>
      </c>
      <c r="C1542" s="47" t="s">
        <v>7626</v>
      </c>
      <c r="D1542" s="47" t="s">
        <v>7671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/>
      </c>
      <c r="I1542" s="47" t="s">
        <v>6455</v>
      </c>
      <c r="J1542" s="47" t="e">
        <f>VLOOKUP(Table2[[#This Row], [Author]],People!A:B,2,0)</f>
        <v>#VALUE!</v>
      </c>
      <c r="K1542" s="47" t="s">
        <v>7860</v>
      </c>
      <c r="L1542" s="47"/>
      <c r="M1542" s="49" t="s">
        <v>4778</v>
      </c>
    </row>
    <row r="1543" spans="1:13" x14ac:dyDescent="0.25">
      <c r="A1543" s="48">
        <f t="shared" si="24"/>
        <v>1542</v>
      </c>
      <c r="B1543" s="47" t="s">
        <v>4</v>
      </c>
      <c r="C1543" s="47" t="s">
        <v>7626</v>
      </c>
      <c r="D1543" s="47" t="s">
        <v>7672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/>
      </c>
      <c r="I1543" s="47" t="s">
        <v>6455</v>
      </c>
      <c r="J1543" s="47" t="e">
        <f>VLOOKUP(Table2[[#This Row], [Author]],People!A:B,2,0)</f>
        <v>#VALUE!</v>
      </c>
      <c r="K1543" s="47" t="s">
        <v>7860</v>
      </c>
      <c r="L1543" s="47"/>
      <c r="M1543" s="49" t="s">
        <v>4778</v>
      </c>
    </row>
    <row r="1544" spans="1:13" x14ac:dyDescent="0.25">
      <c r="A1544" s="48">
        <f t="shared" si="24"/>
        <v>1543</v>
      </c>
      <c r="B1544" s="47" t="s">
        <v>4</v>
      </c>
      <c r="C1544" s="47" t="s">
        <v>7626</v>
      </c>
      <c r="D1544" s="47" t="s">
        <v>7673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/>
      </c>
      <c r="I1544" s="47" t="s">
        <v>6455</v>
      </c>
      <c r="J1544" s="47" t="e">
        <f>VLOOKUP(Table2[[#This Row], [Author]],People!A:B,2,0)</f>
        <v>#VALUE!</v>
      </c>
      <c r="K1544" s="47" t="s">
        <v>7860</v>
      </c>
      <c r="L1544" s="47"/>
      <c r="M1544" s="49" t="s">
        <v>4778</v>
      </c>
    </row>
    <row r="1545" spans="1:13" x14ac:dyDescent="0.25">
      <c r="A1545" s="48">
        <f t="shared" si="24"/>
        <v>1544</v>
      </c>
      <c r="B1545" s="47" t="s">
        <v>4</v>
      </c>
      <c r="C1545" s="47" t="s">
        <v>7626</v>
      </c>
      <c r="D1545" s="47" t="s">
        <v>7674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/>
      </c>
      <c r="I1545" s="47" t="s">
        <v>6455</v>
      </c>
      <c r="J1545" s="47" t="e">
        <f>VLOOKUP(Table2[[#This Row], [Author]],People!A:B,2,0)</f>
        <v>#VALUE!</v>
      </c>
      <c r="K1545" s="47" t="s">
        <v>7860</v>
      </c>
      <c r="L1545" s="47"/>
      <c r="M1545" s="49" t="s">
        <v>4778</v>
      </c>
    </row>
    <row r="1546" spans="1:13" x14ac:dyDescent="0.25">
      <c r="A1546" s="48">
        <f t="shared" si="24"/>
        <v>1545</v>
      </c>
      <c r="B1546" s="47" t="s">
        <v>4</v>
      </c>
      <c r="C1546" s="47" t="s">
        <v>7626</v>
      </c>
      <c r="D1546" s="47" t="s">
        <v>7675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/>
      </c>
      <c r="I1546" s="47" t="s">
        <v>6455</v>
      </c>
      <c r="J1546" s="47" t="e">
        <f>VLOOKUP(Table2[[#This Row], [Author]],People!A:B,2,0)</f>
        <v>#VALUE!</v>
      </c>
      <c r="K1546" s="47" t="s">
        <v>7860</v>
      </c>
      <c r="L1546" s="47"/>
      <c r="M1546" s="49" t="s">
        <v>4778</v>
      </c>
    </row>
    <row r="1547" spans="1:13" x14ac:dyDescent="0.25">
      <c r="A1547" s="48">
        <f t="shared" si="24"/>
        <v>1546</v>
      </c>
      <c r="B1547" s="47" t="s">
        <v>4</v>
      </c>
      <c r="C1547" s="47" t="s">
        <v>7626</v>
      </c>
      <c r="D1547" s="47" t="s">
        <v>7676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/>
      </c>
      <c r="I1547" s="47" t="s">
        <v>6455</v>
      </c>
      <c r="J1547" s="47" t="e">
        <f>VLOOKUP(Table2[[#This Row], [Author]],People!A:B,2,0)</f>
        <v>#VALUE!</v>
      </c>
      <c r="K1547" s="47" t="s">
        <v>7860</v>
      </c>
      <c r="L1547" s="47"/>
      <c r="M1547" s="49" t="s">
        <v>4778</v>
      </c>
    </row>
    <row r="1548" spans="1:13" x14ac:dyDescent="0.25">
      <c r="A1548" s="48">
        <f t="shared" si="24"/>
        <v>1547</v>
      </c>
      <c r="B1548" s="47" t="s">
        <v>4</v>
      </c>
      <c r="C1548" s="47" t="s">
        <v>7626</v>
      </c>
      <c r="D1548" s="47" t="s">
        <v>7677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/>
      </c>
      <c r="I1548" s="47" t="s">
        <v>6455</v>
      </c>
      <c r="J1548" s="47" t="e">
        <f>VLOOKUP(Table2[[#This Row], [Author]],People!A:B,2,0)</f>
        <v>#VALUE!</v>
      </c>
      <c r="K1548" s="47" t="s">
        <v>7860</v>
      </c>
      <c r="L1548" s="47"/>
      <c r="M1548" s="49" t="s">
        <v>4778</v>
      </c>
    </row>
    <row r="1549" spans="1:13" x14ac:dyDescent="0.25">
      <c r="A1549" s="48">
        <f t="shared" si="24"/>
        <v>1548</v>
      </c>
      <c r="B1549" s="47" t="s">
        <v>4</v>
      </c>
      <c r="C1549" s="47" t="s">
        <v>7626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/>
      </c>
      <c r="I1549" s="47" t="s">
        <v>6455</v>
      </c>
      <c r="J1549" s="47" t="e">
        <f>VLOOKUP(Table2[[#This Row], [Author]],People!A:B,2,0)</f>
        <v>#VALUE!</v>
      </c>
      <c r="K1549" s="47" t="s">
        <v>7860</v>
      </c>
      <c r="L1549" s="47"/>
      <c r="M1549" s="49" t="s">
        <v>4778</v>
      </c>
    </row>
    <row r="1550" spans="1:13" x14ac:dyDescent="0.25">
      <c r="A1550" s="48">
        <f t="shared" si="24"/>
        <v>1549</v>
      </c>
      <c r="B1550" s="47" t="s">
        <v>4</v>
      </c>
      <c r="C1550" s="47" t="s">
        <v>7678</v>
      </c>
      <c r="D1550" s="47" t="s">
        <v>7738</v>
      </c>
      <c r="E1550" s="47" t="s">
        <v>7679</v>
      </c>
      <c r="F1550" s="47" t="s">
        <v>5746</v>
      </c>
      <c r="G1550" s="47" t="s">
        <v>14</v>
      </c>
      <c r="H1550" s="47" t="str">
        <f>IFERROR(VLOOKUP(Table2[[#This Row], [Ticket]],Okey!A:B,2,0),"")</f>
        <v/>
      </c>
      <c r="I1550" s="47" t="s">
        <v>6455</v>
      </c>
      <c r="J1550" s="47" t="e">
        <f>VLOOKUP(Table2[[#This Row], [Author]],People!A:B,2,0)</f>
        <v>#VALUE!</v>
      </c>
      <c r="K1550" s="47" t="s">
        <v>7858</v>
      </c>
      <c r="L1550" s="47" t="e">
        <f>VLOOKUP(Table2[[#This Row],[Node]],#REF!,2,0)</f>
        <v>#VALUE!</v>
      </c>
      <c r="M1550" s="49" t="s">
        <v>4799</v>
      </c>
    </row>
    <row r="1551" spans="1:13" x14ac:dyDescent="0.25">
      <c r="A1551" s="48">
        <f t="shared" si="24"/>
        <v>1550</v>
      </c>
      <c r="B1551" s="47" t="s">
        <v>4</v>
      </c>
      <c r="C1551" s="47" t="s">
        <v>7678</v>
      </c>
      <c r="D1551" s="47" t="s">
        <v>7739</v>
      </c>
      <c r="E1551" s="47" t="s">
        <v>7680</v>
      </c>
      <c r="F1551" s="47" t="s">
        <v>5494</v>
      </c>
      <c r="G1551" s="47" t="s">
        <v>14</v>
      </c>
      <c r="H1551" s="47" t="str">
        <f>IFERROR(VLOOKUP(Table2[[#This Row], [Ticket]],Okey!A:B,2,0),"")</f>
        <v/>
      </c>
      <c r="I1551" s="47" t="s">
        <v>6455</v>
      </c>
      <c r="J1551" s="47" t="e">
        <f>VLOOKUP(Table2[[#This Row], [Author]],People!A:B,2,0)</f>
        <v>#VALUE!</v>
      </c>
      <c r="K1551" s="47" t="s">
        <v>7858</v>
      </c>
      <c r="L1551" s="47" t="e">
        <f>VLOOKUP(Table2[[#This Row],[Node]],#REF!,2,0)</f>
        <v>#VALUE!</v>
      </c>
      <c r="M1551" s="49" t="s">
        <v>4799</v>
      </c>
    </row>
    <row r="1552" spans="1:13" x14ac:dyDescent="0.25">
      <c r="A1552" s="48">
        <f t="shared" si="24"/>
        <v>1551</v>
      </c>
      <c r="B1552" s="47" t="s">
        <v>4</v>
      </c>
      <c r="C1552" s="47" t="s">
        <v>7678</v>
      </c>
      <c r="D1552" s="47" t="s">
        <v>7740</v>
      </c>
      <c r="E1552" s="47" t="s">
        <v>7681</v>
      </c>
      <c r="F1552" s="47" t="s">
        <v>5494</v>
      </c>
      <c r="G1552" s="47" t="s">
        <v>14</v>
      </c>
      <c r="H1552" s="47" t="str">
        <f>IFERROR(VLOOKUP(Table2[[#This Row], [Ticket]],Okey!A:B,2,0),"")</f>
        <v/>
      </c>
      <c r="I1552" s="47" t="s">
        <v>6455</v>
      </c>
      <c r="J1552" s="47" t="e">
        <f>VLOOKUP(Table2[[#This Row], [Author]],People!A:B,2,0)</f>
        <v>#VALUE!</v>
      </c>
      <c r="K1552" s="47" t="s">
        <v>7858</v>
      </c>
      <c r="L1552" s="47" t="e">
        <f>VLOOKUP(Table2[[#This Row],[Node]],#REF!,2,0)</f>
        <v>#VALUE!</v>
      </c>
      <c r="M1552" s="49" t="s">
        <v>4799</v>
      </c>
    </row>
    <row r="1553" spans="1:13" x14ac:dyDescent="0.25">
      <c r="A1553" s="48">
        <f t="shared" si="24"/>
        <v>1552</v>
      </c>
      <c r="B1553" s="47" t="s">
        <v>4</v>
      </c>
      <c r="C1553" s="47" t="s">
        <v>7678</v>
      </c>
      <c r="D1553" s="47" t="s">
        <v>7741</v>
      </c>
      <c r="E1553" s="47" t="s">
        <v>7682</v>
      </c>
      <c r="F1553" s="47" t="s">
        <v>5494</v>
      </c>
      <c r="G1553" s="47" t="s">
        <v>14</v>
      </c>
      <c r="H1553" s="47" t="str">
        <f>IFERROR(VLOOKUP(Table2[[#This Row], [Ticket]],Okey!A:B,2,0),"")</f>
        <v/>
      </c>
      <c r="I1553" s="47" t="s">
        <v>6455</v>
      </c>
      <c r="J1553" s="47" t="e">
        <f>VLOOKUP(Table2[[#This Row], [Author]],People!A:B,2,0)</f>
        <v>#VALUE!</v>
      </c>
      <c r="K1553" s="47" t="s">
        <v>7858</v>
      </c>
      <c r="L1553" s="47" t="e">
        <f>VLOOKUP(Table2[[#This Row],[Node]],#REF!,2,0)</f>
        <v>#VALUE!</v>
      </c>
      <c r="M1553" s="49" t="s">
        <v>4799</v>
      </c>
    </row>
    <row r="1554" spans="1:13" x14ac:dyDescent="0.25">
      <c r="A1554" s="48">
        <f t="shared" si="24"/>
        <v>1553</v>
      </c>
      <c r="B1554" s="47" t="s">
        <v>4</v>
      </c>
      <c r="C1554" s="47" t="s">
        <v>7678</v>
      </c>
      <c r="D1554" s="47" t="s">
        <v>7742</v>
      </c>
      <c r="E1554" s="47" t="s">
        <v>7683</v>
      </c>
      <c r="F1554" s="47" t="s">
        <v>3341</v>
      </c>
      <c r="G1554" s="47" t="s">
        <v>14</v>
      </c>
      <c r="H1554" s="47" t="str">
        <f>IFERROR(VLOOKUP(Table2[[#This Row], [Ticket]],Okey!A:B,2,0),"")</f>
        <v/>
      </c>
      <c r="I1554" s="47" t="s">
        <v>6455</v>
      </c>
      <c r="J1554" s="47" t="e">
        <f>VLOOKUP(Table2[[#This Row], [Author]],People!A:B,2,0)</f>
        <v>#VALUE!</v>
      </c>
      <c r="K1554" s="47" t="s">
        <v>7858</v>
      </c>
      <c r="L1554" s="47" t="e">
        <f>VLOOKUP(Table2[[#This Row],[Node]],#REF!,2,0)</f>
        <v>#VALUE!</v>
      </c>
      <c r="M1554" s="49" t="s">
        <v>4799</v>
      </c>
    </row>
    <row r="1555" spans="1:13" x14ac:dyDescent="0.25">
      <c r="A1555" s="48">
        <f t="shared" si="24"/>
        <v>1554</v>
      </c>
      <c r="B1555" s="47" t="s">
        <v>4</v>
      </c>
      <c r="C1555" s="47" t="s">
        <v>7678</v>
      </c>
      <c r="D1555" s="47" t="s">
        <v>7743</v>
      </c>
      <c r="E1555" s="47" t="s">
        <v>7684</v>
      </c>
      <c r="F1555" s="47" t="s">
        <v>956</v>
      </c>
      <c r="G1555" s="47" t="s">
        <v>14</v>
      </c>
      <c r="H1555" s="47" t="str">
        <f>IFERROR(VLOOKUP(Table2[[#This Row], [Ticket]],Okey!A:B,2,0),"")</f>
        <v/>
      </c>
      <c r="I1555" s="47" t="s">
        <v>6455</v>
      </c>
      <c r="J1555" s="47" t="e">
        <f>VLOOKUP(Table2[[#This Row], [Author]],People!A:B,2,0)</f>
        <v>#VALUE!</v>
      </c>
      <c r="K1555" s="47" t="s">
        <v>7858</v>
      </c>
      <c r="L1555" s="47" t="e">
        <f>VLOOKUP(Table2[[#This Row],[Node]],#REF!,2,0)</f>
        <v>#VALUE!</v>
      </c>
      <c r="M1555" s="49" t="s">
        <v>4799</v>
      </c>
    </row>
    <row r="1556" spans="1:13" x14ac:dyDescent="0.25">
      <c r="A1556" s="48">
        <f t="shared" si="24"/>
        <v>1555</v>
      </c>
      <c r="B1556" s="47" t="s">
        <v>4</v>
      </c>
      <c r="C1556" s="47" t="s">
        <v>7678</v>
      </c>
      <c r="D1556" s="47" t="s">
        <v>7744</v>
      </c>
      <c r="E1556" s="47" t="s">
        <v>7685</v>
      </c>
      <c r="F1556" s="47" t="s">
        <v>956</v>
      </c>
      <c r="G1556" s="47" t="s">
        <v>14</v>
      </c>
      <c r="H1556" s="47" t="str">
        <f>IFERROR(VLOOKUP(Table2[[#This Row], [Ticket]],Okey!A:B,2,0),"")</f>
        <v/>
      </c>
      <c r="I1556" s="47" t="s">
        <v>6455</v>
      </c>
      <c r="J1556" s="47" t="e">
        <f>VLOOKUP(Table2[[#This Row], [Author]],People!A:B,2,0)</f>
        <v>#VALUE!</v>
      </c>
      <c r="K1556" s="47" t="s">
        <v>7858</v>
      </c>
      <c r="L1556" s="47" t="e">
        <f>VLOOKUP(Table2[[#This Row],[Node]],#REF!,2,0)</f>
        <v>#VALUE!</v>
      </c>
      <c r="M1556" s="49" t="s">
        <v>4799</v>
      </c>
    </row>
    <row r="1557" spans="1:13" x14ac:dyDescent="0.25">
      <c r="A1557" s="48">
        <f t="shared" si="24"/>
        <v>1556</v>
      </c>
      <c r="B1557" s="47" t="s">
        <v>4</v>
      </c>
      <c r="C1557" s="47" t="s">
        <v>7678</v>
      </c>
      <c r="D1557" s="47" t="s">
        <v>7745</v>
      </c>
      <c r="E1557" s="47" t="s">
        <v>7686</v>
      </c>
      <c r="F1557" s="47" t="s">
        <v>3971</v>
      </c>
      <c r="G1557" s="47" t="s">
        <v>14</v>
      </c>
      <c r="H1557" s="47" t="str">
        <f>IFERROR(VLOOKUP(Table2[[#This Row], [Ticket]],Okey!A:B,2,0),"")</f>
        <v/>
      </c>
      <c r="I1557" s="47" t="s">
        <v>6455</v>
      </c>
      <c r="J1557" s="47" t="e">
        <f>VLOOKUP(Table2[[#This Row], [Author]],People!A:B,2,0)</f>
        <v>#VALUE!</v>
      </c>
      <c r="K1557" s="47" t="s">
        <v>7858</v>
      </c>
      <c r="L1557" s="47" t="e">
        <f>VLOOKUP(Table2[[#This Row],[Node]],#REF!,2,0)</f>
        <v>#VALUE!</v>
      </c>
      <c r="M1557" s="49" t="s">
        <v>4799</v>
      </c>
    </row>
    <row r="1558" spans="1:13" x14ac:dyDescent="0.25">
      <c r="A1558" s="48">
        <f t="shared" si="24"/>
        <v>1557</v>
      </c>
      <c r="B1558" s="47" t="s">
        <v>4</v>
      </c>
      <c r="C1558" s="47" t="s">
        <v>7678</v>
      </c>
      <c r="D1558" s="47" t="s">
        <v>7746</v>
      </c>
      <c r="E1558" s="47" t="s">
        <v>7687</v>
      </c>
      <c r="F1558" s="47" t="s">
        <v>3971</v>
      </c>
      <c r="G1558" s="47" t="s">
        <v>14</v>
      </c>
      <c r="H1558" s="47" t="str">
        <f>IFERROR(VLOOKUP(Table2[[#This Row], [Ticket]],Okey!A:B,2,0),"")</f>
        <v/>
      </c>
      <c r="I1558" s="47" t="s">
        <v>6455</v>
      </c>
      <c r="J1558" s="47" t="e">
        <f>VLOOKUP(Table2[[#This Row], [Author]],People!A:B,2,0)</f>
        <v>#VALUE!</v>
      </c>
      <c r="K1558" s="47" t="s">
        <v>7858</v>
      </c>
      <c r="L1558" s="47" t="e">
        <f>VLOOKUP(Table2[[#This Row],[Node]],#REF!,2,0)</f>
        <v>#VALUE!</v>
      </c>
      <c r="M1558" s="49" t="s">
        <v>4799</v>
      </c>
    </row>
    <row r="1559" spans="1:13" x14ac:dyDescent="0.25">
      <c r="A1559" s="48">
        <f t="shared" si="24"/>
        <v>1558</v>
      </c>
      <c r="B1559" s="47" t="s">
        <v>4</v>
      </c>
      <c r="C1559" s="47" t="s">
        <v>7678</v>
      </c>
      <c r="D1559" s="47" t="s">
        <v>7747</v>
      </c>
      <c r="E1559" s="47" t="s">
        <v>7688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7858</v>
      </c>
      <c r="L1559" s="47" t="e">
        <f>VLOOKUP(Table2[[#This Row],[Node]],#REF!,2,0)</f>
        <v>#VALUE!</v>
      </c>
      <c r="M1559" s="49" t="s">
        <v>4799</v>
      </c>
    </row>
    <row r="1560" spans="1:13" x14ac:dyDescent="0.25">
      <c r="A1560" s="48">
        <f t="shared" si="24"/>
        <v>1559</v>
      </c>
      <c r="B1560" s="47" t="s">
        <v>4</v>
      </c>
      <c r="C1560" s="47" t="s">
        <v>7678</v>
      </c>
      <c r="D1560" s="47" t="s">
        <v>7748</v>
      </c>
      <c r="E1560" s="47" t="s">
        <v>7689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7858</v>
      </c>
      <c r="L1560" s="47" t="e">
        <f>VLOOKUP(Table2[[#This Row],[Node]],#REF!,2,0)</f>
        <v>#VALUE!</v>
      </c>
      <c r="M1560" s="49" t="s">
        <v>4799</v>
      </c>
    </row>
    <row r="1561" spans="1:13" x14ac:dyDescent="0.25">
      <c r="A1561" s="48">
        <f t="shared" si="24"/>
        <v>1560</v>
      </c>
      <c r="B1561" s="47" t="s">
        <v>4</v>
      </c>
      <c r="C1561" s="47" t="s">
        <v>7678</v>
      </c>
      <c r="D1561" s="47" t="s">
        <v>7749</v>
      </c>
      <c r="E1561" s="47" t="s">
        <v>7690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7858</v>
      </c>
      <c r="L1561" s="47" t="e">
        <f>VLOOKUP(Table2[[#This Row],[Node]],#REF!,2,0)</f>
        <v>#VALUE!</v>
      </c>
      <c r="M1561" s="49" t="s">
        <v>4799</v>
      </c>
    </row>
    <row r="1562" spans="1:13" x14ac:dyDescent="0.25">
      <c r="A1562" s="48">
        <f t="shared" si="24"/>
        <v>1561</v>
      </c>
      <c r="B1562" s="47" t="s">
        <v>4</v>
      </c>
      <c r="C1562" s="47" t="s">
        <v>7678</v>
      </c>
      <c r="D1562" s="47" t="s">
        <v>7750</v>
      </c>
      <c r="E1562" s="47" t="s">
        <v>7691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7858</v>
      </c>
      <c r="L1562" s="47" t="e">
        <f>VLOOKUP(Table2[[#This Row],[Node]],#REF!,2,0)</f>
        <v>#VALUE!</v>
      </c>
      <c r="M1562" s="49" t="s">
        <v>4799</v>
      </c>
    </row>
    <row r="1563" spans="1:13" x14ac:dyDescent="0.25">
      <c r="A1563" s="48">
        <f t="shared" si="24"/>
        <v>1562</v>
      </c>
      <c r="B1563" s="47" t="s">
        <v>4</v>
      </c>
      <c r="C1563" s="47" t="s">
        <v>7678</v>
      </c>
      <c r="D1563" s="47" t="s">
        <v>7751</v>
      </c>
      <c r="E1563" s="47" t="s">
        <v>7692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7858</v>
      </c>
      <c r="L1563" s="47" t="e">
        <f>VLOOKUP(Table2[[#This Row],[Node]],#REF!,2,0)</f>
        <v>#VALUE!</v>
      </c>
      <c r="M1563" s="49" t="s">
        <v>4799</v>
      </c>
    </row>
    <row r="1564" spans="1:13" x14ac:dyDescent="0.25">
      <c r="A1564" s="48">
        <f t="shared" si="24"/>
        <v>1563</v>
      </c>
      <c r="B1564" s="47" t="s">
        <v>4</v>
      </c>
      <c r="C1564" s="47" t="s">
        <v>7678</v>
      </c>
      <c r="D1564" s="47" t="s">
        <v>7752</v>
      </c>
      <c r="E1564" s="47" t="s">
        <v>7693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7858</v>
      </c>
      <c r="L1564" s="47" t="e">
        <f>VLOOKUP(Table2[[#This Row],[Node]],#REF!,2,0)</f>
        <v>#VALUE!</v>
      </c>
      <c r="M1564" s="49" t="s">
        <v>4799</v>
      </c>
    </row>
    <row r="1565" spans="1:13" x14ac:dyDescent="0.25">
      <c r="A1565" s="48">
        <f t="shared" si="24"/>
        <v>1564</v>
      </c>
      <c r="B1565" s="47" t="s">
        <v>4</v>
      </c>
      <c r="C1565" s="47" t="s">
        <v>7678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7857</v>
      </c>
      <c r="L1565" s="47"/>
      <c r="M1565" s="49" t="s">
        <v>4799</v>
      </c>
    </row>
    <row r="1566" spans="1:13" x14ac:dyDescent="0.25">
      <c r="A1566" s="48">
        <f t="shared" si="24"/>
        <v>1565</v>
      </c>
      <c r="B1566" s="47" t="s">
        <v>4</v>
      </c>
      <c r="C1566" s="47" t="s">
        <v>7678</v>
      </c>
      <c r="D1566" s="47" t="s">
        <v>3341</v>
      </c>
      <c r="E1566" s="47" t="s">
        <v>7694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7857</v>
      </c>
      <c r="L1566" s="47"/>
      <c r="M1566" s="49" t="s">
        <v>4799</v>
      </c>
    </row>
    <row r="1567" spans="1:13" x14ac:dyDescent="0.25">
      <c r="A1567" s="48">
        <f t="shared" si="24"/>
        <v>1566</v>
      </c>
      <c r="B1567" s="47" t="s">
        <v>4</v>
      </c>
      <c r="C1567" s="47" t="s">
        <v>7678</v>
      </c>
      <c r="D1567" s="47" t="s">
        <v>7695</v>
      </c>
      <c r="E1567" s="47" t="s">
        <v>7696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7857</v>
      </c>
      <c r="L1567" s="47"/>
      <c r="M1567" s="49" t="s">
        <v>4799</v>
      </c>
    </row>
    <row r="1568" spans="1:13" x14ac:dyDescent="0.25">
      <c r="A1568" s="48">
        <f t="shared" si="24"/>
        <v>1567</v>
      </c>
      <c r="B1568" s="47" t="s">
        <v>4</v>
      </c>
      <c r="C1568" s="47" t="s">
        <v>7678</v>
      </c>
      <c r="D1568" s="47" t="s">
        <v>7697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7857</v>
      </c>
      <c r="L1568" s="47"/>
      <c r="M1568" s="49" t="s">
        <v>4799</v>
      </c>
    </row>
    <row r="1569" spans="1:13" x14ac:dyDescent="0.25">
      <c r="A1569" s="48">
        <f t="shared" si="24"/>
        <v>1568</v>
      </c>
      <c r="B1569" s="47" t="s">
        <v>4</v>
      </c>
      <c r="C1569" s="47" t="s">
        <v>7678</v>
      </c>
      <c r="D1569" s="47" t="s">
        <v>3557</v>
      </c>
      <c r="E1569" s="47" t="s">
        <v>7698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7857</v>
      </c>
      <c r="L1569" s="47"/>
      <c r="M1569" s="49" t="s">
        <v>4799</v>
      </c>
    </row>
    <row r="1570" spans="1:13" x14ac:dyDescent="0.25">
      <c r="A1570" s="48">
        <f t="shared" si="24"/>
        <v>1569</v>
      </c>
      <c r="B1570" s="47" t="s">
        <v>4</v>
      </c>
      <c r="C1570" s="47" t="s">
        <v>7678</v>
      </c>
      <c r="D1570" s="47" t="s">
        <v>4133</v>
      </c>
      <c r="E1570" s="47" t="s">
        <v>7699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7857</v>
      </c>
      <c r="L1570" s="47"/>
      <c r="M1570" s="49" t="s">
        <v>4799</v>
      </c>
    </row>
    <row r="1571" spans="1:13" x14ac:dyDescent="0.25">
      <c r="A1571" s="48">
        <f t="shared" si="24"/>
        <v>1570</v>
      </c>
      <c r="B1571" s="47" t="s">
        <v>4</v>
      </c>
      <c r="C1571" s="47" t="s">
        <v>7678</v>
      </c>
      <c r="D1571" s="47" t="s">
        <v>4135</v>
      </c>
      <c r="E1571" s="47" t="s">
        <v>7700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7857</v>
      </c>
      <c r="L1571" s="47"/>
      <c r="M1571" s="49" t="s">
        <v>4799</v>
      </c>
    </row>
    <row r="1572" spans="1:13" x14ac:dyDescent="0.25">
      <c r="A1572" s="48">
        <f t="shared" si="24"/>
        <v>1571</v>
      </c>
      <c r="B1572" s="47" t="s">
        <v>4</v>
      </c>
      <c r="C1572" s="47" t="s">
        <v>7678</v>
      </c>
      <c r="D1572" s="47" t="s">
        <v>4137</v>
      </c>
      <c r="E1572" s="47" t="s">
        <v>7701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7857</v>
      </c>
      <c r="L1572" s="47"/>
      <c r="M1572" s="49" t="s">
        <v>4799</v>
      </c>
    </row>
    <row r="1573" spans="1:13" x14ac:dyDescent="0.25">
      <c r="A1573" s="48">
        <f t="shared" si="24"/>
        <v>1572</v>
      </c>
      <c r="B1573" s="47" t="s">
        <v>4</v>
      </c>
      <c r="C1573" s="47" t="s">
        <v>7678</v>
      </c>
      <c r="D1573" s="47" t="s">
        <v>3952</v>
      </c>
      <c r="E1573" s="47" t="s">
        <v>7702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7857</v>
      </c>
      <c r="L1573" s="47"/>
      <c r="M1573" s="49" t="s">
        <v>4799</v>
      </c>
    </row>
    <row r="1574" spans="1:13" x14ac:dyDescent="0.25">
      <c r="A1574" s="48">
        <f t="shared" si="24"/>
        <v>1573</v>
      </c>
      <c r="B1574" s="47" t="s">
        <v>4</v>
      </c>
      <c r="C1574" s="47" t="s">
        <v>7678</v>
      </c>
      <c r="D1574" s="47" t="s">
        <v>3972</v>
      </c>
      <c r="E1574" s="47" t="s">
        <v>7703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7857</v>
      </c>
      <c r="L1574" s="47"/>
      <c r="M1574" s="49" t="s">
        <v>4799</v>
      </c>
    </row>
    <row r="1575" spans="1:13" x14ac:dyDescent="0.25">
      <c r="A1575" s="48">
        <f t="shared" si="24"/>
        <v>1574</v>
      </c>
      <c r="B1575" s="47" t="s">
        <v>4</v>
      </c>
      <c r="C1575" s="47" t="s">
        <v>7678</v>
      </c>
      <c r="D1575" s="47" t="s">
        <v>3491</v>
      </c>
      <c r="E1575" s="47" t="s">
        <v>7704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7857</v>
      </c>
      <c r="L1575" s="47"/>
      <c r="M1575" s="49" t="s">
        <v>4799</v>
      </c>
    </row>
    <row r="1576" spans="1:13" x14ac:dyDescent="0.25">
      <c r="A1576" s="48">
        <f t="shared" si="24"/>
        <v>1575</v>
      </c>
      <c r="B1576" s="47" t="s">
        <v>4</v>
      </c>
      <c r="C1576" s="47" t="s">
        <v>7678</v>
      </c>
      <c r="D1576" s="47" t="s">
        <v>3611</v>
      </c>
      <c r="E1576" s="47" t="s">
        <v>7705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7857</v>
      </c>
      <c r="L1576" s="47"/>
      <c r="M1576" s="49" t="s">
        <v>4799</v>
      </c>
    </row>
    <row r="1577" spans="1:13" x14ac:dyDescent="0.25">
      <c r="A1577" s="48">
        <f t="shared" si="24"/>
        <v>1576</v>
      </c>
      <c r="B1577" s="47" t="s">
        <v>4</v>
      </c>
      <c r="C1577" s="47" t="s">
        <v>7678</v>
      </c>
      <c r="D1577" s="47" t="s">
        <v>4201</v>
      </c>
      <c r="E1577" s="47" t="s">
        <v>7706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7859</v>
      </c>
      <c r="L1577" s="47"/>
      <c r="M1577" s="49" t="s">
        <v>4799</v>
      </c>
    </row>
    <row r="1578" spans="1:13" x14ac:dyDescent="0.25">
      <c r="A1578" s="48">
        <f t="shared" si="24"/>
        <v>1577</v>
      </c>
      <c r="B1578" s="47" t="s">
        <v>4</v>
      </c>
      <c r="C1578" s="47" t="s">
        <v>7678</v>
      </c>
      <c r="D1578" s="47" t="s">
        <v>4072</v>
      </c>
      <c r="E1578" s="47" t="s">
        <v>7707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7859</v>
      </c>
      <c r="L1578" s="47"/>
      <c r="M1578" s="49" t="s">
        <v>4799</v>
      </c>
    </row>
    <row r="1579" spans="1:13" x14ac:dyDescent="0.25">
      <c r="A1579" s="48">
        <f t="shared" si="24"/>
        <v>1578</v>
      </c>
      <c r="B1579" s="47" t="s">
        <v>4</v>
      </c>
      <c r="C1579" s="47" t="s">
        <v>7678</v>
      </c>
      <c r="D1579" s="47" t="s">
        <v>7708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7859</v>
      </c>
      <c r="L1579" s="47"/>
      <c r="M1579" s="49" t="s">
        <v>4799</v>
      </c>
    </row>
    <row r="1580" spans="1:13" x14ac:dyDescent="0.25">
      <c r="A1580" s="48">
        <f t="shared" si="24"/>
        <v>1579</v>
      </c>
      <c r="B1580" s="47" t="s">
        <v>4</v>
      </c>
      <c r="C1580" s="47" t="s">
        <v>7678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7859</v>
      </c>
      <c r="L1580" s="47"/>
      <c r="M1580" s="49" t="s">
        <v>4799</v>
      </c>
    </row>
    <row r="1581" spans="1:13" x14ac:dyDescent="0.25">
      <c r="A1581" s="48">
        <f t="shared" si="24"/>
        <v>1580</v>
      </c>
      <c r="B1581" s="47" t="s">
        <v>4</v>
      </c>
      <c r="C1581" s="47" t="s">
        <v>7678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7859</v>
      </c>
      <c r="L1581" s="47"/>
      <c r="M1581" s="49" t="s">
        <v>4799</v>
      </c>
    </row>
    <row r="1582" spans="1:13" x14ac:dyDescent="0.25">
      <c r="A1582" s="48">
        <f t="shared" si="24"/>
        <v>1581</v>
      </c>
      <c r="B1582" s="47" t="s">
        <v>4</v>
      </c>
      <c r="C1582" s="47" t="s">
        <v>7678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7859</v>
      </c>
      <c r="L1582" s="47"/>
      <c r="M1582" s="49" t="s">
        <v>4799</v>
      </c>
    </row>
    <row r="1583" spans="1:13" x14ac:dyDescent="0.25">
      <c r="A1583" s="48">
        <f t="shared" si="24"/>
        <v>1582</v>
      </c>
      <c r="B1583" s="47" t="s">
        <v>4</v>
      </c>
      <c r="C1583" s="47" t="s">
        <v>7678</v>
      </c>
      <c r="D1583" s="47" t="s">
        <v>7709</v>
      </c>
      <c r="E1583" s="47"/>
      <c r="F1583" s="47" t="s">
        <v>7716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7859</v>
      </c>
      <c r="L1583" s="47"/>
      <c r="M1583" s="49" t="s">
        <v>4799</v>
      </c>
    </row>
    <row r="1584" spans="1:13" x14ac:dyDescent="0.25">
      <c r="A1584" s="48">
        <f t="shared" si="24"/>
        <v>1583</v>
      </c>
      <c r="B1584" s="47" t="s">
        <v>4</v>
      </c>
      <c r="C1584" s="47" t="s">
        <v>7678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7859</v>
      </c>
      <c r="L1584" s="47"/>
      <c r="M1584" s="49" t="s">
        <v>4799</v>
      </c>
    </row>
    <row r="1585" spans="1:13" x14ac:dyDescent="0.25">
      <c r="A1585" s="48">
        <f t="shared" si="24"/>
        <v>1584</v>
      </c>
      <c r="B1585" s="47" t="s">
        <v>4</v>
      </c>
      <c r="C1585" s="47" t="s">
        <v>7678</v>
      </c>
      <c r="D1585" s="47" t="s">
        <v>7710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7859</v>
      </c>
      <c r="L1585" s="47"/>
      <c r="M1585" s="49" t="s">
        <v>4799</v>
      </c>
    </row>
    <row r="1586" spans="1:13" x14ac:dyDescent="0.25">
      <c r="A1586" s="48">
        <f t="shared" si="24"/>
        <v>1585</v>
      </c>
      <c r="B1586" s="47" t="s">
        <v>4</v>
      </c>
      <c r="C1586" s="47" t="s">
        <v>7678</v>
      </c>
      <c r="D1586" s="47" t="s">
        <v>7711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7859</v>
      </c>
      <c r="L1586" s="47"/>
      <c r="M1586" s="49" t="s">
        <v>4799</v>
      </c>
    </row>
    <row r="1587" spans="1:13" x14ac:dyDescent="0.25">
      <c r="A1587" s="48">
        <f t="shared" si="24"/>
        <v>1586</v>
      </c>
      <c r="B1587" s="47" t="s">
        <v>4</v>
      </c>
      <c r="C1587" s="47" t="s">
        <v>7678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7859</v>
      </c>
      <c r="L1587" s="47"/>
      <c r="M1587" s="49" t="s">
        <v>4799</v>
      </c>
    </row>
    <row r="1588" spans="1:13" x14ac:dyDescent="0.25">
      <c r="A1588" s="48">
        <f t="shared" si="24"/>
        <v>1587</v>
      </c>
      <c r="B1588" s="47" t="s">
        <v>4</v>
      </c>
      <c r="C1588" s="47" t="s">
        <v>7678</v>
      </c>
      <c r="D1588" s="47" t="s">
        <v>7712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7859</v>
      </c>
      <c r="L1588" s="47"/>
      <c r="M1588" s="49" t="s">
        <v>4799</v>
      </c>
    </row>
    <row r="1589" spans="1:13" x14ac:dyDescent="0.25">
      <c r="A1589" s="48">
        <f t="shared" si="24"/>
        <v>1588</v>
      </c>
      <c r="B1589" s="47" t="s">
        <v>4</v>
      </c>
      <c r="C1589" s="47" t="s">
        <v>7678</v>
      </c>
      <c r="D1589" s="47" t="s">
        <v>7713</v>
      </c>
      <c r="E1589" s="47"/>
      <c r="F1589" s="47" t="s">
        <v>7747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7859</v>
      </c>
      <c r="L1589" s="47"/>
      <c r="M1589" s="49" t="s">
        <v>4799</v>
      </c>
    </row>
    <row r="1590" spans="1:13" x14ac:dyDescent="0.25">
      <c r="A1590" s="48">
        <f t="shared" si="24"/>
        <v>1589</v>
      </c>
      <c r="B1590" s="47" t="s">
        <v>4</v>
      </c>
      <c r="C1590" s="47" t="s">
        <v>7678</v>
      </c>
      <c r="D1590" s="47" t="s">
        <v>7714</v>
      </c>
      <c r="E1590" s="47"/>
      <c r="F1590" s="47" t="s">
        <v>7751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7859</v>
      </c>
      <c r="L1590" s="47"/>
      <c r="M1590" s="49" t="s">
        <v>4799</v>
      </c>
    </row>
    <row r="1591" spans="1:13" x14ac:dyDescent="0.25">
      <c r="A1591" s="48">
        <f t="shared" si="24"/>
        <v>1590</v>
      </c>
      <c r="B1591" s="47" t="s">
        <v>4</v>
      </c>
      <c r="C1591" s="47" t="s">
        <v>7678</v>
      </c>
      <c r="D1591" s="47" t="s">
        <v>7715</v>
      </c>
      <c r="E1591" s="47"/>
      <c r="F1591" s="47" t="s">
        <v>7750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7859</v>
      </c>
      <c r="L1591" s="47"/>
      <c r="M1591" s="49" t="s">
        <v>4799</v>
      </c>
    </row>
    <row r="1592" spans="1:13" x14ac:dyDescent="0.25">
      <c r="A1592" s="48">
        <f t="shared" si="24"/>
        <v>1591</v>
      </c>
      <c r="B1592" s="47" t="s">
        <v>4</v>
      </c>
      <c r="C1592" s="47" t="s">
        <v>7678</v>
      </c>
      <c r="D1592" s="47" t="s">
        <v>5997</v>
      </c>
      <c r="E1592" s="47"/>
      <c r="F1592" s="47" t="s">
        <v>7752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7859</v>
      </c>
      <c r="L1592" s="47"/>
      <c r="M1592" s="49" t="s">
        <v>4799</v>
      </c>
    </row>
    <row r="1593" spans="1:13" x14ac:dyDescent="0.25">
      <c r="A1593" s="48">
        <f t="shared" si="24"/>
        <v>1592</v>
      </c>
      <c r="B1593" s="47" t="s">
        <v>4</v>
      </c>
      <c r="C1593" s="47" t="s">
        <v>7678</v>
      </c>
      <c r="D1593" s="47" t="s">
        <v>5999</v>
      </c>
      <c r="E1593" s="47"/>
      <c r="F1593" s="47" t="s">
        <v>7752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7859</v>
      </c>
      <c r="L1593" s="47"/>
      <c r="M1593" s="49" t="s">
        <v>4799</v>
      </c>
    </row>
    <row r="1594" spans="1:13" x14ac:dyDescent="0.25">
      <c r="A1594" s="48">
        <f t="shared" si="24"/>
        <v>1593</v>
      </c>
      <c r="B1594" s="47" t="s">
        <v>4</v>
      </c>
      <c r="C1594" s="47" t="s">
        <v>7678</v>
      </c>
      <c r="D1594" s="47" t="s">
        <v>7717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7859</v>
      </c>
      <c r="L1594" s="47"/>
      <c r="M1594" s="49" t="s">
        <v>4799</v>
      </c>
    </row>
    <row r="1595" spans="1:13" x14ac:dyDescent="0.25">
      <c r="A1595" s="48">
        <f t="shared" si="24"/>
        <v>1594</v>
      </c>
      <c r="B1595" s="47" t="s">
        <v>4</v>
      </c>
      <c r="C1595" s="47" t="s">
        <v>7678</v>
      </c>
      <c r="D1595" s="47" t="s">
        <v>7718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7859</v>
      </c>
      <c r="L1595" s="47"/>
      <c r="M1595" s="49" t="s">
        <v>4799</v>
      </c>
    </row>
    <row r="1596" spans="1:13" x14ac:dyDescent="0.25">
      <c r="A1596" s="48">
        <f t="shared" si="24"/>
        <v>1595</v>
      </c>
      <c r="B1596" s="47" t="s">
        <v>4</v>
      </c>
      <c r="C1596" s="47" t="s">
        <v>7678</v>
      </c>
      <c r="D1596" s="47" t="s">
        <v>7719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7859</v>
      </c>
      <c r="L1596" s="47"/>
      <c r="M1596" s="49" t="s">
        <v>4799</v>
      </c>
    </row>
    <row r="1597" spans="1:13" x14ac:dyDescent="0.25">
      <c r="A1597" s="48">
        <f t="shared" si="24"/>
        <v>1596</v>
      </c>
      <c r="B1597" s="47" t="s">
        <v>4</v>
      </c>
      <c r="C1597" s="47" t="s">
        <v>7678</v>
      </c>
      <c r="D1597" s="47" t="s">
        <v>7720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7859</v>
      </c>
      <c r="L1597" s="47"/>
      <c r="M1597" s="49" t="s">
        <v>4799</v>
      </c>
    </row>
    <row r="1598" spans="1:13" x14ac:dyDescent="0.25">
      <c r="A1598" s="48">
        <f t="shared" si="24"/>
        <v>1597</v>
      </c>
      <c r="B1598" s="47" t="s">
        <v>4</v>
      </c>
      <c r="C1598" s="47" t="s">
        <v>7678</v>
      </c>
      <c r="D1598" s="47" t="s">
        <v>7721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7859</v>
      </c>
      <c r="L1598" s="47"/>
      <c r="M1598" s="49" t="s">
        <v>4799</v>
      </c>
    </row>
    <row r="1599" spans="1:13" x14ac:dyDescent="0.25">
      <c r="A1599" s="48">
        <f t="shared" si="24"/>
        <v>1598</v>
      </c>
      <c r="B1599" s="47" t="s">
        <v>4</v>
      </c>
      <c r="C1599" s="47" t="s">
        <v>7678</v>
      </c>
      <c r="D1599" s="47" t="s">
        <v>7722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7859</v>
      </c>
      <c r="L1599" s="47"/>
      <c r="M1599" s="49" t="s">
        <v>4799</v>
      </c>
    </row>
    <row r="1600" spans="1:13" x14ac:dyDescent="0.25">
      <c r="A1600" s="48">
        <f t="shared" si="24"/>
        <v>1599</v>
      </c>
      <c r="B1600" s="47" t="s">
        <v>4</v>
      </c>
      <c r="C1600" s="47" t="s">
        <v>7678</v>
      </c>
      <c r="D1600" s="47" t="s">
        <v>7723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7859</v>
      </c>
      <c r="L1600" s="47"/>
      <c r="M1600" s="49" t="s">
        <v>4799</v>
      </c>
    </row>
    <row r="1601" spans="1:13" x14ac:dyDescent="0.25">
      <c r="A1601" s="48">
        <f t="shared" si="24"/>
        <v>1600</v>
      </c>
      <c r="B1601" s="47" t="s">
        <v>4</v>
      </c>
      <c r="C1601" s="47" t="s">
        <v>7678</v>
      </c>
      <c r="D1601" s="47" t="s">
        <v>7724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7859</v>
      </c>
      <c r="L1601" s="47"/>
      <c r="M1601" s="49" t="s">
        <v>4799</v>
      </c>
    </row>
    <row r="1602" spans="1:13" x14ac:dyDescent="0.25">
      <c r="A1602" s="48">
        <f t="shared" si="24"/>
        <v>1601</v>
      </c>
      <c r="B1602" s="47" t="s">
        <v>4</v>
      </c>
      <c r="C1602" s="47" t="s">
        <v>7678</v>
      </c>
      <c r="D1602" s="47" t="s">
        <v>7725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7859</v>
      </c>
      <c r="L1602" s="47"/>
      <c r="M1602" s="49" t="s">
        <v>4799</v>
      </c>
    </row>
    <row r="1603" spans="1:13" x14ac:dyDescent="0.25">
      <c r="A1603" s="48">
        <f t="shared" ref="A1603:A1666" si="25">1+A1602</f>
        <v>1602</v>
      </c>
      <c r="B1603" s="47" t="s">
        <v>4</v>
      </c>
      <c r="C1603" s="47" t="s">
        <v>7678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7859</v>
      </c>
      <c r="L1603" s="47"/>
      <c r="M1603" s="49" t="s">
        <v>4799</v>
      </c>
    </row>
    <row r="1604" spans="1:13" x14ac:dyDescent="0.25">
      <c r="A1604" s="48">
        <f t="shared" si="25"/>
        <v>1603</v>
      </c>
      <c r="B1604" s="47" t="s">
        <v>4</v>
      </c>
      <c r="C1604" s="47" t="s">
        <v>7678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7859</v>
      </c>
      <c r="L1604" s="47"/>
      <c r="M1604" s="49" t="s">
        <v>4799</v>
      </c>
    </row>
    <row r="1605" spans="1:13" x14ac:dyDescent="0.25">
      <c r="A1605" s="48">
        <f t="shared" si="25"/>
        <v>1604</v>
      </c>
      <c r="B1605" s="47" t="s">
        <v>4</v>
      </c>
      <c r="C1605" s="47" t="s">
        <v>7678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7859</v>
      </c>
      <c r="L1605" s="47"/>
      <c r="M1605" s="49" t="s">
        <v>4799</v>
      </c>
    </row>
    <row r="1606" spans="1:13" x14ac:dyDescent="0.25">
      <c r="A1606" s="48">
        <f t="shared" si="25"/>
        <v>1605</v>
      </c>
      <c r="B1606" s="47" t="s">
        <v>4</v>
      </c>
      <c r="C1606" s="47" t="s">
        <v>7678</v>
      </c>
      <c r="D1606" s="47" t="s">
        <v>7726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7859</v>
      </c>
      <c r="L1606" s="47"/>
      <c r="M1606" s="49" t="s">
        <v>4799</v>
      </c>
    </row>
    <row r="1607" spans="1:13" x14ac:dyDescent="0.25">
      <c r="A1607" s="48">
        <f t="shared" si="25"/>
        <v>1606</v>
      </c>
      <c r="B1607" s="47" t="s">
        <v>4</v>
      </c>
      <c r="C1607" s="47" t="s">
        <v>7678</v>
      </c>
      <c r="D1607" s="47" t="s">
        <v>7727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7859</v>
      </c>
      <c r="L1607" s="47"/>
      <c r="M1607" s="49" t="s">
        <v>4799</v>
      </c>
    </row>
    <row r="1608" spans="1:13" x14ac:dyDescent="0.25">
      <c r="A1608" s="48">
        <f t="shared" si="25"/>
        <v>1607</v>
      </c>
      <c r="B1608" s="47" t="s">
        <v>4</v>
      </c>
      <c r="C1608" s="47" t="s">
        <v>7678</v>
      </c>
      <c r="D1608" s="47" t="s">
        <v>7728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7859</v>
      </c>
      <c r="L1608" s="47"/>
      <c r="M1608" s="49" t="s">
        <v>4799</v>
      </c>
    </row>
    <row r="1609" spans="1:13" x14ac:dyDescent="0.25">
      <c r="A1609" s="48">
        <f t="shared" si="25"/>
        <v>1608</v>
      </c>
      <c r="B1609" s="47" t="s">
        <v>4</v>
      </c>
      <c r="C1609" s="47" t="s">
        <v>7678</v>
      </c>
      <c r="D1609" s="47" t="s">
        <v>7729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7859</v>
      </c>
      <c r="L1609" s="47"/>
      <c r="M1609" s="49" t="s">
        <v>4799</v>
      </c>
    </row>
    <row r="1610" spans="1:13" x14ac:dyDescent="0.25">
      <c r="A1610" s="48">
        <f t="shared" si="25"/>
        <v>1609</v>
      </c>
      <c r="B1610" s="47" t="s">
        <v>4</v>
      </c>
      <c r="C1610" s="47" t="s">
        <v>7678</v>
      </c>
      <c r="D1610" s="47" t="s">
        <v>7730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7859</v>
      </c>
      <c r="L1610" s="47"/>
      <c r="M1610" s="49" t="s">
        <v>4799</v>
      </c>
    </row>
    <row r="1611" spans="1:13" x14ac:dyDescent="0.25">
      <c r="A1611" s="48">
        <f t="shared" si="25"/>
        <v>1610</v>
      </c>
      <c r="B1611" s="47" t="s">
        <v>4</v>
      </c>
      <c r="C1611" s="47" t="s">
        <v>7678</v>
      </c>
      <c r="D1611" s="47" t="s">
        <v>7731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7859</v>
      </c>
      <c r="L1611" s="47"/>
      <c r="M1611" s="49" t="s">
        <v>4799</v>
      </c>
    </row>
    <row r="1612" spans="1:13" x14ac:dyDescent="0.25">
      <c r="A1612" s="48">
        <f t="shared" si="25"/>
        <v>1611</v>
      </c>
      <c r="B1612" s="47" t="s">
        <v>4</v>
      </c>
      <c r="C1612" s="47" t="s">
        <v>7678</v>
      </c>
      <c r="D1612" s="47" t="s">
        <v>7732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7859</v>
      </c>
      <c r="L1612" s="47"/>
      <c r="M1612" s="49" t="s">
        <v>4799</v>
      </c>
    </row>
    <row r="1613" spans="1:13" x14ac:dyDescent="0.25">
      <c r="A1613" s="48">
        <f t="shared" si="25"/>
        <v>1612</v>
      </c>
      <c r="B1613" s="47" t="s">
        <v>4</v>
      </c>
      <c r="C1613" s="47" t="s">
        <v>7678</v>
      </c>
      <c r="D1613" s="47" t="s">
        <v>7733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7859</v>
      </c>
      <c r="L1613" s="47"/>
      <c r="M1613" s="49" t="s">
        <v>4799</v>
      </c>
    </row>
    <row r="1614" spans="1:13" x14ac:dyDescent="0.25">
      <c r="A1614" s="48">
        <f t="shared" si="25"/>
        <v>1613</v>
      </c>
      <c r="B1614" s="47" t="s">
        <v>4</v>
      </c>
      <c r="C1614" s="47" t="s">
        <v>7678</v>
      </c>
      <c r="D1614" s="47" t="s">
        <v>7734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7859</v>
      </c>
      <c r="L1614" s="47"/>
      <c r="M1614" s="49" t="s">
        <v>4799</v>
      </c>
    </row>
    <row r="1615" spans="1:13" x14ac:dyDescent="0.25">
      <c r="A1615" s="48">
        <f t="shared" si="25"/>
        <v>1614</v>
      </c>
      <c r="B1615" s="47" t="s">
        <v>4</v>
      </c>
      <c r="C1615" s="47" t="s">
        <v>7678</v>
      </c>
      <c r="D1615" s="47" t="s">
        <v>7735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7859</v>
      </c>
      <c r="L1615" s="47"/>
      <c r="M1615" s="49" t="s">
        <v>4799</v>
      </c>
    </row>
    <row r="1616" spans="1:13" x14ac:dyDescent="0.25">
      <c r="A1616" s="48">
        <f t="shared" si="25"/>
        <v>1615</v>
      </c>
      <c r="B1616" s="47" t="s">
        <v>4</v>
      </c>
      <c r="C1616" s="47" t="s">
        <v>7678</v>
      </c>
      <c r="D1616" s="47" t="s">
        <v>7736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7859</v>
      </c>
      <c r="L1616" s="47"/>
      <c r="M1616" s="49" t="s">
        <v>4799</v>
      </c>
    </row>
    <row r="1617" spans="1:13" x14ac:dyDescent="0.25">
      <c r="A1617" s="48">
        <f t="shared" si="25"/>
        <v>1616</v>
      </c>
      <c r="B1617" s="47" t="s">
        <v>4</v>
      </c>
      <c r="C1617" s="47" t="s">
        <v>7678</v>
      </c>
      <c r="D1617" s="47" t="s">
        <v>7737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7859</v>
      </c>
      <c r="L1617" s="47"/>
      <c r="M1617" s="49" t="s">
        <v>4799</v>
      </c>
    </row>
    <row r="1618" spans="1:13" x14ac:dyDescent="0.25">
      <c r="A1618" s="48">
        <f t="shared" si="25"/>
        <v>1617</v>
      </c>
      <c r="B1618" s="47" t="s">
        <v>4</v>
      </c>
      <c r="C1618" s="47" t="s">
        <v>7678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7859</v>
      </c>
      <c r="L1618" s="47"/>
      <c r="M1618" s="49" t="s">
        <v>4799</v>
      </c>
    </row>
    <row r="1619" spans="1:13" x14ac:dyDescent="0.25">
      <c r="A1619" s="48">
        <f t="shared" si="25"/>
        <v>1618</v>
      </c>
      <c r="B1619" s="47" t="s">
        <v>4</v>
      </c>
      <c r="C1619" s="47" t="s">
        <v>7678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7859</v>
      </c>
      <c r="L1619" s="47"/>
      <c r="M1619" s="49" t="s">
        <v>4799</v>
      </c>
    </row>
    <row r="1620" spans="1:13" x14ac:dyDescent="0.25">
      <c r="A1620" s="48">
        <f t="shared" si="25"/>
        <v>1619</v>
      </c>
      <c r="B1620" s="47" t="s">
        <v>4</v>
      </c>
      <c r="C1620" s="47" t="s">
        <v>7678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7859</v>
      </c>
      <c r="L1620" s="47"/>
      <c r="M1620" s="49" t="s">
        <v>4799</v>
      </c>
    </row>
    <row r="1621" spans="1:13" ht="30" x14ac:dyDescent="0.25">
      <c r="A1621" s="48">
        <f t="shared" si="25"/>
        <v>1620</v>
      </c>
      <c r="B1621" s="47" t="s">
        <v>4</v>
      </c>
      <c r="C1621" s="47" t="s">
        <v>7753</v>
      </c>
      <c r="D1621" s="56" t="s">
        <v>7754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7858</v>
      </c>
      <c r="L1621" s="47" t="e">
        <f>VLOOKUP(Table2[[#This Row],[Node]],#REF!,2,0)</f>
        <v>#VALUE!</v>
      </c>
      <c r="M1621" s="49" t="s">
        <v>6354</v>
      </c>
    </row>
    <row r="1622" spans="1:13" x14ac:dyDescent="0.25">
      <c r="A1622" s="48">
        <f t="shared" si="25"/>
        <v>1621</v>
      </c>
      <c r="B1622" s="47" t="s">
        <v>4</v>
      </c>
      <c r="C1622" s="47" t="s">
        <v>7755</v>
      </c>
      <c r="D1622" s="47" t="s">
        <v>7811</v>
      </c>
      <c r="E1622" s="47" t="s">
        <v>7756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7858</v>
      </c>
      <c r="L1622" s="47" t="e">
        <f>VLOOKUP(Table2[[#This Row],[Node]],#REF!,2,0)</f>
        <v>#VALUE!</v>
      </c>
      <c r="M1622" s="49" t="s">
        <v>6110</v>
      </c>
    </row>
    <row r="1623" spans="1:13" x14ac:dyDescent="0.25">
      <c r="A1623" s="48">
        <f t="shared" si="25"/>
        <v>1622</v>
      </c>
      <c r="B1623" s="47" t="s">
        <v>4</v>
      </c>
      <c r="C1623" s="47" t="s">
        <v>7755</v>
      </c>
      <c r="D1623" s="47" t="s">
        <v>7812</v>
      </c>
      <c r="E1623" s="47" t="s">
        <v>7757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7858</v>
      </c>
      <c r="L1623" s="47" t="e">
        <f>VLOOKUP(Table2[[#This Row],[Node]],#REF!,2,0)</f>
        <v>#VALUE!</v>
      </c>
      <c r="M1623" s="49" t="s">
        <v>6110</v>
      </c>
    </row>
    <row r="1624" spans="1:13" x14ac:dyDescent="0.25">
      <c r="A1624" s="48">
        <f t="shared" si="25"/>
        <v>1623</v>
      </c>
      <c r="B1624" s="47" t="s">
        <v>4</v>
      </c>
      <c r="C1624" s="47" t="s">
        <v>7755</v>
      </c>
      <c r="D1624" s="47" t="s">
        <v>7813</v>
      </c>
      <c r="E1624" s="47" t="s">
        <v>7758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7858</v>
      </c>
      <c r="L1624" s="47" t="e">
        <f>VLOOKUP(Table2[[#This Row],[Node]],#REF!,2,0)</f>
        <v>#VALUE!</v>
      </c>
      <c r="M1624" s="49" t="s">
        <v>6110</v>
      </c>
    </row>
    <row r="1625" spans="1:13" x14ac:dyDescent="0.25">
      <c r="A1625" s="48">
        <f t="shared" si="25"/>
        <v>1624</v>
      </c>
      <c r="B1625" s="47" t="s">
        <v>4</v>
      </c>
      <c r="C1625" s="47" t="s">
        <v>7755</v>
      </c>
      <c r="D1625" s="47" t="s">
        <v>7814</v>
      </c>
      <c r="E1625" s="47" t="s">
        <v>7759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7858</v>
      </c>
      <c r="L1625" s="47" t="e">
        <f>VLOOKUP(Table2[[#This Row],[Node]],#REF!,2,0)</f>
        <v>#VALUE!</v>
      </c>
      <c r="M1625" s="49" t="s">
        <v>6110</v>
      </c>
    </row>
    <row r="1626" spans="1:13" x14ac:dyDescent="0.25">
      <c r="A1626" s="48">
        <f t="shared" si="25"/>
        <v>1625</v>
      </c>
      <c r="B1626" s="47" t="s">
        <v>4</v>
      </c>
      <c r="C1626" s="47" t="s">
        <v>7755</v>
      </c>
      <c r="D1626" s="47" t="s">
        <v>7815</v>
      </c>
      <c r="E1626" s="47" t="s">
        <v>7760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7858</v>
      </c>
      <c r="L1626" s="47" t="e">
        <f>VLOOKUP(Table2[[#This Row],[Node]],#REF!,2,0)</f>
        <v>#VALUE!</v>
      </c>
      <c r="M1626" s="49" t="s">
        <v>6110</v>
      </c>
    </row>
    <row r="1627" spans="1:13" x14ac:dyDescent="0.25">
      <c r="A1627" s="48">
        <f t="shared" si="25"/>
        <v>1626</v>
      </c>
      <c r="B1627" s="47" t="s">
        <v>4</v>
      </c>
      <c r="C1627" s="47" t="s">
        <v>7755</v>
      </c>
      <c r="D1627" s="47" t="s">
        <v>7816</v>
      </c>
      <c r="E1627" s="47" t="s">
        <v>7761</v>
      </c>
      <c r="F1627" s="47" t="s">
        <v>7762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7858</v>
      </c>
      <c r="L1627" s="47" t="e">
        <f>VLOOKUP(Table2[[#This Row],[Node]],#REF!,2,0)</f>
        <v>#VALUE!</v>
      </c>
      <c r="M1627" s="49" t="s">
        <v>6110</v>
      </c>
    </row>
    <row r="1628" spans="1:13" x14ac:dyDescent="0.25">
      <c r="A1628" s="48">
        <f t="shared" si="25"/>
        <v>1627</v>
      </c>
      <c r="B1628" s="47" t="s">
        <v>4</v>
      </c>
      <c r="C1628" s="47" t="s">
        <v>7755</v>
      </c>
      <c r="D1628" s="47" t="s">
        <v>7817</v>
      </c>
      <c r="E1628" s="47" t="s">
        <v>7763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7858</v>
      </c>
      <c r="L1628" s="47" t="e">
        <f>VLOOKUP(Table2[[#This Row],[Node]],#REF!,2,0)</f>
        <v>#VALUE!</v>
      </c>
      <c r="M1628" s="49" t="s">
        <v>6110</v>
      </c>
    </row>
    <row r="1629" spans="1:13" x14ac:dyDescent="0.25">
      <c r="A1629" s="48">
        <f t="shared" si="25"/>
        <v>1628</v>
      </c>
      <c r="B1629" s="47" t="s">
        <v>4</v>
      </c>
      <c r="C1629" s="47" t="s">
        <v>7755</v>
      </c>
      <c r="D1629" s="47" t="s">
        <v>7818</v>
      </c>
      <c r="E1629" s="47" t="s">
        <v>7764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7858</v>
      </c>
      <c r="L1629" s="47" t="e">
        <f>VLOOKUP(Table2[[#This Row],[Node]],#REF!,2,0)</f>
        <v>#VALUE!</v>
      </c>
      <c r="M1629" s="49" t="s">
        <v>6110</v>
      </c>
    </row>
    <row r="1630" spans="1:13" x14ac:dyDescent="0.25">
      <c r="A1630" s="48">
        <f t="shared" si="25"/>
        <v>1629</v>
      </c>
      <c r="B1630" s="47" t="s">
        <v>4</v>
      </c>
      <c r="C1630" s="47" t="s">
        <v>7755</v>
      </c>
      <c r="D1630" s="47" t="s">
        <v>7819</v>
      </c>
      <c r="E1630" s="47" t="s">
        <v>7765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7858</v>
      </c>
      <c r="L1630" s="47" t="e">
        <f>VLOOKUP(Table2[[#This Row],[Node]],#REF!,2,0)</f>
        <v>#VALUE!</v>
      </c>
      <c r="M1630" s="49" t="s">
        <v>6110</v>
      </c>
    </row>
    <row r="1631" spans="1:13" x14ac:dyDescent="0.25">
      <c r="A1631" s="48">
        <f t="shared" si="25"/>
        <v>1630</v>
      </c>
      <c r="B1631" s="47" t="s">
        <v>4</v>
      </c>
      <c r="C1631" s="47" t="s">
        <v>7755</v>
      </c>
      <c r="D1631" s="47" t="s">
        <v>7820</v>
      </c>
      <c r="E1631" s="47" t="s">
        <v>7766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7858</v>
      </c>
      <c r="L1631" s="47" t="e">
        <f>VLOOKUP(Table2[[#This Row],[Node]],#REF!,2,0)</f>
        <v>#VALUE!</v>
      </c>
      <c r="M1631" s="49" t="s">
        <v>6110</v>
      </c>
    </row>
    <row r="1632" spans="1:13" x14ac:dyDescent="0.25">
      <c r="A1632" s="48">
        <f t="shared" si="25"/>
        <v>1631</v>
      </c>
      <c r="B1632" s="47" t="s">
        <v>4</v>
      </c>
      <c r="C1632" s="47" t="s">
        <v>7755</v>
      </c>
      <c r="D1632" s="47" t="s">
        <v>7821</v>
      </c>
      <c r="E1632" s="47" t="s">
        <v>7767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7858</v>
      </c>
      <c r="L1632" s="47" t="e">
        <f>VLOOKUP(Table2[[#This Row],[Node]],#REF!,2,0)</f>
        <v>#VALUE!</v>
      </c>
      <c r="M1632" s="49" t="s">
        <v>6110</v>
      </c>
    </row>
    <row r="1633" spans="1:13" x14ac:dyDescent="0.25">
      <c r="A1633" s="48">
        <f t="shared" si="25"/>
        <v>1632</v>
      </c>
      <c r="B1633" s="47" t="s">
        <v>4</v>
      </c>
      <c r="C1633" s="47" t="s">
        <v>7755</v>
      </c>
      <c r="D1633" s="47" t="s">
        <v>7822</v>
      </c>
      <c r="E1633" s="47" t="s">
        <v>7768</v>
      </c>
      <c r="F1633" s="47" t="s">
        <v>7821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7858</v>
      </c>
      <c r="L1633" s="47" t="e">
        <f>VLOOKUP(Table2[[#This Row],[Node]],#REF!,2,0)</f>
        <v>#VALUE!</v>
      </c>
      <c r="M1633" s="49" t="s">
        <v>6110</v>
      </c>
    </row>
    <row r="1634" spans="1:13" x14ac:dyDescent="0.25">
      <c r="A1634" s="48">
        <f t="shared" si="25"/>
        <v>1633</v>
      </c>
      <c r="B1634" s="47" t="s">
        <v>4</v>
      </c>
      <c r="C1634" s="47" t="s">
        <v>7755</v>
      </c>
      <c r="D1634" s="47" t="s">
        <v>7823</v>
      </c>
      <c r="E1634" s="47" t="s">
        <v>7769</v>
      </c>
      <c r="F1634" s="47" t="s">
        <v>7821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7858</v>
      </c>
      <c r="L1634" s="47" t="e">
        <f>VLOOKUP(Table2[[#This Row],[Node]],#REF!,2,0)</f>
        <v>#VALUE!</v>
      </c>
      <c r="M1634" s="49" t="s">
        <v>6110</v>
      </c>
    </row>
    <row r="1635" spans="1:13" x14ac:dyDescent="0.25">
      <c r="A1635" s="48">
        <f t="shared" si="25"/>
        <v>1634</v>
      </c>
      <c r="B1635" s="47" t="s">
        <v>4</v>
      </c>
      <c r="C1635" s="47" t="s">
        <v>7755</v>
      </c>
      <c r="D1635" s="47" t="s">
        <v>7824</v>
      </c>
      <c r="E1635" s="47" t="s">
        <v>7770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7858</v>
      </c>
      <c r="L1635" s="47" t="e">
        <f>VLOOKUP(Table2[[#This Row],[Node]],#REF!,2,0)</f>
        <v>#VALUE!</v>
      </c>
      <c r="M1635" s="49" t="s">
        <v>6110</v>
      </c>
    </row>
    <row r="1636" spans="1:13" x14ac:dyDescent="0.25">
      <c r="A1636" s="48">
        <f t="shared" si="25"/>
        <v>1635</v>
      </c>
      <c r="B1636" s="47" t="s">
        <v>4</v>
      </c>
      <c r="C1636" s="47" t="s">
        <v>7755</v>
      </c>
      <c r="D1636" s="47" t="s">
        <v>7825</v>
      </c>
      <c r="E1636" s="47" t="s">
        <v>7771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7858</v>
      </c>
      <c r="L1636" s="47" t="e">
        <f>VLOOKUP(Table2[[#This Row],[Node]],#REF!,2,0)</f>
        <v>#VALUE!</v>
      </c>
      <c r="M1636" s="49" t="s">
        <v>6110</v>
      </c>
    </row>
    <row r="1637" spans="1:13" x14ac:dyDescent="0.25">
      <c r="A1637" s="48">
        <f t="shared" si="25"/>
        <v>1636</v>
      </c>
      <c r="B1637" s="47" t="s">
        <v>4</v>
      </c>
      <c r="C1637" s="47" t="s">
        <v>7755</v>
      </c>
      <c r="D1637" s="47" t="s">
        <v>7826</v>
      </c>
      <c r="E1637" s="47" t="s">
        <v>7772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7858</v>
      </c>
      <c r="L1637" s="47" t="e">
        <f>VLOOKUP(Table2[[#This Row],[Node]],#REF!,2,0)</f>
        <v>#VALUE!</v>
      </c>
      <c r="M1637" s="49" t="s">
        <v>6110</v>
      </c>
    </row>
    <row r="1638" spans="1:13" x14ac:dyDescent="0.25">
      <c r="A1638" s="48">
        <f t="shared" si="25"/>
        <v>1637</v>
      </c>
      <c r="B1638" s="47" t="s">
        <v>4</v>
      </c>
      <c r="C1638" s="47" t="s">
        <v>7755</v>
      </c>
      <c r="D1638" s="47" t="s">
        <v>7827</v>
      </c>
      <c r="E1638" s="47" t="s">
        <v>7773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7858</v>
      </c>
      <c r="L1638" s="47" t="e">
        <f>VLOOKUP(Table2[[#This Row],[Node]],#REF!,2,0)</f>
        <v>#VALUE!</v>
      </c>
      <c r="M1638" s="49" t="s">
        <v>6110</v>
      </c>
    </row>
    <row r="1639" spans="1:13" x14ac:dyDescent="0.25">
      <c r="A1639" s="48">
        <f t="shared" si="25"/>
        <v>1638</v>
      </c>
      <c r="B1639" s="47" t="s">
        <v>4</v>
      </c>
      <c r="C1639" s="47" t="s">
        <v>7755</v>
      </c>
      <c r="D1639" s="47" t="s">
        <v>7828</v>
      </c>
      <c r="E1639" s="47" t="s">
        <v>7774</v>
      </c>
      <c r="F1639" s="47" t="s">
        <v>7827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7858</v>
      </c>
      <c r="L1639" s="47" t="e">
        <f>VLOOKUP(Table2[[#This Row],[Node]],#REF!,2,0)</f>
        <v>#VALUE!</v>
      </c>
      <c r="M1639" s="49" t="s">
        <v>6110</v>
      </c>
    </row>
    <row r="1640" spans="1:13" x14ac:dyDescent="0.25">
      <c r="A1640" s="48">
        <f t="shared" si="25"/>
        <v>1639</v>
      </c>
      <c r="B1640" s="47" t="s">
        <v>4</v>
      </c>
      <c r="C1640" s="47" t="s">
        <v>7755</v>
      </c>
      <c r="D1640" s="47" t="s">
        <v>7829</v>
      </c>
      <c r="E1640" s="47" t="s">
        <v>7775</v>
      </c>
      <c r="F1640" s="47" t="s">
        <v>7827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7858</v>
      </c>
      <c r="L1640" s="47" t="e">
        <f>VLOOKUP(Table2[[#This Row],[Node]],#REF!,2,0)</f>
        <v>#VALUE!</v>
      </c>
      <c r="M1640" s="49" t="s">
        <v>6110</v>
      </c>
    </row>
    <row r="1641" spans="1:13" x14ac:dyDescent="0.25">
      <c r="A1641" s="48">
        <f t="shared" si="25"/>
        <v>1640</v>
      </c>
      <c r="B1641" s="47" t="s">
        <v>4</v>
      </c>
      <c r="C1641" s="47" t="s">
        <v>7755</v>
      </c>
      <c r="D1641" s="47" t="s">
        <v>7830</v>
      </c>
      <c r="E1641" s="47" t="s">
        <v>7776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7858</v>
      </c>
      <c r="L1641" s="47" t="e">
        <f>VLOOKUP(Table2[[#This Row],[Node]],#REF!,2,0)</f>
        <v>#VALUE!</v>
      </c>
      <c r="M1641" s="49" t="s">
        <v>6110</v>
      </c>
    </row>
    <row r="1642" spans="1:13" x14ac:dyDescent="0.25">
      <c r="A1642" s="48">
        <f t="shared" si="25"/>
        <v>1641</v>
      </c>
      <c r="B1642" s="47" t="s">
        <v>4</v>
      </c>
      <c r="C1642" s="47" t="s">
        <v>7755</v>
      </c>
      <c r="D1642" s="47" t="s">
        <v>7831</v>
      </c>
      <c r="E1642" s="47" t="s">
        <v>7777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7858</v>
      </c>
      <c r="L1642" s="47" t="e">
        <f>VLOOKUP(Table2[[#This Row],[Node]],#REF!,2,0)</f>
        <v>#VALUE!</v>
      </c>
      <c r="M1642" s="49" t="s">
        <v>6110</v>
      </c>
    </row>
    <row r="1643" spans="1:13" x14ac:dyDescent="0.25">
      <c r="A1643" s="48">
        <f t="shared" si="25"/>
        <v>1642</v>
      </c>
      <c r="B1643" s="47" t="s">
        <v>4</v>
      </c>
      <c r="C1643" s="47" t="s">
        <v>7755</v>
      </c>
      <c r="D1643" s="47" t="s">
        <v>7832</v>
      </c>
      <c r="E1643" s="47" t="s">
        <v>7778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7858</v>
      </c>
      <c r="L1643" s="47" t="e">
        <f>VLOOKUP(Table2[[#This Row],[Node]],#REF!,2,0)</f>
        <v>#VALUE!</v>
      </c>
      <c r="M1643" s="49" t="s">
        <v>6110</v>
      </c>
    </row>
    <row r="1644" spans="1:13" x14ac:dyDescent="0.25">
      <c r="A1644" s="48">
        <f t="shared" si="25"/>
        <v>1643</v>
      </c>
      <c r="B1644" s="47" t="s">
        <v>4</v>
      </c>
      <c r="C1644" s="47" t="s">
        <v>7755</v>
      </c>
      <c r="D1644" s="47" t="s">
        <v>7833</v>
      </c>
      <c r="E1644" s="47" t="s">
        <v>7779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7858</v>
      </c>
      <c r="L1644" s="47" t="e">
        <f>VLOOKUP(Table2[[#This Row],[Node]],#REF!,2,0)</f>
        <v>#VALUE!</v>
      </c>
      <c r="M1644" s="49" t="s">
        <v>6110</v>
      </c>
    </row>
    <row r="1645" spans="1:13" x14ac:dyDescent="0.25">
      <c r="A1645" s="48">
        <f t="shared" si="25"/>
        <v>1644</v>
      </c>
      <c r="B1645" s="47" t="s">
        <v>4</v>
      </c>
      <c r="C1645" s="47" t="s">
        <v>7755</v>
      </c>
      <c r="D1645" s="47" t="s">
        <v>7834</v>
      </c>
      <c r="E1645" s="47" t="s">
        <v>7780</v>
      </c>
      <c r="F1645" s="47" t="s">
        <v>7833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7858</v>
      </c>
      <c r="L1645" s="47" t="e">
        <f>VLOOKUP(Table2[[#This Row],[Node]],#REF!,2,0)</f>
        <v>#VALUE!</v>
      </c>
      <c r="M1645" s="49" t="s">
        <v>6110</v>
      </c>
    </row>
    <row r="1646" spans="1:13" x14ac:dyDescent="0.25">
      <c r="A1646" s="48">
        <f t="shared" si="25"/>
        <v>1645</v>
      </c>
      <c r="B1646" s="47" t="s">
        <v>4</v>
      </c>
      <c r="C1646" s="47" t="s">
        <v>7755</v>
      </c>
      <c r="D1646" s="47" t="s">
        <v>7835</v>
      </c>
      <c r="E1646" s="47" t="s">
        <v>7781</v>
      </c>
      <c r="F1646" s="47" t="s">
        <v>7833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7858</v>
      </c>
      <c r="L1646" s="47" t="e">
        <f>VLOOKUP(Table2[[#This Row],[Node]],#REF!,2,0)</f>
        <v>#VALUE!</v>
      </c>
      <c r="M1646" s="49" t="s">
        <v>6110</v>
      </c>
    </row>
    <row r="1647" spans="1:13" x14ac:dyDescent="0.25">
      <c r="A1647" s="48">
        <f t="shared" si="25"/>
        <v>1646</v>
      </c>
      <c r="B1647" s="47" t="s">
        <v>4</v>
      </c>
      <c r="C1647" s="47" t="s">
        <v>7755</v>
      </c>
      <c r="D1647" s="47" t="s">
        <v>7836</v>
      </c>
      <c r="E1647" s="47" t="s">
        <v>7782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7858</v>
      </c>
      <c r="L1647" s="47" t="e">
        <f>VLOOKUP(Table2[[#This Row],[Node]],#REF!,2,0)</f>
        <v>#VALUE!</v>
      </c>
      <c r="M1647" s="49" t="s">
        <v>6110</v>
      </c>
    </row>
    <row r="1648" spans="1:13" x14ac:dyDescent="0.25">
      <c r="A1648" s="48">
        <f t="shared" si="25"/>
        <v>1647</v>
      </c>
      <c r="B1648" s="47" t="s">
        <v>4</v>
      </c>
      <c r="C1648" s="47" t="s">
        <v>7755</v>
      </c>
      <c r="D1648" s="47" t="s">
        <v>7837</v>
      </c>
      <c r="E1648" s="47" t="s">
        <v>7783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7858</v>
      </c>
      <c r="L1648" s="47" t="e">
        <f>VLOOKUP(Table2[[#This Row],[Node]],#REF!,2,0)</f>
        <v>#VALUE!</v>
      </c>
      <c r="M1648" s="49" t="s">
        <v>6110</v>
      </c>
    </row>
    <row r="1649" spans="1:13" x14ac:dyDescent="0.25">
      <c r="A1649" s="48">
        <f t="shared" si="25"/>
        <v>1648</v>
      </c>
      <c r="B1649" s="47" t="s">
        <v>4</v>
      </c>
      <c r="C1649" s="47" t="s">
        <v>7755</v>
      </c>
      <c r="D1649" s="47" t="s">
        <v>7838</v>
      </c>
      <c r="E1649" s="47" t="s">
        <v>7784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7858</v>
      </c>
      <c r="L1649" s="47" t="e">
        <f>VLOOKUP(Table2[[#This Row],[Node]],#REF!,2,0)</f>
        <v>#VALUE!</v>
      </c>
      <c r="M1649" s="49" t="s">
        <v>6110</v>
      </c>
    </row>
    <row r="1650" spans="1:13" x14ac:dyDescent="0.25">
      <c r="A1650" s="48">
        <f t="shared" si="25"/>
        <v>1649</v>
      </c>
      <c r="B1650" s="47" t="s">
        <v>4</v>
      </c>
      <c r="C1650" s="47" t="s">
        <v>7755</v>
      </c>
      <c r="D1650" s="47" t="s">
        <v>7839</v>
      </c>
      <c r="E1650" s="47" t="s">
        <v>7785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7858</v>
      </c>
      <c r="L1650" s="47" t="e">
        <f>VLOOKUP(Table2[[#This Row],[Node]],#REF!,2,0)</f>
        <v>#VALUE!</v>
      </c>
      <c r="M1650" s="49" t="s">
        <v>6110</v>
      </c>
    </row>
    <row r="1651" spans="1:13" x14ac:dyDescent="0.25">
      <c r="A1651" s="48">
        <f t="shared" si="25"/>
        <v>1650</v>
      </c>
      <c r="B1651" s="47" t="s">
        <v>4</v>
      </c>
      <c r="C1651" s="47" t="s">
        <v>7755</v>
      </c>
      <c r="D1651" s="47" t="s">
        <v>7840</v>
      </c>
      <c r="E1651" s="47" t="s">
        <v>7786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7858</v>
      </c>
      <c r="L1651" s="47" t="e">
        <f>VLOOKUP(Table2[[#This Row],[Node]],#REF!,2,0)</f>
        <v>#VALUE!</v>
      </c>
      <c r="M1651" s="49" t="s">
        <v>6110</v>
      </c>
    </row>
    <row r="1652" spans="1:13" x14ac:dyDescent="0.25">
      <c r="A1652" s="48">
        <f t="shared" si="25"/>
        <v>1651</v>
      </c>
      <c r="B1652" s="47" t="s">
        <v>4</v>
      </c>
      <c r="C1652" s="47" t="s">
        <v>7755</v>
      </c>
      <c r="D1652" s="47" t="s">
        <v>7841</v>
      </c>
      <c r="E1652" s="47" t="s">
        <v>7787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7858</v>
      </c>
      <c r="L1652" s="47" t="e">
        <f>VLOOKUP(Table2[[#This Row],[Node]],#REF!,2,0)</f>
        <v>#VALUE!</v>
      </c>
      <c r="M1652" s="49" t="s">
        <v>6110</v>
      </c>
    </row>
    <row r="1653" spans="1:13" x14ac:dyDescent="0.25">
      <c r="A1653" s="48">
        <f t="shared" si="25"/>
        <v>1652</v>
      </c>
      <c r="B1653" s="47" t="s">
        <v>4</v>
      </c>
      <c r="C1653" s="47" t="s">
        <v>7755</v>
      </c>
      <c r="D1653" s="47" t="s">
        <v>7842</v>
      </c>
      <c r="E1653" s="47" t="s">
        <v>7788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7858</v>
      </c>
      <c r="L1653" s="47" t="e">
        <f>VLOOKUP(Table2[[#This Row],[Node]],#REF!,2,0)</f>
        <v>#VALUE!</v>
      </c>
      <c r="M1653" s="49" t="s">
        <v>6110</v>
      </c>
    </row>
    <row r="1654" spans="1:13" x14ac:dyDescent="0.25">
      <c r="A1654" s="48">
        <f t="shared" si="25"/>
        <v>1653</v>
      </c>
      <c r="B1654" s="47" t="s">
        <v>4</v>
      </c>
      <c r="C1654" s="47" t="s">
        <v>7755</v>
      </c>
      <c r="D1654" s="47" t="s">
        <v>7843</v>
      </c>
      <c r="E1654" s="47" t="s">
        <v>7789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7858</v>
      </c>
      <c r="L1654" s="47" t="e">
        <f>VLOOKUP(Table2[[#This Row],[Node]],#REF!,2,0)</f>
        <v>#VALUE!</v>
      </c>
      <c r="M1654" s="49" t="s">
        <v>6110</v>
      </c>
    </row>
    <row r="1655" spans="1:13" x14ac:dyDescent="0.25">
      <c r="A1655" s="48">
        <f t="shared" si="25"/>
        <v>1654</v>
      </c>
      <c r="B1655" s="47" t="s">
        <v>4</v>
      </c>
      <c r="C1655" s="47" t="s">
        <v>7755</v>
      </c>
      <c r="D1655" s="47" t="s">
        <v>7844</v>
      </c>
      <c r="E1655" s="47" t="s">
        <v>7790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7858</v>
      </c>
      <c r="L1655" s="47" t="e">
        <f>VLOOKUP(Table2[[#This Row],[Node]],#REF!,2,0)</f>
        <v>#VALUE!</v>
      </c>
      <c r="M1655" s="49" t="s">
        <v>6110</v>
      </c>
    </row>
    <row r="1656" spans="1:13" x14ac:dyDescent="0.25">
      <c r="A1656" s="48">
        <f t="shared" si="25"/>
        <v>1655</v>
      </c>
      <c r="B1656" s="47" t="s">
        <v>4</v>
      </c>
      <c r="C1656" s="47" t="s">
        <v>7755</v>
      </c>
      <c r="D1656" s="47" t="s">
        <v>7845</v>
      </c>
      <c r="E1656" s="47" t="s">
        <v>7791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7858</v>
      </c>
      <c r="L1656" s="47" t="e">
        <f>VLOOKUP(Table2[[#This Row],[Node]],#REF!,2,0)</f>
        <v>#VALUE!</v>
      </c>
      <c r="M1656" s="49" t="s">
        <v>6110</v>
      </c>
    </row>
    <row r="1657" spans="1:13" x14ac:dyDescent="0.25">
      <c r="A1657" s="48">
        <f t="shared" si="25"/>
        <v>1656</v>
      </c>
      <c r="B1657" s="47" t="s">
        <v>4</v>
      </c>
      <c r="C1657" s="47" t="s">
        <v>7755</v>
      </c>
      <c r="D1657" s="47" t="s">
        <v>7846</v>
      </c>
      <c r="E1657" s="47" t="s">
        <v>7792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7858</v>
      </c>
      <c r="L1657" s="47" t="e">
        <f>VLOOKUP(Table2[[#This Row],[Node]],#REF!,2,0)</f>
        <v>#VALUE!</v>
      </c>
      <c r="M1657" s="49" t="s">
        <v>6110</v>
      </c>
    </row>
    <row r="1658" spans="1:13" x14ac:dyDescent="0.25">
      <c r="A1658" s="48">
        <f t="shared" si="25"/>
        <v>1657</v>
      </c>
      <c r="B1658" s="47" t="s">
        <v>4</v>
      </c>
      <c r="C1658" s="47" t="s">
        <v>7755</v>
      </c>
      <c r="D1658" s="47" t="s">
        <v>7847</v>
      </c>
      <c r="E1658" s="47" t="s">
        <v>7793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7858</v>
      </c>
      <c r="L1658" s="47" t="e">
        <f>VLOOKUP(Table2[[#This Row],[Node]],#REF!,2,0)</f>
        <v>#VALUE!</v>
      </c>
      <c r="M1658" s="49" t="s">
        <v>6110</v>
      </c>
    </row>
    <row r="1659" spans="1:13" x14ac:dyDescent="0.25">
      <c r="A1659" s="48">
        <f t="shared" si="25"/>
        <v>1658</v>
      </c>
      <c r="B1659" s="47" t="s">
        <v>4</v>
      </c>
      <c r="C1659" s="47" t="s">
        <v>7755</v>
      </c>
      <c r="D1659" s="47" t="s">
        <v>7848</v>
      </c>
      <c r="E1659" s="47" t="s">
        <v>7794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7858</v>
      </c>
      <c r="L1659" s="47" t="e">
        <f>VLOOKUP(Table2[[#This Row],[Node]],#REF!,2,0)</f>
        <v>#VALUE!</v>
      </c>
      <c r="M1659" s="49" t="s">
        <v>6110</v>
      </c>
    </row>
    <row r="1660" spans="1:13" x14ac:dyDescent="0.25">
      <c r="A1660" s="48">
        <f t="shared" si="25"/>
        <v>1659</v>
      </c>
      <c r="B1660" s="47" t="s">
        <v>4</v>
      </c>
      <c r="C1660" s="47" t="s">
        <v>7755</v>
      </c>
      <c r="D1660" s="47" t="s">
        <v>7849</v>
      </c>
      <c r="E1660" s="47" t="s">
        <v>7795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7858</v>
      </c>
      <c r="L1660" s="47" t="e">
        <f>VLOOKUP(Table2[[#This Row],[Node]],#REF!,2,0)</f>
        <v>#VALUE!</v>
      </c>
      <c r="M1660" s="49" t="s">
        <v>6110</v>
      </c>
    </row>
    <row r="1661" spans="1:13" x14ac:dyDescent="0.25">
      <c r="A1661" s="48">
        <f t="shared" si="25"/>
        <v>1660</v>
      </c>
      <c r="B1661" s="47" t="s">
        <v>4</v>
      </c>
      <c r="C1661" s="47" t="s">
        <v>7755</v>
      </c>
      <c r="D1661" s="47" t="s">
        <v>7850</v>
      </c>
      <c r="E1661" s="47" t="s">
        <v>7796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7858</v>
      </c>
      <c r="L1661" s="47" t="e">
        <f>VLOOKUP(Table2[[#This Row],[Node]],#REF!,2,0)</f>
        <v>#VALUE!</v>
      </c>
      <c r="M1661" s="49" t="s">
        <v>6110</v>
      </c>
    </row>
    <row r="1662" spans="1:13" x14ac:dyDescent="0.25">
      <c r="A1662" s="48">
        <f t="shared" si="25"/>
        <v>1661</v>
      </c>
      <c r="B1662" s="47" t="s">
        <v>4</v>
      </c>
      <c r="C1662" s="47" t="s">
        <v>7755</v>
      </c>
      <c r="D1662" s="47" t="s">
        <v>7851</v>
      </c>
      <c r="E1662" s="47" t="s">
        <v>7797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7858</v>
      </c>
      <c r="L1662" s="47" t="e">
        <f>VLOOKUP(Table2[[#This Row],[Node]],#REF!,2,0)</f>
        <v>#VALUE!</v>
      </c>
      <c r="M1662" s="49" t="s">
        <v>6110</v>
      </c>
    </row>
    <row r="1663" spans="1:13" x14ac:dyDescent="0.25">
      <c r="A1663" s="48">
        <f t="shared" si="25"/>
        <v>1662</v>
      </c>
      <c r="B1663" s="47" t="s">
        <v>4</v>
      </c>
      <c r="C1663" s="47" t="s">
        <v>7755</v>
      </c>
      <c r="D1663" s="47" t="s">
        <v>7852</v>
      </c>
      <c r="E1663" s="47" t="s">
        <v>7798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7858</v>
      </c>
      <c r="L1663" s="47" t="e">
        <f>VLOOKUP(Table2[[#This Row],[Node]],#REF!,2,0)</f>
        <v>#VALUE!</v>
      </c>
      <c r="M1663" s="49" t="s">
        <v>6110</v>
      </c>
    </row>
    <row r="1664" spans="1:13" x14ac:dyDescent="0.25">
      <c r="A1664" s="48">
        <f t="shared" si="25"/>
        <v>1663</v>
      </c>
      <c r="B1664" s="47" t="s">
        <v>4</v>
      </c>
      <c r="C1664" s="47" t="s">
        <v>7755</v>
      </c>
      <c r="D1664" s="47" t="s">
        <v>7853</v>
      </c>
      <c r="E1664" s="47" t="s">
        <v>7799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7858</v>
      </c>
      <c r="L1664" s="47" t="e">
        <f>VLOOKUP(Table2[[#This Row],[Node]],#REF!,2,0)</f>
        <v>#VALUE!</v>
      </c>
      <c r="M1664" s="49" t="s">
        <v>6110</v>
      </c>
    </row>
    <row r="1665" spans="1:13" x14ac:dyDescent="0.25">
      <c r="A1665" s="48">
        <f t="shared" si="25"/>
        <v>1664</v>
      </c>
      <c r="B1665" s="47" t="s">
        <v>4</v>
      </c>
      <c r="C1665" s="47" t="s">
        <v>7755</v>
      </c>
      <c r="D1665" s="47" t="s">
        <v>7854</v>
      </c>
      <c r="E1665" s="47" t="s">
        <v>7800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7858</v>
      </c>
      <c r="L1665" s="47" t="e">
        <f>VLOOKUP(Table2[[#This Row],[Node]],#REF!,2,0)</f>
        <v>#VALUE!</v>
      </c>
      <c r="M1665" s="49" t="s">
        <v>6110</v>
      </c>
    </row>
    <row r="1666" spans="1:13" x14ac:dyDescent="0.25">
      <c r="A1666" s="48">
        <f t="shared" si="25"/>
        <v>1665</v>
      </c>
      <c r="B1666" s="47" t="s">
        <v>4</v>
      </c>
      <c r="C1666" s="47" t="s">
        <v>7755</v>
      </c>
      <c r="D1666" s="47" t="s">
        <v>7855</v>
      </c>
      <c r="E1666" s="47" t="s">
        <v>7801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7858</v>
      </c>
      <c r="L1666" s="47" t="e">
        <f>VLOOKUP(Table2[[#This Row],[Node]],#REF!,2,0)</f>
        <v>#VALUE!</v>
      </c>
      <c r="M1666" s="49" t="s">
        <v>6110</v>
      </c>
    </row>
    <row r="1667" spans="1:13" x14ac:dyDescent="0.25">
      <c r="A1667" s="48">
        <f t="shared" ref="A1667:A1712" si="26">1+A1666</f>
        <v>1666</v>
      </c>
      <c r="B1667" s="47" t="s">
        <v>4</v>
      </c>
      <c r="C1667" s="47" t="s">
        <v>7755</v>
      </c>
      <c r="D1667" s="47" t="s">
        <v>7856</v>
      </c>
      <c r="E1667" s="47" t="s">
        <v>7802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7858</v>
      </c>
      <c r="L1667" s="47" t="e">
        <f>VLOOKUP(Table2[[#This Row],[Node]],#REF!,2,0)</f>
        <v>#VALUE!</v>
      </c>
      <c r="M1667" s="49" t="s">
        <v>6110</v>
      </c>
    </row>
    <row r="1668" spans="1:13" x14ac:dyDescent="0.25">
      <c r="A1668" s="48">
        <f t="shared" si="26"/>
        <v>1667</v>
      </c>
      <c r="B1668" s="47" t="s">
        <v>4</v>
      </c>
      <c r="C1668" s="47" t="s">
        <v>7755</v>
      </c>
      <c r="D1668" s="47" t="s">
        <v>7803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7859</v>
      </c>
      <c r="L1668" s="47" t="e">
        <f>VLOOKUP(Table2[[#This Row],[Node]],#REF!,2,0)</f>
        <v>#VALUE!</v>
      </c>
      <c r="M1668" s="49" t="s">
        <v>6110</v>
      </c>
    </row>
    <row r="1669" spans="1:13" x14ac:dyDescent="0.25">
      <c r="A1669" s="48">
        <f t="shared" si="26"/>
        <v>1668</v>
      </c>
      <c r="B1669" s="47" t="s">
        <v>4</v>
      </c>
      <c r="C1669" s="47" t="s">
        <v>7755</v>
      </c>
      <c r="D1669" s="47" t="s">
        <v>7804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7859</v>
      </c>
      <c r="L1669" s="47" t="e">
        <f>VLOOKUP(Table2[[#This Row],[Node]],#REF!,2,0)</f>
        <v>#VALUE!</v>
      </c>
      <c r="M1669" s="49" t="s">
        <v>6110</v>
      </c>
    </row>
    <row r="1670" spans="1:13" x14ac:dyDescent="0.25">
      <c r="A1670" s="48">
        <f t="shared" si="26"/>
        <v>1669</v>
      </c>
      <c r="B1670" s="47" t="s">
        <v>4</v>
      </c>
      <c r="C1670" s="47" t="s">
        <v>7755</v>
      </c>
      <c r="D1670" s="47" t="s">
        <v>4606</v>
      </c>
      <c r="E1670" s="47"/>
      <c r="F1670" s="47" t="s">
        <v>7762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7859</v>
      </c>
      <c r="L1670" s="47" t="e">
        <f>VLOOKUP(Table2[[#This Row],[Node]],#REF!,2,0)</f>
        <v>#VALUE!</v>
      </c>
      <c r="M1670" s="49" t="s">
        <v>6110</v>
      </c>
    </row>
    <row r="1671" spans="1:13" x14ac:dyDescent="0.25">
      <c r="A1671" s="48">
        <f t="shared" si="26"/>
        <v>1670</v>
      </c>
      <c r="B1671" s="47" t="s">
        <v>4</v>
      </c>
      <c r="C1671" s="47" t="s">
        <v>7755</v>
      </c>
      <c r="D1671" s="47" t="s">
        <v>4620</v>
      </c>
      <c r="E1671" s="47"/>
      <c r="F1671" s="47" t="s">
        <v>7762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7859</v>
      </c>
      <c r="L1671" s="47" t="e">
        <f>VLOOKUP(Table2[[#This Row],[Node]],#REF!,2,0)</f>
        <v>#VALUE!</v>
      </c>
      <c r="M1671" s="49" t="s">
        <v>6110</v>
      </c>
    </row>
    <row r="1672" spans="1:13" x14ac:dyDescent="0.25">
      <c r="A1672" s="48">
        <f t="shared" si="26"/>
        <v>1671</v>
      </c>
      <c r="B1672" s="47" t="s">
        <v>4</v>
      </c>
      <c r="C1672" s="47" t="s">
        <v>7755</v>
      </c>
      <c r="D1672" s="47" t="s">
        <v>4622</v>
      </c>
      <c r="E1672" s="47"/>
      <c r="F1672" s="47" t="s">
        <v>7762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7859</v>
      </c>
      <c r="L1672" s="47" t="e">
        <f>VLOOKUP(Table2[[#This Row],[Node]],#REF!,2,0)</f>
        <v>#VALUE!</v>
      </c>
      <c r="M1672" s="49" t="s">
        <v>6110</v>
      </c>
    </row>
    <row r="1673" spans="1:13" x14ac:dyDescent="0.25">
      <c r="A1673" s="48">
        <f t="shared" si="26"/>
        <v>1672</v>
      </c>
      <c r="B1673" s="47" t="s">
        <v>4</v>
      </c>
      <c r="C1673" s="47" t="s">
        <v>7755</v>
      </c>
      <c r="D1673" s="47" t="s">
        <v>4624</v>
      </c>
      <c r="E1673" s="47"/>
      <c r="F1673" s="47" t="s">
        <v>7762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7859</v>
      </c>
      <c r="L1673" s="47" t="e">
        <f>VLOOKUP(Table2[[#This Row],[Node]],#REF!,2,0)</f>
        <v>#VALUE!</v>
      </c>
      <c r="M1673" s="49" t="s">
        <v>6110</v>
      </c>
    </row>
    <row r="1674" spans="1:13" x14ac:dyDescent="0.25">
      <c r="A1674" s="48">
        <f t="shared" si="26"/>
        <v>1673</v>
      </c>
      <c r="B1674" s="47" t="s">
        <v>4</v>
      </c>
      <c r="C1674" s="47" t="s">
        <v>7755</v>
      </c>
      <c r="D1674" s="47" t="s">
        <v>4608</v>
      </c>
      <c r="E1674" s="47"/>
      <c r="F1674" s="47" t="s">
        <v>7762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7859</v>
      </c>
      <c r="L1674" s="47" t="e">
        <f>VLOOKUP(Table2[[#This Row],[Node]],#REF!,2,0)</f>
        <v>#VALUE!</v>
      </c>
      <c r="M1674" s="49" t="s">
        <v>6110</v>
      </c>
    </row>
    <row r="1675" spans="1:13" x14ac:dyDescent="0.25">
      <c r="A1675" s="48">
        <f t="shared" si="26"/>
        <v>1674</v>
      </c>
      <c r="B1675" s="47" t="s">
        <v>4</v>
      </c>
      <c r="C1675" s="47" t="s">
        <v>7755</v>
      </c>
      <c r="D1675" s="47" t="s">
        <v>4612</v>
      </c>
      <c r="E1675" s="47"/>
      <c r="F1675" s="47" t="s">
        <v>7762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7859</v>
      </c>
      <c r="L1675" s="47" t="e">
        <f>VLOOKUP(Table2[[#This Row],[Node]],#REF!,2,0)</f>
        <v>#VALUE!</v>
      </c>
      <c r="M1675" s="49" t="s">
        <v>6110</v>
      </c>
    </row>
    <row r="1676" spans="1:13" x14ac:dyDescent="0.25">
      <c r="A1676" s="48">
        <f t="shared" si="26"/>
        <v>1675</v>
      </c>
      <c r="B1676" s="47" t="s">
        <v>4</v>
      </c>
      <c r="C1676" s="47" t="s">
        <v>7755</v>
      </c>
      <c r="D1676" s="47" t="s">
        <v>4618</v>
      </c>
      <c r="E1676" s="47"/>
      <c r="F1676" s="47" t="s">
        <v>7762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7859</v>
      </c>
      <c r="L1676" s="47" t="e">
        <f>VLOOKUP(Table2[[#This Row],[Node]],#REF!,2,0)</f>
        <v>#VALUE!</v>
      </c>
      <c r="M1676" s="49" t="s">
        <v>6110</v>
      </c>
    </row>
    <row r="1677" spans="1:13" x14ac:dyDescent="0.25">
      <c r="A1677" s="48">
        <f t="shared" si="26"/>
        <v>1676</v>
      </c>
      <c r="B1677" s="47" t="s">
        <v>4</v>
      </c>
      <c r="C1677" s="47" t="s">
        <v>7755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7859</v>
      </c>
      <c r="L1677" s="47" t="e">
        <f>VLOOKUP(Table2[[#This Row],[Node]],#REF!,2,0)</f>
        <v>#VALUE!</v>
      </c>
      <c r="M1677" s="49" t="s">
        <v>6110</v>
      </c>
    </row>
    <row r="1678" spans="1:13" x14ac:dyDescent="0.25">
      <c r="A1678" s="48">
        <f t="shared" si="26"/>
        <v>1677</v>
      </c>
      <c r="B1678" s="47" t="s">
        <v>4</v>
      </c>
      <c r="C1678" s="47" t="s">
        <v>7755</v>
      </c>
      <c r="D1678" s="47" t="s">
        <v>7805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7859</v>
      </c>
      <c r="L1678" s="47"/>
      <c r="M1678" s="49" t="s">
        <v>6110</v>
      </c>
    </row>
    <row r="1679" spans="1:13" x14ac:dyDescent="0.25">
      <c r="A1679" s="48">
        <f t="shared" si="26"/>
        <v>1678</v>
      </c>
      <c r="B1679" s="47" t="s">
        <v>4</v>
      </c>
      <c r="C1679" s="47" t="s">
        <v>7755</v>
      </c>
      <c r="D1679" s="47" t="s">
        <v>7806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7859</v>
      </c>
      <c r="L1679" s="47"/>
      <c r="M1679" s="49" t="s">
        <v>6110</v>
      </c>
    </row>
    <row r="1680" spans="1:13" x14ac:dyDescent="0.25">
      <c r="A1680" s="48">
        <f t="shared" si="26"/>
        <v>1679</v>
      </c>
      <c r="B1680" s="47" t="s">
        <v>4</v>
      </c>
      <c r="C1680" s="47" t="s">
        <v>7755</v>
      </c>
      <c r="D1680" s="47" t="s">
        <v>4608</v>
      </c>
      <c r="E1680" s="47" t="s">
        <v>7807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7857</v>
      </c>
      <c r="L1680" s="47"/>
      <c r="M1680" s="49" t="s">
        <v>6110</v>
      </c>
    </row>
    <row r="1681" spans="1:13" x14ac:dyDescent="0.25">
      <c r="A1681" s="48">
        <f t="shared" si="26"/>
        <v>1680</v>
      </c>
      <c r="B1681" s="47" t="s">
        <v>4</v>
      </c>
      <c r="C1681" s="47" t="s">
        <v>7755</v>
      </c>
      <c r="D1681" s="47" t="s">
        <v>4612</v>
      </c>
      <c r="E1681" s="47" t="s">
        <v>7808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7857</v>
      </c>
      <c r="L1681" s="47"/>
      <c r="M1681" s="49" t="s">
        <v>6110</v>
      </c>
    </row>
    <row r="1682" spans="1:13" x14ac:dyDescent="0.25">
      <c r="A1682" s="48">
        <f t="shared" si="26"/>
        <v>1681</v>
      </c>
      <c r="B1682" s="47" t="s">
        <v>4</v>
      </c>
      <c r="C1682" s="47" t="s">
        <v>7755</v>
      </c>
      <c r="D1682" s="47" t="s">
        <v>4618</v>
      </c>
      <c r="E1682" s="47" t="s">
        <v>7809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7857</v>
      </c>
      <c r="L1682" s="47"/>
      <c r="M1682" s="49" t="s">
        <v>6110</v>
      </c>
    </row>
    <row r="1683" spans="1:13" x14ac:dyDescent="0.25">
      <c r="A1683" s="48">
        <f t="shared" si="26"/>
        <v>1682</v>
      </c>
      <c r="B1683" s="47" t="s">
        <v>4</v>
      </c>
      <c r="C1683" s="47" t="s">
        <v>7755</v>
      </c>
      <c r="D1683" s="47" t="s">
        <v>4614</v>
      </c>
      <c r="E1683" s="47" t="s">
        <v>7810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7857</v>
      </c>
      <c r="L1683" s="47"/>
      <c r="M1683" s="49" t="s">
        <v>6110</v>
      </c>
    </row>
    <row r="1684" spans="1:13" ht="75" x14ac:dyDescent="0.25">
      <c r="A1684" s="48">
        <f t="shared" si="26"/>
        <v>1683</v>
      </c>
      <c r="B1684" s="47" t="s">
        <v>4</v>
      </c>
      <c r="C1684" s="47" t="s">
        <v>7879</v>
      </c>
      <c r="D1684" s="47" t="s">
        <v>6264</v>
      </c>
      <c r="E1684" s="56" t="s">
        <v>7880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 x14ac:dyDescent="0.25">
      <c r="A1685" s="48">
        <f t="shared" si="26"/>
        <v>1684</v>
      </c>
      <c r="B1685" s="47" t="s">
        <v>4</v>
      </c>
      <c r="C1685" s="47" t="s">
        <v>7881</v>
      </c>
      <c r="D1685" s="47" t="s">
        <v>7899</v>
      </c>
      <c r="E1685" s="47" t="s">
        <v>7882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 x14ac:dyDescent="0.25">
      <c r="A1686" s="48">
        <f t="shared" si="26"/>
        <v>1685</v>
      </c>
      <c r="B1686" s="47" t="s">
        <v>4</v>
      </c>
      <c r="C1686" s="47" t="s">
        <v>7881</v>
      </c>
      <c r="D1686" s="47" t="s">
        <v>7883</v>
      </c>
      <c r="E1686" s="47" t="s">
        <v>7882</v>
      </c>
      <c r="F1686" s="47" t="s">
        <v>7899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 x14ac:dyDescent="0.25">
      <c r="A1687" s="48">
        <f t="shared" si="26"/>
        <v>1686</v>
      </c>
      <c r="B1687" s="47" t="s">
        <v>4</v>
      </c>
      <c r="C1687" s="47" t="s">
        <v>7881</v>
      </c>
      <c r="D1687" s="47" t="s">
        <v>7900</v>
      </c>
      <c r="E1687" s="47" t="s">
        <v>7884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 x14ac:dyDescent="0.25">
      <c r="A1688" s="48">
        <f t="shared" si="26"/>
        <v>1687</v>
      </c>
      <c r="B1688" s="47" t="s">
        <v>4</v>
      </c>
      <c r="C1688" s="47" t="s">
        <v>7881</v>
      </c>
      <c r="D1688" s="47" t="s">
        <v>7885</v>
      </c>
      <c r="E1688" s="47" t="s">
        <v>7884</v>
      </c>
      <c r="F1688" s="47" t="s">
        <v>7900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 x14ac:dyDescent="0.25">
      <c r="A1689" s="48">
        <f t="shared" si="26"/>
        <v>1688</v>
      </c>
      <c r="B1689" s="47" t="s">
        <v>4</v>
      </c>
      <c r="C1689" s="47" t="s">
        <v>7881</v>
      </c>
      <c r="D1689" s="47" t="s">
        <v>7901</v>
      </c>
      <c r="E1689" s="47" t="s">
        <v>7886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 x14ac:dyDescent="0.25">
      <c r="A1690" s="48">
        <f t="shared" si="26"/>
        <v>1689</v>
      </c>
      <c r="B1690" s="47" t="s">
        <v>4</v>
      </c>
      <c r="C1690" s="47" t="s">
        <v>7881</v>
      </c>
      <c r="D1690" s="47" t="s">
        <v>7887</v>
      </c>
      <c r="E1690" s="47" t="s">
        <v>7886</v>
      </c>
      <c r="F1690" s="47" t="s">
        <v>7901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 x14ac:dyDescent="0.25">
      <c r="A1691" s="48">
        <f t="shared" si="26"/>
        <v>1690</v>
      </c>
      <c r="B1691" s="47" t="s">
        <v>4</v>
      </c>
      <c r="C1691" s="47" t="s">
        <v>7881</v>
      </c>
      <c r="D1691" s="47" t="s">
        <v>7902</v>
      </c>
      <c r="E1691" s="47" t="s">
        <v>7888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 x14ac:dyDescent="0.25">
      <c r="A1692" s="48">
        <f t="shared" si="26"/>
        <v>1691</v>
      </c>
      <c r="B1692" s="47" t="s">
        <v>4</v>
      </c>
      <c r="C1692" s="47" t="s">
        <v>7881</v>
      </c>
      <c r="D1692" s="47" t="s">
        <v>7889</v>
      </c>
      <c r="E1692" s="47" t="s">
        <v>7888</v>
      </c>
      <c r="F1692" s="47" t="s">
        <v>7902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 x14ac:dyDescent="0.25">
      <c r="A1693" s="48">
        <f t="shared" si="26"/>
        <v>1692</v>
      </c>
      <c r="B1693" s="47" t="s">
        <v>4</v>
      </c>
      <c r="C1693" s="47" t="s">
        <v>7881</v>
      </c>
      <c r="D1693" s="47" t="s">
        <v>6266</v>
      </c>
      <c r="E1693" s="47" t="s">
        <v>7880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 x14ac:dyDescent="0.25">
      <c r="A1694" s="48">
        <f t="shared" si="26"/>
        <v>1693</v>
      </c>
      <c r="B1694" s="47" t="s">
        <v>4</v>
      </c>
      <c r="C1694" s="47" t="s">
        <v>7881</v>
      </c>
      <c r="D1694" s="47" t="s">
        <v>6268</v>
      </c>
      <c r="E1694" s="47" t="s">
        <v>7890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 x14ac:dyDescent="0.25">
      <c r="A1695" s="48">
        <f t="shared" si="26"/>
        <v>1694</v>
      </c>
      <c r="B1695" s="47" t="s">
        <v>4</v>
      </c>
      <c r="C1695" s="47" t="s">
        <v>7881</v>
      </c>
      <c r="D1695" s="47" t="s">
        <v>6271</v>
      </c>
      <c r="E1695" s="47" t="s">
        <v>7891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 x14ac:dyDescent="0.25">
      <c r="A1696" s="48">
        <f t="shared" si="26"/>
        <v>1695</v>
      </c>
      <c r="B1696" s="47" t="s">
        <v>4</v>
      </c>
      <c r="C1696" s="47" t="s">
        <v>7881</v>
      </c>
      <c r="D1696" s="47" t="s">
        <v>6274</v>
      </c>
      <c r="E1696" s="47" t="s">
        <v>7892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 x14ac:dyDescent="0.25">
      <c r="A1697" s="48">
        <f t="shared" si="26"/>
        <v>1696</v>
      </c>
      <c r="B1697" s="47" t="s">
        <v>4</v>
      </c>
      <c r="C1697" s="47" t="s">
        <v>7881</v>
      </c>
      <c r="D1697" s="47" t="s">
        <v>6277</v>
      </c>
      <c r="E1697" s="47" t="s">
        <v>7893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 x14ac:dyDescent="0.25">
      <c r="A1698" s="48">
        <f t="shared" si="26"/>
        <v>1697</v>
      </c>
      <c r="B1698" s="47" t="s">
        <v>4</v>
      </c>
      <c r="C1698" s="47" t="s">
        <v>7881</v>
      </c>
      <c r="D1698" s="47" t="s">
        <v>6280</v>
      </c>
      <c r="E1698" s="47" t="s">
        <v>7894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 x14ac:dyDescent="0.25">
      <c r="A1699" s="48">
        <f t="shared" si="26"/>
        <v>1698</v>
      </c>
      <c r="B1699" s="47" t="s">
        <v>4</v>
      </c>
      <c r="C1699" s="47" t="s">
        <v>7881</v>
      </c>
      <c r="D1699" s="47" t="s">
        <v>6283</v>
      </c>
      <c r="E1699" s="47" t="s">
        <v>7895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 x14ac:dyDescent="0.25">
      <c r="A1700" s="48">
        <f t="shared" si="26"/>
        <v>1699</v>
      </c>
      <c r="B1700" s="47" t="s">
        <v>4</v>
      </c>
      <c r="C1700" s="47" t="s">
        <v>7881</v>
      </c>
      <c r="D1700" s="47" t="s">
        <v>6286</v>
      </c>
      <c r="E1700" s="47" t="s">
        <v>7896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 x14ac:dyDescent="0.25">
      <c r="A1701" s="48">
        <f t="shared" si="26"/>
        <v>1700</v>
      </c>
      <c r="B1701" s="47" t="s">
        <v>4</v>
      </c>
      <c r="C1701" s="47" t="s">
        <v>7881</v>
      </c>
      <c r="D1701" s="47" t="s">
        <v>6289</v>
      </c>
      <c r="E1701" s="47" t="s">
        <v>7897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 x14ac:dyDescent="0.25">
      <c r="A1702" s="48">
        <f t="shared" si="26"/>
        <v>1701</v>
      </c>
      <c r="B1702" s="47" t="s">
        <v>4</v>
      </c>
      <c r="C1702" s="47" t="s">
        <v>7881</v>
      </c>
      <c r="D1702" s="47" t="s">
        <v>6292</v>
      </c>
      <c r="E1702" s="47" t="s">
        <v>7898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 x14ac:dyDescent="0.25">
      <c r="A1703" s="48">
        <f t="shared" si="26"/>
        <v>1702</v>
      </c>
      <c r="B1703" s="47" t="s">
        <v>4</v>
      </c>
      <c r="C1703" s="47" t="s">
        <v>7881</v>
      </c>
      <c r="D1703" s="47" t="s">
        <v>6267</v>
      </c>
      <c r="E1703" s="47" t="s">
        <v>7880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 x14ac:dyDescent="0.25">
      <c r="A1704" s="48">
        <f t="shared" si="26"/>
        <v>1703</v>
      </c>
      <c r="B1704" s="47" t="s">
        <v>4</v>
      </c>
      <c r="C1704" s="47" t="s">
        <v>7881</v>
      </c>
      <c r="D1704" s="47" t="s">
        <v>6270</v>
      </c>
      <c r="E1704" s="47" t="s">
        <v>7890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 x14ac:dyDescent="0.25">
      <c r="A1705" s="48">
        <f t="shared" si="26"/>
        <v>1704</v>
      </c>
      <c r="B1705" s="47" t="s">
        <v>4</v>
      </c>
      <c r="C1705" s="47" t="s">
        <v>7881</v>
      </c>
      <c r="D1705" s="47" t="s">
        <v>6273</v>
      </c>
      <c r="E1705" s="47" t="s">
        <v>7891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 x14ac:dyDescent="0.25">
      <c r="A1706" s="48">
        <f t="shared" si="26"/>
        <v>1705</v>
      </c>
      <c r="B1706" s="47" t="s">
        <v>4</v>
      </c>
      <c r="C1706" s="47" t="s">
        <v>7881</v>
      </c>
      <c r="D1706" s="47" t="s">
        <v>6276</v>
      </c>
      <c r="E1706" s="47" t="s">
        <v>7892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 x14ac:dyDescent="0.25">
      <c r="A1707" s="48">
        <f t="shared" si="26"/>
        <v>1706</v>
      </c>
      <c r="B1707" s="47" t="s">
        <v>4</v>
      </c>
      <c r="C1707" s="47" t="s">
        <v>7881</v>
      </c>
      <c r="D1707" s="47" t="s">
        <v>6279</v>
      </c>
      <c r="E1707" s="47" t="s">
        <v>7893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 x14ac:dyDescent="0.25">
      <c r="A1708" s="48">
        <f t="shared" si="26"/>
        <v>1707</v>
      </c>
      <c r="B1708" s="47" t="s">
        <v>4</v>
      </c>
      <c r="C1708" s="47" t="s">
        <v>7881</v>
      </c>
      <c r="D1708" s="47" t="s">
        <v>6282</v>
      </c>
      <c r="E1708" s="47" t="s">
        <v>7894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 x14ac:dyDescent="0.25">
      <c r="A1709" s="48">
        <f t="shared" si="26"/>
        <v>1708</v>
      </c>
      <c r="B1709" s="47" t="s">
        <v>4</v>
      </c>
      <c r="C1709" s="47" t="s">
        <v>7881</v>
      </c>
      <c r="D1709" s="47" t="s">
        <v>6285</v>
      </c>
      <c r="E1709" s="47" t="s">
        <v>7895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 x14ac:dyDescent="0.25">
      <c r="A1710" s="48">
        <f t="shared" si="26"/>
        <v>1709</v>
      </c>
      <c r="B1710" s="47" t="s">
        <v>4</v>
      </c>
      <c r="C1710" s="47" t="s">
        <v>7881</v>
      </c>
      <c r="D1710" s="47" t="s">
        <v>6288</v>
      </c>
      <c r="E1710" s="47" t="s">
        <v>7896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 x14ac:dyDescent="0.25">
      <c r="A1711" s="48">
        <f t="shared" si="26"/>
        <v>1710</v>
      </c>
      <c r="B1711" s="47" t="s">
        <v>4</v>
      </c>
      <c r="C1711" s="47" t="s">
        <v>7881</v>
      </c>
      <c r="D1711" s="47" t="s">
        <v>6291</v>
      </c>
      <c r="E1711" s="47" t="s">
        <v>7897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 x14ac:dyDescent="0.25">
      <c r="A1712" s="48">
        <f t="shared" si="26"/>
        <v>1711</v>
      </c>
      <c r="B1712" s="47" t="s">
        <v>4</v>
      </c>
      <c r="C1712" s="47" t="s">
        <v>7881</v>
      </c>
      <c r="D1712" s="47" t="s">
        <v>6294</v>
      </c>
      <c r="E1712" s="47" t="s">
        <v>7898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87"/>
  <sheetViews>
    <sheetView topLeftCell="A244" workbookViewId="0">
      <selection activeCell="A288" sqref="A288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5968</v>
      </c>
      <c r="B234" s="36" t="s">
        <v>86</v>
      </c>
    </row>
    <row r="235" spans="1:2" x14ac:dyDescent="0.25">
      <c r="A235" s="5" t="s">
        <v>5971</v>
      </c>
      <c r="B235" s="36" t="s">
        <v>86</v>
      </c>
    </row>
    <row r="236" spans="1:2" x14ac:dyDescent="0.25">
      <c r="A236" s="5" t="s">
        <v>5973</v>
      </c>
      <c r="B236" s="36" t="s">
        <v>86</v>
      </c>
    </row>
    <row r="237" spans="1:2" x14ac:dyDescent="0.25">
      <c r="A237" s="5" t="s">
        <v>5974</v>
      </c>
      <c r="B237" s="36" t="s">
        <v>86</v>
      </c>
    </row>
    <row r="238" spans="1:2" x14ac:dyDescent="0.25">
      <c r="A238" s="5" t="s">
        <v>6093</v>
      </c>
      <c r="B238" s="36" t="s">
        <v>86</v>
      </c>
    </row>
    <row r="239" spans="1:2" x14ac:dyDescent="0.25">
      <c r="A239" s="5" t="s">
        <v>6095</v>
      </c>
      <c r="B239" s="36" t="s">
        <v>86</v>
      </c>
    </row>
    <row r="240" spans="1:2" x14ac:dyDescent="0.25">
      <c r="A240" s="5" t="s">
        <v>6096</v>
      </c>
      <c r="B240" s="36" t="s">
        <v>86</v>
      </c>
    </row>
    <row r="241" spans="1:2" x14ac:dyDescent="0.25">
      <c r="A241" s="5" t="s">
        <v>6102</v>
      </c>
      <c r="B241" s="36" t="s">
        <v>86</v>
      </c>
    </row>
    <row r="242" spans="1:2" x14ac:dyDescent="0.25">
      <c r="A242" s="5" t="s">
        <v>6103</v>
      </c>
      <c r="B242" s="36" t="s">
        <v>86</v>
      </c>
    </row>
    <row r="243" spans="1:2" x14ac:dyDescent="0.25">
      <c r="A243" s="5" t="s">
        <v>6104</v>
      </c>
      <c r="B243" s="36" t="s">
        <v>86</v>
      </c>
    </row>
    <row r="244" spans="1:2" x14ac:dyDescent="0.25">
      <c r="A244" s="39" t="s">
        <v>6105</v>
      </c>
      <c r="B244" s="36" t="s">
        <v>86</v>
      </c>
    </row>
    <row r="245" spans="1:2" x14ac:dyDescent="0.25">
      <c r="A245" s="5" t="s">
        <v>6109</v>
      </c>
      <c r="B245" s="36" t="s">
        <v>86</v>
      </c>
    </row>
    <row r="246" spans="1:2" x14ac:dyDescent="0.25">
      <c r="A246" s="5" t="s">
        <v>6114</v>
      </c>
      <c r="B246" s="36" t="s">
        <v>86</v>
      </c>
    </row>
    <row r="247" spans="1:2" x14ac:dyDescent="0.25">
      <c r="A247" s="46" t="s">
        <v>6111</v>
      </c>
      <c r="B247" s="36" t="s">
        <v>86</v>
      </c>
    </row>
    <row r="248" spans="1:2" x14ac:dyDescent="0.25">
      <c r="A248" s="46" t="s">
        <v>6120</v>
      </c>
      <c r="B248" s="36" t="s">
        <v>86</v>
      </c>
    </row>
    <row r="249" spans="1:2" x14ac:dyDescent="0.25">
      <c r="A249" s="46" t="s">
        <v>6123</v>
      </c>
      <c r="B249" s="36" t="s">
        <v>86</v>
      </c>
    </row>
    <row r="250" spans="1:2" x14ac:dyDescent="0.25">
      <c r="A250" s="46" t="s">
        <v>6132</v>
      </c>
      <c r="B250" s="36" t="s">
        <v>86</v>
      </c>
    </row>
    <row r="251" spans="1:2" x14ac:dyDescent="0.25">
      <c r="A251" s="46" t="s">
        <v>6216</v>
      </c>
      <c r="B251" s="36" t="s">
        <v>86</v>
      </c>
    </row>
    <row r="252" spans="1:2" x14ac:dyDescent="0.25">
      <c r="A252" s="46" t="s">
        <v>6352</v>
      </c>
      <c r="B252" s="36" t="s">
        <v>86</v>
      </c>
    </row>
    <row r="253" spans="1:2" x14ac:dyDescent="0.25">
      <c r="A253" s="46" t="s">
        <v>6406</v>
      </c>
      <c r="B253" s="36" t="s">
        <v>86</v>
      </c>
    </row>
    <row r="254" spans="1:2" x14ac:dyDescent="0.25">
      <c r="A254" s="46" t="s">
        <v>6444</v>
      </c>
      <c r="B254" s="36" t="s">
        <v>86</v>
      </c>
    </row>
    <row r="255" spans="1:2" x14ac:dyDescent="0.25">
      <c r="A255" s="46" t="s">
        <v>6457</v>
      </c>
      <c r="B255" s="36" t="s">
        <v>86</v>
      </c>
    </row>
    <row r="256" spans="1:2" x14ac:dyDescent="0.25">
      <c r="A256" s="46" t="s">
        <v>6459</v>
      </c>
      <c r="B256" s="36" t="s">
        <v>86</v>
      </c>
    </row>
    <row r="257" spans="1:2" x14ac:dyDescent="0.25">
      <c r="A257" s="46" t="s">
        <v>6610</v>
      </c>
      <c r="B257" s="36" t="s">
        <v>86</v>
      </c>
    </row>
    <row r="258" spans="1:2" x14ac:dyDescent="0.25">
      <c r="A258" s="46" t="s">
        <v>6615</v>
      </c>
      <c r="B258" s="36" t="s">
        <v>86</v>
      </c>
    </row>
    <row r="259" spans="1:2" x14ac:dyDescent="0.25">
      <c r="A259" s="46" t="s">
        <v>6616</v>
      </c>
      <c r="B259" s="36" t="s">
        <v>86</v>
      </c>
    </row>
    <row r="260" spans="1:2" x14ac:dyDescent="0.25">
      <c r="A260" s="5" t="s">
        <v>6579</v>
      </c>
      <c r="B260" s="36" t="s">
        <v>86</v>
      </c>
    </row>
    <row r="261" spans="1:2" x14ac:dyDescent="0.25">
      <c r="A261" s="5" t="s">
        <v>6580</v>
      </c>
      <c r="B261" s="36" t="s">
        <v>86</v>
      </c>
    </row>
    <row r="262" spans="1:2" x14ac:dyDescent="0.25">
      <c r="A262" s="5" t="s">
        <v>6591</v>
      </c>
      <c r="B262" s="36" t="s">
        <v>86</v>
      </c>
    </row>
    <row r="263" spans="1:2" x14ac:dyDescent="0.25">
      <c r="A263" s="5" t="s">
        <v>6622</v>
      </c>
      <c r="B263" s="36" t="s">
        <v>86</v>
      </c>
    </row>
    <row r="264" spans="1:2" x14ac:dyDescent="0.25">
      <c r="A264" s="5" t="s">
        <v>6628</v>
      </c>
      <c r="B264" s="36" t="s">
        <v>86</v>
      </c>
    </row>
    <row r="265" spans="1:2" x14ac:dyDescent="0.25">
      <c r="A265" s="5" t="s">
        <v>6631</v>
      </c>
      <c r="B265" s="36" t="s">
        <v>86</v>
      </c>
    </row>
    <row r="266" spans="1:2" x14ac:dyDescent="0.25">
      <c r="A266" s="5" t="s">
        <v>6632</v>
      </c>
      <c r="B266" s="36" t="s">
        <v>86</v>
      </c>
    </row>
    <row r="267" spans="1:2" x14ac:dyDescent="0.25">
      <c r="A267" s="5" t="s">
        <v>6638</v>
      </c>
      <c r="B267" s="36" t="s">
        <v>86</v>
      </c>
    </row>
    <row r="268" spans="1:2" x14ac:dyDescent="0.25">
      <c r="A268" s="5" t="s">
        <v>6639</v>
      </c>
      <c r="B268" s="36" t="s">
        <v>86</v>
      </c>
    </row>
    <row r="269" spans="1:2" x14ac:dyDescent="0.25">
      <c r="A269" s="5" t="s">
        <v>6649</v>
      </c>
      <c r="B269" s="36" t="s">
        <v>86</v>
      </c>
    </row>
    <row r="270" spans="1:2" x14ac:dyDescent="0.25">
      <c r="A270" s="5" t="s">
        <v>6654</v>
      </c>
      <c r="B270" s="36" t="s">
        <v>86</v>
      </c>
    </row>
    <row r="271" spans="1:2" x14ac:dyDescent="0.25">
      <c r="A271" s="5" t="s">
        <v>6658</v>
      </c>
      <c r="B271" s="36" t="s">
        <v>86</v>
      </c>
    </row>
    <row r="272" spans="1:2" x14ac:dyDescent="0.25">
      <c r="A272" s="5" t="s">
        <v>6709</v>
      </c>
      <c r="B272" s="36" t="s">
        <v>86</v>
      </c>
    </row>
    <row r="273" spans="1:2" x14ac:dyDescent="0.25">
      <c r="A273" s="5" t="s">
        <v>6716</v>
      </c>
      <c r="B273" s="36" t="s">
        <v>86</v>
      </c>
    </row>
    <row r="274" spans="1:2" x14ac:dyDescent="0.25">
      <c r="A274" s="5" t="s">
        <v>6724</v>
      </c>
      <c r="B274" s="36" t="s">
        <v>86</v>
      </c>
    </row>
    <row r="275" spans="1:2" x14ac:dyDescent="0.25">
      <c r="A275" s="5" t="s">
        <v>6729</v>
      </c>
      <c r="B275" s="36" t="s">
        <v>86</v>
      </c>
    </row>
    <row r="276" spans="1:2" x14ac:dyDescent="0.25">
      <c r="A276" s="5" t="s">
        <v>6733</v>
      </c>
      <c r="B276" s="36" t="s">
        <v>86</v>
      </c>
    </row>
    <row r="277" spans="1:2" x14ac:dyDescent="0.25">
      <c r="A277" s="5" t="s">
        <v>7582</v>
      </c>
      <c r="B277" s="36" t="s">
        <v>86</v>
      </c>
    </row>
    <row r="278" spans="1:2" x14ac:dyDescent="0.25">
      <c r="A278" s="5" t="s">
        <v>7587</v>
      </c>
      <c r="B278" s="36" t="s">
        <v>86</v>
      </c>
    </row>
    <row r="279" spans="1:2" x14ac:dyDescent="0.25">
      <c r="A279" s="46" t="s">
        <v>7626</v>
      </c>
      <c r="B279" s="36" t="s">
        <v>86</v>
      </c>
    </row>
    <row r="280" spans="1:2" x14ac:dyDescent="0.25">
      <c r="A280" s="46" t="s">
        <v>7678</v>
      </c>
      <c r="B280" s="36" t="s">
        <v>86</v>
      </c>
    </row>
    <row r="281" spans="1:2" x14ac:dyDescent="0.25">
      <c r="A281" s="46" t="s">
        <v>7753</v>
      </c>
      <c r="B281" s="36" t="s">
        <v>86</v>
      </c>
    </row>
    <row r="282" spans="1:2" x14ac:dyDescent="0.25">
      <c r="A282" s="46" t="s">
        <v>7755</v>
      </c>
      <c r="B282" s="36" t="s">
        <v>86</v>
      </c>
    </row>
    <row r="283" spans="1:2" x14ac:dyDescent="0.25">
      <c r="A283" s="46" t="s">
        <v>7879</v>
      </c>
      <c r="B283" s="36" t="s">
        <v>86</v>
      </c>
    </row>
    <row r="284" spans="1:2" x14ac:dyDescent="0.25">
      <c r="A284" s="46" t="s">
        <v>7881</v>
      </c>
      <c r="B284" s="36" t="s">
        <v>86</v>
      </c>
    </row>
    <row r="285" spans="1:2" x14ac:dyDescent="0.25">
      <c r="A285" s="5" t="s">
        <v>7158</v>
      </c>
      <c r="B285" s="36" t="s">
        <v>86</v>
      </c>
    </row>
    <row r="286" spans="1:2" x14ac:dyDescent="0.25">
      <c r="A286" s="5" t="s">
        <v>7160</v>
      </c>
      <c r="B286" s="36" t="s">
        <v>86</v>
      </c>
    </row>
    <row r="287" spans="1:2" x14ac:dyDescent="0.25">
      <c r="A287" s="47" t="s">
        <v>7908</v>
      </c>
      <c r="B287" s="36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3</vt:i4>
      </vt:variant>
    </vt:vector>
  </HeadingPairs>
  <TitlesOfParts>
    <vt:vector size="17" baseType="lpstr">
      <vt:lpstr>pvt</vt:lpstr>
      <vt:lpstr>STUCT1</vt:lpstr>
      <vt:lpstr>Sheet3</vt:lpstr>
      <vt:lpstr>Sheet2</vt:lpstr>
      <vt:lpstr>Sheet1</vt:lpstr>
      <vt:lpstr>Names</vt:lpstr>
      <vt:lpstr>NEW NODES</vt:lpstr>
      <vt:lpstr>People</vt:lpstr>
      <vt:lpstr>2023</vt:lpstr>
      <vt:lpstr>2024</vt:lpstr>
      <vt:lpstr>old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2025-12-19T00:22:13Z</dcterms:modified>
</cp:coreProperties>
</file>