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CDFF6D1C-AB9B-47BD-809B-A6BD687E3312}" xr6:coauthVersionLast="47" xr6:coauthVersionMax="47" xr10:uidLastSave="{00000000-0000-0000-0000-000000000000}"/>
  <bookViews>
    <workbookView xWindow="20145" yWindow="3060" windowWidth="10620" windowHeight="15585" activeTab="1" xr2:uid="{00000000-000D-0000-FFFF-FFFF00000000}"/>
  </bookViews>
  <sheets>
    <sheet name="pvt" sheetId="17" r:id="rId1"/>
    <sheet name="STUCT1" sheetId="1" r:id="rId2"/>
    <sheet name="Sheet2" sheetId="29" r:id="rId3"/>
    <sheet name="Sheet1" sheetId="28" r:id="rId4"/>
    <sheet name="Names" sheetId="5" r:id="rId5"/>
    <sheet name="NEW NODES" sheetId="6" r:id="rId6"/>
    <sheet name="People" sheetId="7" r:id="rId7"/>
    <sheet name="2023" sheetId="8" state="hidden" r:id="rId8"/>
    <sheet name="2024" sheetId="19" state="hidden" r:id="rId9"/>
    <sheet name="old" sheetId="27" state="hidden" r:id="rId10"/>
    <sheet name="Sectors" sheetId="9" r:id="rId11"/>
    <sheet name="Okey" sheetId="10" r:id="rId12"/>
    <sheet name="KPI" sheetId="12" r:id="rId13"/>
  </sheets>
  <definedNames>
    <definedName name="_xlnm._FilterDatabase" localSheetId="7">'2023'!$A$1:$M$1</definedName>
    <definedName name="_xlnm._FilterDatabase" localSheetId="4">Names!$A$237:$G$388</definedName>
    <definedName name="_xlnm._FilterDatabase" localSheetId="6">People!$A$1:$B$1</definedName>
    <definedName name="_xlnm._FilterDatabase" localSheetId="1">STUCT1!#REF!</definedName>
  </definedNames>
  <calcPr calcId="181029"/>
  <pivotCaches>
    <pivotCache cacheId="1" r:id="rId1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52" i="1" l="1"/>
  <c r="A53" i="1" s="1"/>
  <c r="H52" i="1"/>
  <c r="H53" i="1"/>
  <c r="A26" i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20" i="1"/>
  <c r="H25" i="1"/>
  <c r="H24" i="1"/>
  <c r="H23" i="1"/>
  <c r="H22" i="1"/>
  <c r="H21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</calcChain>
</file>

<file path=xl/sharedStrings.xml><?xml version="1.0" encoding="utf-8"?>
<sst xmlns="http://schemas.openxmlformats.org/spreadsheetml/2006/main" count="42928" uniqueCount="7974">
  <si>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</si>
  <si>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</si>
  <si>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</si>
  <si>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</si>
  <si>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</si>
  <si>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</si>
  <si>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</si>
  <si>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</si>
  <si>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</si>
  <si>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</si>
  <si>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</si>
  <si>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</si>
  <si>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</si>
  <si>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</si>
  <si>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</si>
  <si>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</si>
  <si>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</si>
  <si>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</si>
  <si>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</si>
  <si>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</si>
  <si>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</si>
  <si>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</si>
  <si>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</si>
  <si>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</si>
  <si>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</si>
  <si>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</si>
  <si>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</si>
  <si>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</si>
  <si>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</si>
  <si>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</si>
  <si>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</si>
  <si>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</si>
  <si>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</si>
  <si>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</si>
  <si>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</si>
  <si>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</si>
  <si>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</si>
  <si>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</si>
  <si>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</si>
  <si>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</si>
  <si>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</si>
  <si>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</si>
  <si>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</si>
  <si>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</si>
  <si>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</si>
  <si>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</si>
  <si>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</si>
  <si>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</si>
  <si>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</si>
  <si>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</si>
  <si>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</si>
  <si>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</si>
  <si>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</si>
  <si>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</si>
  <si>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</si>
  <si>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</si>
  <si>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</si>
  <si>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</si>
  <si>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</si>
  <si>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</si>
  <si>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</si>
  <si>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</si>
  <si>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</si>
  <si>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</si>
  <si>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</si>
  <si>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</si>
  <si>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</si>
  <si>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</si>
  <si>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</si>
  <si>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</si>
  <si>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</si>
  <si>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</si>
  <si>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</si>
  <si>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</si>
  <si>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</si>
  <si>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</si>
  <si>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</si>
  <si>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</si>
  <si>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</si>
  <si>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</si>
  <si>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</si>
  <si>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</si>
  <si>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</si>
  <si>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</si>
  <si>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</si>
  <si>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</si>
  <si>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</si>
  <si>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</si>
  <si>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</si>
  <si>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</si>
  <si>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</si>
  <si>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</si>
  <si>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</si>
  <si>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</si>
  <si>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</si>
  <si>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</si>
  <si>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</si>
  <si>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</si>
  <si>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</si>
  <si>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</si>
  <si>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</si>
  <si>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</si>
  <si>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</si>
  <si>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</si>
  <si>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</si>
  <si>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</si>
  <si>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</si>
  <si>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</si>
  <si>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</si>
  <si>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</si>
  <si>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</si>
  <si>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</si>
  <si>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</si>
  <si>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</si>
  <si>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</si>
  <si>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</si>
  <si>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</si>
  <si>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</si>
  <si>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</si>
  <si>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</si>
  <si>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</si>
  <si>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</si>
  <si>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</si>
  <si>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</si>
  <si>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</si>
  <si>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</si>
  <si>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</si>
  <si>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</si>
  <si>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</si>
  <si>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</si>
  <si>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</si>
  <si>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</si>
  <si>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</si>
  <si>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</si>
  <si>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</si>
  <si>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</si>
  <si>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</si>
  <si>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</si>
  <si>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</si>
  <si>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</si>
  <si>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</si>
  <si>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</si>
  <si>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</si>
  <si>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</si>
  <si>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</si>
  <si>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</si>
  <si>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</si>
  <si>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</si>
  <si>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</si>
  <si>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</si>
  <si>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</si>
  <si>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</si>
  <si>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</si>
  <si>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</si>
  <si>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</si>
  <si>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</si>
  <si>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</si>
  <si>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</si>
  <si>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</si>
  <si>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</si>
  <si>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</si>
  <si>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</si>
  <si>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</si>
  <si>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</si>
  <si>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</si>
  <si>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</si>
  <si>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</si>
  <si>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</si>
  <si>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</si>
  <si>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</si>
  <si>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</si>
  <si>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</si>
  <si>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</si>
  <si>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</si>
  <si>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</si>
  <si>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</si>
  <si>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</si>
  <si>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</si>
  <si>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</si>
  <si>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</si>
  <si>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</si>
  <si>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</si>
  <si>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</si>
  <si>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</si>
  <si>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</si>
  <si>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</si>
  <si>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</si>
  <si>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</si>
  <si>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</si>
  <si>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</si>
  <si>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</si>
  <si>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</si>
  <si>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</si>
  <si>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</si>
  <si>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</si>
  <si>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</si>
  <si>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</si>
  <si>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</si>
  <si>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</si>
  <si>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</si>
  <si>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</si>
  <si>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</si>
  <si>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</si>
  <si>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</si>
  <si>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</si>
  <si>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</si>
  <si>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</si>
  <si>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</si>
  <si>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</si>
  <si>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</si>
  <si>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</si>
  <si>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</si>
  <si>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</si>
  <si>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</si>
  <si>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</si>
  <si>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</si>
  <si>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</si>
  <si>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</si>
  <si>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</si>
  <si>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</si>
  <si>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</si>
  <si>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</si>
  <si>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</si>
  <si>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</si>
  <si>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</si>
  <si>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</si>
  <si>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</si>
  <si>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</si>
  <si>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</si>
  <si>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</si>
  <si>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</si>
  <si>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</si>
  <si>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</si>
  <si>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</si>
  <si>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</si>
  <si>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</si>
  <si>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</si>
  <si>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</si>
  <si>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</si>
  <si>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</si>
  <si>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</si>
  <si>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</si>
  <si>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</si>
  <si>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</si>
  <si>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</si>
  <si>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</si>
  <si>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</si>
  <si>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</si>
  <si>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</si>
  <si>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</si>
  <si>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</si>
  <si>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</si>
  <si>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</si>
  <si>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</si>
  <si>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</si>
  <si>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</si>
  <si>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</si>
  <si>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</si>
  <si>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</si>
  <si>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</si>
  <si>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</si>
  <si>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</si>
  <si>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</si>
  <si>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</si>
  <si>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</si>
  <si>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</si>
  <si>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</si>
  <si>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</si>
  <si>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</si>
  <si>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</si>
  <si>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</si>
  <si>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</si>
  <si>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</si>
  <si>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</si>
  <si>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</si>
  <si>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</si>
  <si>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</si>
  <si>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</si>
  <si>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</si>
  <si>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</si>
  <si>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</si>
  <si>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</si>
  <si>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</si>
  <si>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</si>
  <si>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</si>
  <si>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</si>
  <si>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</si>
  <si>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</si>
  <si>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</si>
  <si>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</si>
  <si>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</si>
  <si>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</si>
  <si>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</si>
  <si>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</si>
  <si>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</si>
  <si>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</si>
  <si>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</si>
  <si>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</si>
  <si>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</si>
  <si>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</si>
  <si>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</si>
  <si>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</si>
  <si>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</si>
  <si>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</si>
  <si>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</si>
  <si>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</si>
  <si>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</si>
  <si>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</si>
  <si>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</si>
  <si>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</si>
  <si>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</si>
  <si>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</si>
  <si>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</si>
  <si>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</si>
  <si>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</si>
  <si>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</si>
  <si>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</si>
  <si>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</si>
  <si>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</si>
  <si>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</si>
  <si>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</si>
  <si>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</si>
  <si>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</si>
  <si>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</si>
  <si>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</si>
  <si>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</si>
  <si>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</si>
  <si>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</si>
  <si>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</si>
  <si>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</si>
  <si>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</si>
  <si>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</si>
  <si>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</si>
  <si>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</si>
  <si>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</si>
  <si>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</si>
  <si>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</si>
  <si>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</si>
  <si>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</si>
  <si>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</si>
  <si>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</si>
  <si>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</si>
  <si>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</si>
  <si>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</si>
  <si>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</si>
  <si>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</si>
  <si>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</si>
  <si>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</si>
  <si>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</si>
  <si>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</si>
  <si>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</si>
  <si>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</si>
  <si>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</si>
  <si>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</si>
  <si>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</si>
  <si>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</si>
  <si>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</si>
  <si>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</si>
  <si>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</si>
  <si>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</si>
  <si>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</si>
  <si>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</si>
  <si>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</si>
  <si>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</si>
  <si>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</si>
  <si>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</si>
  <si>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</si>
  <si>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</si>
  <si>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</si>
  <si>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</si>
  <si>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</si>
  <si>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</si>
  <si>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</si>
  <si>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</si>
  <si>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</si>
  <si>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</si>
  <si>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</si>
  <si>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</si>
  <si>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</si>
  <si>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</si>
  <si>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</si>
  <si>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</si>
  <si>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</si>
  <si>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</si>
  <si>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</si>
  <si>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</si>
  <si>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</si>
  <si>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</si>
  <si>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</si>
  <si>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</si>
  <si>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</si>
  <si>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</si>
  <si>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</si>
  <si>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</si>
  <si>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</si>
  <si>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</si>
  <si>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</si>
  <si>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</si>
  <si>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</si>
  <si>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</si>
  <si>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</si>
  <si>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</si>
  <si>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</si>
  <si>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</si>
  <si>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</si>
  <si>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</si>
  <si>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</si>
  <si>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</si>
  <si>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</si>
  <si>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</si>
  <si>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</si>
  <si>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</si>
  <si>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</si>
  <si>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</si>
  <si>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</si>
  <si>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</si>
  <si>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</si>
  <si>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</si>
  <si>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</si>
  <si>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</si>
  <si>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</si>
  <si>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</si>
  <si>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</si>
  <si>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</si>
  <si>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</si>
  <si>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</si>
  <si>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</si>
  <si>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</si>
  <si>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</si>
  <si>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</si>
  <si>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</si>
  <si>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</si>
  <si>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</si>
  <si>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</si>
  <si>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</si>
  <si>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</si>
  <si>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</si>
  <si>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</si>
  <si>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</si>
  <si>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</si>
  <si>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</si>
  <si>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</si>
  <si>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</si>
  <si>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</si>
  <si>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</si>
  <si>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</si>
  <si>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</si>
  <si>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</si>
  <si>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</si>
  <si>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</si>
  <si>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</si>
  <si>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</si>
  <si>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</si>
  <si>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</si>
  <si>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</si>
  <si>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</si>
  <si>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</si>
  <si>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</si>
  <si>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</si>
  <si>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</si>
  <si>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</si>
  <si>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</si>
  <si>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</si>
  <si>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</si>
  <si>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</si>
  <si>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</si>
  <si>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</si>
  <si>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</si>
  <si>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</si>
  <si>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</si>
  <si>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</si>
  <si>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</si>
  <si>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</si>
  <si>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</si>
  <si>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</si>
  <si>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</si>
  <si>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</si>
  <si>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</si>
  <si>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</si>
  <si>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</si>
  <si>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</si>
  <si>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</si>
  <si>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</si>
  <si>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</si>
  <si>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</si>
  <si>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</si>
  <si>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</si>
  <si>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</si>
  <si>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</si>
  <si>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</si>
  <si>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</si>
  <si>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</si>
  <si>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</si>
  <si>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</si>
  <si>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</si>
  <si>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</si>
  <si>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</si>
  <si>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</si>
  <si>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</si>
  <si>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</si>
  <si>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</si>
  <si>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</si>
  <si>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</si>
  <si>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</si>
  <si>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</si>
  <si>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</si>
  <si>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</si>
  <si>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</si>
  <si>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</si>
  <si>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</si>
  <si>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</si>
  <si>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</si>
  <si>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</si>
  <si>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</si>
  <si>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</si>
  <si>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</si>
  <si>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</si>
  <si>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</si>
  <si>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</si>
  <si>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</si>
  <si>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</si>
  <si>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</si>
  <si>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</si>
  <si>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</si>
  <si>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</si>
  <si>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</si>
  <si>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</si>
  <si>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</si>
  <si>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</si>
  <si>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</si>
  <si>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</si>
  <si>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</si>
  <si>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</si>
  <si>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</si>
  <si>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</si>
  <si>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</si>
  <si>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</si>
  <si>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</si>
  <si>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</si>
  <si>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</si>
  <si>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</si>
  <si>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</si>
  <si>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</si>
  <si>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</si>
  <si>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</si>
  <si>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</si>
  <si>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</si>
  <si>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</si>
  <si>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</si>
  <si>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</si>
  <si>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</si>
  <si>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</si>
  <si>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</si>
  <si>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</si>
  <si>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</si>
  <si>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</si>
  <si>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</si>
  <si>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</si>
  <si>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</si>
  <si>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</si>
  <si>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</si>
  <si>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</si>
  <si>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</si>
  <si>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</si>
  <si>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</si>
  <si>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</si>
  <si>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</si>
  <si>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</si>
  <si>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</si>
  <si>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</si>
  <si>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</si>
  <si>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</si>
  <si>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</si>
  <si>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</si>
  <si>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</si>
  <si>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</si>
  <si>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</si>
  <si>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</si>
  <si>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</si>
  <si>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</si>
  <si>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</si>
  <si>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</si>
  <si>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</si>
  <si>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</si>
  <si>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</si>
  <si>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</si>
  <si>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</si>
  <si>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</si>
  <si>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</si>
  <si>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</si>
  <si>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</si>
  <si>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</si>
  <si>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</si>
  <si>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</si>
  <si>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</si>
  <si>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</si>
  <si>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</si>
  <si>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</si>
  <si>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</si>
  <si>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</si>
  <si>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</si>
  <si>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</si>
  <si>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</si>
  <si>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</si>
  <si>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</si>
  <si>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</si>
  <si>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</si>
  <si>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</si>
  <si>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</si>
  <si>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</si>
  <si>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</si>
  <si>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</si>
  <si>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</si>
  <si>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</si>
  <si>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</si>
  <si>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</si>
  <si>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</si>
  <si>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</si>
  <si>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</si>
  <si>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</si>
  <si>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</si>
  <si>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</si>
  <si>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</si>
  <si>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</si>
  <si>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</si>
  <si>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</si>
  <si>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</si>
  <si>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</si>
  <si>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</si>
  <si>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</si>
  <si>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</si>
  <si>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</si>
  <si>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</si>
  <si>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</si>
  <si>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</si>
  <si>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</si>
  <si>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</si>
  <si>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</si>
  <si>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</si>
  <si>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</si>
  <si>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</si>
  <si>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</si>
  <si>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</si>
  <si>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</si>
  <si>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</si>
  <si>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</si>
  <si>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</si>
  <si>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</si>
  <si>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</si>
  <si>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</si>
  <si>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</si>
  <si>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</si>
  <si>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</si>
  <si>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</si>
  <si>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</si>
  <si>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</si>
  <si>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</si>
  <si>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</si>
  <si>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</si>
  <si>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</si>
  <si>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</si>
  <si>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</si>
  <si>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</si>
  <si>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</si>
  <si>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</si>
  <si>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</si>
  <si>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</si>
  <si>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</si>
  <si>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</si>
  <si>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</si>
  <si>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</si>
  <si>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</si>
  <si>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</si>
  <si>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</si>
  <si>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</si>
  <si>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</si>
  <si>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</si>
  <si>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</si>
  <si>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</si>
  <si>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</si>
  <si>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</si>
  <si>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</si>
  <si>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</si>
  <si>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</si>
  <si>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</si>
  <si>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</si>
  <si>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</si>
  <si>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</si>
  <si>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</si>
  <si>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</si>
  <si>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</si>
  <si>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</si>
  <si>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</si>
  <si>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</si>
  <si>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</si>
  <si>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</si>
  <si>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</si>
  <si>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</si>
  <si>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</si>
  <si>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</si>
  <si>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</si>
  <si>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</si>
  <si>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</si>
  <si>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</si>
  <si>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</si>
  <si>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</si>
  <si>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</si>
  <si>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</si>
  <si>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</si>
  <si>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</si>
  <si>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</si>
  <si>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</si>
  <si>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</si>
  <si>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</si>
  <si>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</si>
  <si>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</si>
  <si>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</si>
  <si>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</si>
  <si>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</si>
  <si>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</si>
  <si>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</si>
  <si>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</si>
  <si>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</si>
  <si>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</si>
  <si>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</si>
  <si>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</si>
  <si>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</si>
  <si>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</si>
  <si>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</si>
  <si>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</si>
  <si>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</si>
  <si>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</si>
  <si>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</si>
  <si>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</si>
  <si>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</si>
  <si>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</si>
  <si>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</si>
  <si>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</si>
  <si>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</si>
  <si>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</si>
  <si>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</si>
  <si>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</si>
  <si>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</si>
  <si>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</si>
  <si>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</si>
  <si>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</si>
  <si>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</si>
  <si>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</si>
  <si>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</si>
  <si>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</si>
  <si>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</si>
  <si>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</si>
  <si>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</si>
  <si>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</si>
  <si>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</si>
  <si>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</si>
  <si>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</si>
  <si>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</si>
  <si>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</si>
  <si>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</si>
  <si>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</si>
  <si>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</si>
  <si>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</si>
  <si>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</si>
  <si>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</si>
  <si>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</si>
  <si>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</si>
  <si>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</si>
  <si>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</si>
  <si>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</si>
  <si>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</si>
  <si>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</si>
  <si>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</si>
  <si>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</si>
  <si>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</si>
  <si>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</si>
  <si>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</si>
  <si>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</si>
  <si>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</si>
  <si>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</si>
  <si>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</si>
  <si>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</si>
  <si>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</si>
  <si>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</si>
  <si>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</si>
  <si>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</si>
  <si>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</si>
  <si>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</si>
  <si>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</si>
  <si>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</si>
  <si>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</si>
  <si>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</si>
  <si>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</si>
  <si>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</si>
  <si>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</si>
  <si>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</si>
  <si>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</si>
  <si>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</si>
  <si>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</si>
  <si>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</si>
  <si>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</si>
  <si>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</si>
  <si>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</si>
  <si>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</si>
  <si>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</si>
  <si>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</si>
  <si>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</si>
  <si>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</si>
  <si>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</si>
  <si>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</si>
  <si>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</si>
  <si>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</si>
  <si>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</si>
  <si>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</si>
  <si>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</si>
  <si>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</si>
  <si>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</si>
  <si>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</si>
  <si>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</si>
  <si>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</si>
  <si>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</si>
  <si>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</si>
  <si>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</si>
  <si>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</si>
  <si>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</si>
  <si>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</si>
  <si>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</si>
  <si>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</si>
  <si>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</si>
  <si>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</si>
  <si>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</si>
  <si>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</si>
  <si>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</si>
  <si>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</si>
  <si>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</si>
  <si>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</si>
  <si>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</si>
  <si>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</si>
  <si>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</si>
  <si>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</si>
  <si>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</si>
  <si>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</si>
  <si>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</si>
  <si>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</si>
  <si>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</si>
  <si>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</si>
  <si>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</si>
  <si>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</si>
  <si>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</si>
  <si>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</si>
  <si>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</si>
  <si>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</si>
  <si>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</si>
  <si>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</si>
  <si>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</si>
  <si>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</si>
  <si>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</si>
  <si>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</si>
  <si>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</si>
  <si>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</si>
  <si>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</si>
  <si>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</si>
  <si>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</si>
  <si>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</si>
  <si>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</si>
  <si>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</si>
  <si>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</si>
  <si>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</si>
  <si>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</si>
  <si>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</si>
  <si>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</si>
  <si>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</si>
  <si>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</si>
  <si>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</si>
  <si>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</si>
  <si>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</si>
  <si>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</si>
  <si>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</si>
  <si>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</si>
  <si>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</si>
  <si>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</si>
  <si>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</si>
  <si>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</si>
  <si>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</si>
  <si>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</si>
  <si>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</si>
  <si>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</si>
  <si>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</si>
  <si>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</si>
  <si>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</si>
  <si>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</si>
  <si>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</si>
  <si>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</si>
  <si>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</si>
  <si>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</si>
  <si>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</si>
  <si>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</si>
  <si>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</si>
  <si>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</si>
  <si>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</si>
  <si>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</si>
  <si>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</si>
  <si>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</si>
  <si>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</si>
  <si>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</si>
  <si>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</si>
  <si>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</si>
  <si>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</si>
  <si>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</si>
  <si>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</si>
  <si>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</si>
  <si>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</si>
  <si>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</si>
  <si>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</si>
  <si>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</si>
  <si>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</si>
  <si>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</si>
  <si>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</si>
  <si>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</si>
  <si>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</si>
  <si>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</si>
  <si>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</si>
  <si>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</si>
  <si>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</si>
  <si>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</si>
  <si>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</si>
  <si>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</si>
  <si>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</si>
  <si>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</si>
  <si>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</si>
  <si>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</si>
  <si>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</si>
  <si>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</si>
  <si>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</si>
  <si>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</si>
  <si>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</si>
  <si>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</si>
  <si>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</si>
  <si>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</si>
  <si>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</si>
  <si>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</si>
  <si>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</si>
  <si>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</si>
  <si>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</si>
  <si>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</si>
  <si>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</si>
  <si>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</si>
  <si>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</si>
  <si>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</si>
  <si>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</si>
  <si>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</si>
  <si>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</si>
  <si>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</si>
  <si>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</si>
  <si>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</si>
  <si>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</si>
  <si>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</si>
  <si>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</si>
  <si>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</si>
  <si>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</si>
  <si>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</si>
  <si>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</si>
  <si>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</si>
  <si>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</si>
  <si>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</si>
  <si>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</si>
  <si>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</si>
  <si>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</si>
  <si>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</si>
  <si>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</si>
  <si>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</si>
  <si>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</si>
  <si>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</si>
  <si>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</si>
  <si>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</si>
  <si>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</si>
  <si>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</si>
  <si>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</si>
  <si>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</si>
  <si>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</si>
  <si>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</si>
  <si>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</si>
  <si>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</si>
  <si>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</si>
  <si>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</si>
  <si>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</si>
  <si>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</si>
  <si>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</si>
  <si>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</si>
  <si>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</si>
  <si>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</si>
  <si>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</si>
  <si>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</si>
  <si>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</si>
  <si>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</si>
  <si>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</si>
  <si>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</si>
  <si>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</si>
  <si>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</si>
  <si>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</si>
  <si>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</si>
  <si>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</si>
  <si>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</si>
  <si>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</si>
  <si>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</si>
  <si>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</si>
  <si>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</si>
  <si>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</si>
  <si>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</si>
  <si>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</si>
  <si>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</si>
  <si>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</si>
  <si>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</si>
  <si>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</si>
  <si>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</si>
  <si>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</si>
  <si>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</si>
  <si>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</si>
  <si>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</si>
  <si>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</si>
  <si>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</si>
  <si>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</si>
  <si>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</si>
  <si>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</si>
  <si>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</si>
  <si>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</si>
  <si>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</si>
  <si>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</si>
  <si>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</si>
  <si>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</si>
  <si>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</si>
  <si>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</si>
  <si>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</si>
  <si>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</si>
  <si>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</si>
  <si>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</si>
  <si>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</si>
  <si>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</si>
  <si>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</si>
  <si>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</si>
  <si>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</si>
  <si>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</si>
  <si>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</si>
  <si>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</si>
  <si>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</si>
  <si>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</si>
  <si>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</si>
  <si>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</si>
  <si>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</si>
  <si>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</si>
  <si>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</si>
  <si>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</si>
  <si>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</si>
  <si>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</si>
  <si>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</si>
  <si>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</si>
  <si>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</si>
  <si>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</si>
  <si>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</si>
  <si>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</si>
  <si>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</si>
  <si>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</si>
  <si>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</si>
  <si>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</si>
  <si>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</si>
  <si>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</si>
  <si>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</si>
  <si>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</si>
  <si>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</si>
  <si>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</si>
  <si>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</si>
  <si>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</si>
  <si>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</si>
  <si>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</si>
  <si>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</si>
  <si>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</si>
  <si>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</si>
  <si>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</si>
  <si>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</si>
  <si>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</si>
  <si>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</si>
  <si>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</si>
  <si>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</si>
  <si>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</si>
  <si>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</si>
  <si>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</si>
  <si>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</si>
  <si>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</si>
  <si>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</si>
  <si>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</si>
  <si>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</si>
  <si>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</si>
  <si>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</si>
  <si>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</si>
  <si>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</si>
  <si>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</si>
  <si>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</si>
  <si>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</si>
  <si>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</si>
  <si>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</si>
  <si>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</si>
  <si>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</si>
  <si>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</si>
  <si>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</si>
  <si>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</si>
  <si>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</si>
  <si>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</si>
  <si>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</si>
  <si>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</si>
  <si>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</si>
  <si>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</si>
  <si>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</si>
  <si>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</si>
  <si>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</si>
  <si>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</si>
  <si>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</si>
  <si>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</si>
  <si>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</si>
  <si>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</si>
  <si>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</si>
  <si>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</si>
  <si>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</si>
  <si>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</si>
  <si>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</si>
  <si>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</si>
  <si>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</si>
  <si>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</si>
  <si>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</si>
  <si>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</si>
  <si>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</si>
  <si>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</si>
  <si>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</si>
  <si>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</si>
  <si>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</si>
  <si>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</si>
  <si>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</si>
  <si>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</si>
  <si>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</si>
  <si>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</si>
  <si>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</si>
  <si>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</si>
  <si>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</si>
  <si>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</si>
  <si>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</si>
  <si>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</si>
  <si>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</si>
  <si>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</si>
  <si>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</si>
  <si>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</si>
  <si>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</si>
  <si>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</si>
  <si>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</si>
  <si>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</si>
  <si>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</si>
  <si>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</si>
  <si>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</si>
  <si>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</si>
  <si>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</si>
  <si>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</si>
  <si>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</si>
  <si>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</si>
  <si>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</si>
  <si>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</si>
  <si>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</si>
  <si>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</si>
  <si>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</si>
  <si>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</si>
  <si>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</si>
  <si>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</si>
  <si>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</si>
  <si>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</si>
  <si>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</si>
  <si>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</si>
  <si>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</si>
  <si>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</si>
  <si>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</si>
  <si>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</si>
  <si>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</si>
  <si>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</si>
  <si>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</si>
  <si>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</si>
  <si>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</si>
  <si>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</si>
  <si>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</si>
  <si>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</si>
  <si>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</si>
  <si>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</si>
  <si>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</si>
  <si>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</si>
  <si>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</si>
  <si>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</si>
  <si>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</si>
  <si>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</si>
  <si>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</si>
  <si>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</si>
  <si>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</si>
  <si>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</si>
  <si>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</si>
  <si>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</si>
  <si>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</si>
  <si>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</si>
  <si>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</si>
  <si>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</si>
  <si>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</si>
  <si>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</si>
  <si>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</si>
  <si>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</si>
  <si>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</si>
  <si>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</si>
  <si>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</si>
  <si>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</si>
  <si>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</si>
  <si>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</si>
  <si>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</si>
  <si>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</si>
  <si>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</si>
  <si>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</si>
  <si>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</si>
  <si>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</si>
  <si>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</si>
  <si>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</si>
  <si>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</si>
  <si>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</si>
  <si>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</si>
  <si>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</si>
  <si>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</si>
  <si>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</si>
  <si>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</si>
  <si>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</si>
  <si>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</si>
  <si>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</si>
  <si>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</si>
  <si>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</si>
  <si>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</si>
  <si>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</si>
  <si>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</si>
  <si>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</si>
  <si>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</si>
  <si>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</si>
  <si>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</si>
  <si>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</si>
  <si>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</si>
  <si>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</si>
  <si>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</si>
  <si>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</si>
  <si>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</si>
  <si>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</si>
  <si>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</si>
  <si>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</si>
  <si>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</si>
  <si>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</si>
  <si>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</si>
  <si>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</si>
  <si>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</si>
  <si>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</si>
  <si>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</si>
  <si>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</si>
  <si>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</si>
  <si>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</si>
  <si>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</si>
  <si>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</si>
  <si>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</si>
  <si>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</si>
  <si>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</si>
  <si>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</si>
  <si>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</si>
  <si>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</si>
  <si>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</si>
  <si>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</si>
  <si>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</si>
  <si>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</si>
  <si>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</si>
  <si>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</si>
  <si>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</si>
  <si>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</si>
  <si>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</si>
  <si>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</si>
  <si>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</si>
  <si>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</si>
  <si>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</si>
  <si>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</si>
  <si>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</si>
  <si>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</si>
  <si>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</si>
  <si>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</si>
  <si>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</si>
  <si>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</si>
  <si>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</si>
  <si>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</si>
  <si>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</si>
  <si>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</si>
  <si>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</si>
  <si>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</si>
  <si>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</si>
  <si>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</si>
  <si>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</si>
  <si>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</si>
  <si>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</si>
  <si>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</si>
  <si>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</si>
  <si>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</si>
  <si>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</si>
  <si>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</si>
  <si>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</si>
  <si>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</si>
  <si>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</si>
  <si>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</si>
  <si>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</si>
  <si>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</si>
  <si>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</si>
  <si>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</si>
  <si>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</si>
  <si>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</si>
  <si>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</si>
  <si>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</si>
  <si>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</si>
  <si>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</si>
  <si>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</si>
  <si>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</si>
  <si>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</si>
  <si>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</si>
  <si>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</si>
  <si>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</si>
  <si>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</si>
  <si>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</si>
  <si>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</si>
  <si>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</si>
  <si>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</si>
  <si>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</si>
  <si>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</si>
  <si>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</si>
  <si>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</si>
  <si>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</si>
  <si>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</si>
  <si>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</si>
  <si>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</si>
  <si>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</si>
  <si>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</si>
  <si>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</si>
  <si>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</si>
  <si>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</si>
  <si>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</si>
  <si>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</si>
  <si>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</si>
  <si>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</si>
  <si>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</si>
  <si>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</si>
  <si>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</si>
  <si>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</si>
  <si>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</si>
  <si>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</si>
  <si>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</si>
  <si>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</si>
  <si>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</si>
  <si>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</si>
  <si>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</si>
  <si>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</si>
  <si>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</si>
  <si>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</si>
  <si>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</si>
  <si>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</si>
  <si>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</si>
  <si>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</si>
  <si>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</si>
  <si>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</si>
  <si>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</si>
  <si>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</si>
  <si>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</si>
  <si>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</si>
  <si>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</si>
  <si>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</si>
  <si>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</si>
  <si>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</si>
  <si>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</si>
  <si>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</si>
  <si>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</si>
  <si>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</si>
  <si>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</si>
  <si>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</si>
  <si>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</si>
  <si>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</si>
  <si>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</si>
  <si>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</si>
  <si>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</si>
  <si>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</si>
  <si>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</si>
  <si>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</si>
  <si>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</si>
  <si>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</si>
  <si>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</si>
  <si>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</si>
  <si>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</si>
  <si>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</si>
  <si>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</si>
  <si>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</si>
  <si>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</si>
  <si>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</si>
  <si>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</si>
  <si>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</si>
  <si>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</si>
  <si>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</si>
  <si>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</si>
  <si>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</si>
  <si>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</si>
  <si>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</si>
  <si>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</si>
  <si>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</si>
  <si>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</si>
  <si>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</si>
  <si>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</si>
  <si>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</si>
  <si>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</si>
  <si>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</si>
  <si>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</si>
  <si>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</si>
  <si>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</si>
  <si>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</si>
  <si>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</si>
  <si>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</si>
  <si>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</si>
  <si>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</si>
  <si>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</si>
  <si>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</si>
  <si>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</si>
  <si>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</si>
  <si>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</si>
  <si>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</si>
  <si>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</si>
  <si>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</si>
  <si>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</si>
  <si>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</si>
  <si>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</si>
  <si>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</si>
  <si>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</si>
  <si>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</si>
  <si>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</si>
  <si>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</si>
  <si>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</si>
  <si>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</si>
  <si>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</si>
  <si>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</si>
  <si>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</si>
  <si>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</si>
  <si>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</si>
  <si>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</si>
  <si>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</si>
  <si>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</si>
  <si>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</si>
  <si>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</si>
  <si>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</si>
  <si>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</si>
  <si>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</si>
  <si>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</si>
  <si>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</si>
  <si>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</si>
  <si>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</si>
  <si>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</si>
  <si>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</si>
  <si>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</si>
  <si>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</si>
  <si>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</si>
  <si>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</si>
  <si>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</si>
  <si>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</si>
  <si>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</si>
  <si>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</si>
  <si>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</si>
  <si>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</si>
  <si>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</si>
  <si>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</si>
  <si>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</si>
  <si>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</si>
  <si>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</si>
  <si>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</si>
  <si>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</si>
  <si>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</si>
  <si>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</si>
  <si>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</si>
  <si>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</si>
  <si>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</si>
  <si>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</si>
  <si>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</si>
  <si>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</si>
  <si>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</si>
  <si>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</si>
  <si>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</si>
  <si>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</si>
  <si>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</si>
  <si>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</si>
  <si>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</si>
  <si>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</si>
  <si>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</si>
  <si>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</si>
  <si>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</si>
  <si>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</si>
  <si>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</si>
  <si>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</si>
  <si>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</si>
  <si>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</si>
  <si>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</si>
  <si>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</si>
  <si>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</si>
  <si>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</si>
  <si>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</si>
  <si>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</si>
  <si>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</si>
  <si>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</si>
  <si>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</si>
  <si>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</si>
  <si>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</si>
  <si>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</si>
  <si>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</si>
  <si>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</si>
  <si>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</si>
  <si>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</si>
  <si>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</si>
  <si>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</si>
  <si>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</si>
  <si>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</si>
  <si>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</si>
  <si>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</si>
  <si>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</si>
  <si>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</si>
  <si>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</si>
  <si>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</si>
  <si>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</si>
  <si>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</si>
  <si>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</si>
  <si>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</si>
  <si>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</si>
  <si>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</si>
  <si>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</si>
  <si>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</si>
  <si>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</si>
  <si>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</si>
  <si>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</si>
  <si>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</si>
  <si>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</si>
  <si>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</si>
  <si>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</si>
  <si>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</si>
  <si>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</si>
  <si>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</si>
  <si>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</si>
  <si>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</si>
  <si>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</si>
  <si>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</si>
  <si>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</si>
  <si>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</si>
  <si>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</si>
  <si>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</si>
  <si>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</si>
  <si>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</si>
  <si>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</si>
  <si>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</si>
  <si>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</si>
  <si>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</si>
  <si>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</si>
  <si>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</si>
  <si>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</si>
  <si>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</si>
  <si>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</si>
  <si>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</si>
  <si>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</si>
  <si>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</si>
  <si>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</si>
  <si>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</si>
  <si>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</si>
  <si>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</si>
  <si>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</si>
  <si>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</si>
  <si>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</si>
  <si>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</si>
  <si>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</si>
  <si>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</si>
  <si>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</si>
  <si>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</si>
  <si>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</si>
  <si>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</si>
  <si>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</si>
  <si>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</si>
  <si>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</si>
  <si>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</si>
  <si>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</si>
  <si>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</si>
  <si>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</si>
  <si>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</si>
  <si>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</si>
  <si>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</si>
  <si>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</si>
  <si>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</si>
  <si>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</si>
  <si>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</si>
  <si>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</si>
  <si>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</si>
  <si>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</si>
  <si>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</si>
  <si>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</si>
  <si>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</si>
  <si>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</si>
  <si>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</si>
  <si>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</si>
  <si>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</si>
  <si>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</si>
  <si>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</si>
  <si>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</si>
  <si>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</si>
  <si>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</si>
  <si>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</si>
  <si>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</si>
  <si>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</si>
  <si>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</si>
  <si>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</si>
  <si>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</si>
  <si>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</si>
  <si>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</si>
  <si>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</si>
  <si>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</si>
  <si>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</si>
  <si>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</si>
  <si>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</si>
  <si>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</si>
  <si>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</si>
  <si>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</si>
  <si>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</si>
  <si>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</si>
  <si>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</si>
  <si>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</si>
  <si>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</si>
  <si>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</si>
  <si>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</si>
  <si>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</si>
  <si>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</si>
  <si>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</si>
  <si>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</si>
  <si>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</si>
  <si>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</si>
  <si>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</si>
  <si>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</si>
  <si>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</si>
  <si>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</si>
  <si>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</si>
  <si>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</si>
  <si>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</si>
  <si>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</si>
  <si>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</si>
  <si>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</si>
  <si>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</si>
  <si>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</si>
  <si>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</si>
  <si>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</si>
  <si>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</si>
  <si>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</si>
  <si>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</si>
  <si>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</si>
  <si>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</si>
  <si>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</si>
  <si>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</si>
  <si>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</si>
  <si>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</si>
  <si>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</si>
  <si>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</si>
  <si>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</si>
  <si>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</si>
  <si>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</si>
  <si>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</si>
  <si>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</si>
  <si>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</si>
  <si>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</si>
  <si>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</si>
  <si>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</si>
  <si>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</si>
  <si>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</si>
  <si>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</si>
  <si>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</si>
  <si>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</si>
  <si>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</si>
  <si>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</si>
  <si>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</si>
  <si>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</si>
  <si>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</si>
  <si>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</si>
  <si>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</si>
  <si>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</si>
  <si>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</si>
  <si>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</si>
  <si>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</si>
  <si>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</si>
  <si>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</si>
  <si>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</si>
  <si>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</si>
  <si>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</si>
  <si>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</si>
  <si>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</si>
  <si>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</si>
  <si>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</si>
  <si>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</si>
  <si>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</si>
  <si>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</si>
  <si>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</si>
  <si>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</si>
  <si>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</si>
  <si>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</si>
  <si>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</si>
  <si>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</si>
  <si>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</si>
  <si>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</si>
  <si>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</si>
  <si>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</si>
  <si>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</si>
  <si>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</si>
  <si>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</si>
  <si>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</si>
  <si>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</si>
  <si>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</si>
  <si>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</si>
  <si>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</si>
  <si>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</si>
  <si>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</si>
  <si>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</si>
  <si>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</si>
  <si>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</si>
  <si>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</si>
  <si>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</si>
  <si>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</si>
  <si>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</si>
  <si>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</si>
  <si>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</si>
  <si>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</si>
  <si>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</si>
  <si>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</si>
  <si>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</si>
  <si>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</si>
  <si>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</si>
  <si>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</si>
  <si>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</si>
  <si>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</si>
  <si>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</si>
  <si>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</si>
  <si>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</si>
  <si>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</si>
  <si>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</si>
  <si>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</si>
  <si>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</si>
  <si>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</si>
  <si>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</si>
  <si>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</si>
  <si>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</si>
  <si>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</si>
  <si>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</si>
  <si>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</si>
  <si>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</si>
  <si>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</si>
  <si>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</si>
  <si>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</si>
  <si>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</si>
  <si>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</si>
  <si>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</si>
  <si>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</si>
  <si>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</si>
  <si>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</si>
  <si>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</si>
  <si>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</si>
  <si>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</si>
  <si>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</si>
  <si>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</si>
  <si>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</si>
  <si>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</si>
  <si>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</si>
  <si>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</si>
  <si>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</si>
  <si>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</si>
  <si>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</si>
  <si>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</si>
  <si>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</si>
  <si>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</si>
  <si>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</si>
  <si>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</si>
  <si>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</si>
  <si>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</si>
  <si>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</si>
  <si>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</si>
  <si>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</si>
  <si>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</si>
  <si>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</si>
  <si>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</si>
  <si>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</si>
  <si>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</si>
  <si>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</si>
  <si>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</si>
  <si>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</si>
  <si>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</si>
  <si>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</si>
  <si>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</si>
  <si>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</si>
  <si>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</si>
  <si>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</si>
  <si>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</si>
  <si>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</si>
  <si>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</si>
  <si>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</si>
  <si>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</si>
  <si>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</si>
  <si>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</si>
  <si>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</si>
  <si>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</si>
  <si>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</si>
  <si>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</si>
  <si>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</si>
  <si>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</si>
  <si>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</si>
  <si>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</si>
  <si>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</si>
  <si>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</si>
  <si>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</si>
  <si>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</si>
  <si>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</si>
  <si>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</si>
  <si>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</si>
  <si>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</si>
  <si>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</si>
  <si>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</si>
  <si>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</si>
  <si>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</si>
  <si>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</si>
  <si>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</si>
  <si>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</si>
  <si>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</si>
  <si>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</si>
  <si>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</si>
  <si>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</si>
  <si>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</si>
  <si>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</si>
  <si>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</si>
  <si>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</si>
  <si>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</si>
  <si>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</si>
  <si>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</si>
  <si>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</si>
  <si>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</si>
  <si>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</si>
  <si>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</si>
  <si>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</si>
  <si>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</si>
  <si>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</si>
  <si>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</si>
  <si>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</si>
  <si>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</si>
  <si>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</si>
  <si>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</si>
  <si>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</si>
  <si>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</si>
  <si>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</si>
  <si>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</si>
  <si>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</si>
  <si>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</si>
  <si>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</si>
  <si>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</si>
  <si>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</si>
  <si>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</si>
  <si>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</si>
  <si>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</si>
  <si>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</si>
  <si>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</si>
  <si>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</si>
  <si>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</si>
  <si>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</si>
  <si>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</si>
  <si>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</si>
  <si>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</si>
  <si>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</si>
  <si>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</si>
  <si>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</si>
  <si>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</si>
  <si>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</si>
  <si>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</si>
  <si>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</si>
  <si>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</si>
  <si>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</si>
  <si>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</si>
  <si>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</si>
  <si>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</si>
  <si>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</si>
  <si>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</si>
  <si>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</si>
  <si>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</si>
  <si>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</si>
  <si>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</si>
  <si>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</si>
  <si>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</si>
  <si>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</si>
  <si>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</si>
  <si>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</si>
  <si>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</si>
  <si>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</si>
  <si>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</si>
  <si>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</si>
  <si>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</si>
  <si>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</si>
  <si>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</si>
  <si>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</si>
  <si>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</si>
  <si>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</si>
  <si>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</si>
  <si>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</si>
  <si>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</si>
  <si>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</si>
  <si>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</si>
  <si>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</si>
  <si>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</si>
  <si>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</si>
  <si>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</si>
  <si>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</si>
  <si>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</si>
  <si>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</si>
  <si>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</si>
  <si>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</si>
  <si>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</si>
  <si>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</si>
  <si>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</si>
  <si>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</si>
  <si>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</si>
  <si>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</si>
  <si>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</si>
  <si>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</si>
  <si>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</si>
  <si>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</si>
  <si>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</si>
  <si>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</si>
  <si>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</si>
  <si>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</si>
  <si>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</si>
  <si>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</si>
  <si>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</si>
  <si>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</si>
  <si>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</si>
  <si>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</si>
  <si>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</si>
  <si>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</si>
  <si>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</si>
  <si>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</si>
  <si>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</si>
  <si>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</si>
  <si>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</si>
  <si>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</si>
  <si>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</si>
  <si>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</si>
  <si>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</si>
  <si>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</si>
  <si>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</si>
  <si>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</si>
  <si>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</si>
  <si>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</si>
  <si>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</si>
  <si>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</si>
  <si>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</si>
  <si>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</si>
  <si>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</si>
  <si>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</si>
  <si>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</si>
  <si>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</si>
  <si>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</si>
  <si>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</si>
  <si>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</si>
  <si>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</si>
  <si>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</si>
  <si>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</si>
  <si>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</si>
  <si>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</si>
  <si>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</si>
  <si>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</si>
  <si>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</si>
  <si>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</si>
  <si>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</si>
  <si>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</si>
  <si>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</si>
  <si>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</si>
  <si>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</si>
  <si>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</si>
  <si>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</si>
  <si>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</si>
  <si>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</si>
  <si>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</si>
  <si>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</si>
  <si>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</si>
  <si>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</si>
  <si>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</si>
  <si>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</si>
  <si>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</si>
  <si>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</si>
  <si>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</si>
  <si>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</si>
  <si>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</si>
  <si>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</si>
  <si>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</si>
  <si>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</si>
  <si>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</si>
  <si>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</si>
  <si>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</si>
  <si>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</si>
  <si>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</si>
  <si>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</si>
  <si>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</si>
  <si>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</si>
  <si>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</si>
  <si>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</si>
  <si>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</si>
  <si>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</si>
  <si>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</si>
  <si>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</si>
  <si>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</si>
  <si>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</si>
  <si>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</si>
  <si>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</si>
  <si>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</si>
  <si>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</si>
  <si>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</si>
  <si>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</si>
  <si>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</si>
  <si>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</si>
  <si>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</si>
  <si>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</si>
  <si>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</si>
  <si>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</si>
  <si>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</si>
  <si>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</si>
  <si>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</si>
  <si>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</si>
  <si>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</si>
  <si>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</si>
  <si>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</si>
  <si>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</si>
  <si>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</si>
  <si>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</si>
  <si>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</si>
  <si>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</si>
  <si>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</si>
  <si>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</si>
  <si>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</si>
  <si>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</si>
  <si>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</si>
  <si>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</si>
  <si>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</si>
  <si>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</si>
  <si>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</si>
  <si>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</si>
  <si>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</si>
  <si>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</si>
  <si>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</si>
  <si>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</si>
  <si>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</si>
  <si>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</si>
  <si>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</si>
  <si>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</si>
  <si>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</si>
  <si>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</si>
  <si>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</si>
  <si>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</si>
  <si>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</si>
  <si>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</si>
  <si>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</si>
  <si>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</si>
  <si>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</si>
  <si>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</si>
  <si>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</si>
  <si>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</si>
  <si>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</si>
  <si>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</si>
  <si>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</si>
  <si>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</si>
  <si>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</si>
  <si>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</si>
  <si>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</si>
  <si>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</si>
  <si>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</si>
  <si>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</si>
  <si>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</si>
  <si>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</si>
  <si>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</si>
  <si>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</si>
  <si>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</si>
  <si>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</si>
  <si>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</si>
  <si>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</si>
  <si>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</si>
  <si>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</si>
  <si>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</si>
  <si>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</si>
  <si>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</si>
  <si>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</si>
  <si>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</si>
  <si>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</si>
  <si>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</si>
  <si>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</si>
  <si>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</si>
  <si>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</si>
  <si>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</si>
  <si>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</si>
  <si>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</si>
  <si>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</si>
  <si>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</si>
  <si>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</si>
  <si>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</si>
  <si>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</si>
  <si>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</si>
  <si>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</si>
  <si>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</si>
  <si>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</si>
  <si>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</si>
  <si>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</si>
  <si>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</si>
  <si>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</si>
  <si>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</si>
  <si>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</si>
  <si>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</si>
  <si>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</si>
  <si>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</si>
  <si>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</si>
  <si>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</si>
  <si>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</si>
  <si>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</si>
  <si>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</si>
  <si>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</si>
  <si>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</si>
  <si>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</si>
  <si>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</si>
  <si>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</si>
  <si>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</si>
  <si>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</si>
  <si>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</si>
  <si>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</si>
  <si>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</si>
  <si>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</si>
  <si>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</si>
  <si>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</si>
  <si>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</si>
  <si>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</si>
  <si>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</si>
  <si>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</si>
  <si>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</si>
  <si>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</si>
  <si>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</si>
  <si>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</si>
  <si>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</si>
  <si>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</si>
  <si>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</si>
  <si>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</si>
  <si>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</si>
  <si>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</si>
  <si>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</si>
  <si>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</si>
  <si>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</si>
  <si>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</si>
  <si>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</si>
  <si>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</si>
  <si>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</si>
  <si>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</si>
  <si>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</si>
  <si>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</si>
  <si>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</si>
  <si>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</si>
  <si>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</si>
  <si>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</si>
  <si>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</si>
  <si>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</si>
  <si>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</si>
  <si>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</si>
  <si>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</si>
  <si>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</si>
  <si>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</si>
  <si>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</si>
  <si>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</si>
  <si>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</si>
  <si>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</si>
  <si>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</si>
  <si>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</si>
  <si>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</si>
  <si>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</si>
  <si>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</si>
  <si>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</si>
  <si>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</si>
  <si>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</si>
  <si>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</si>
  <si>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</si>
  <si>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</si>
  <si>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</si>
  <si>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</si>
  <si>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</si>
  <si>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</si>
  <si>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</si>
  <si>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</si>
  <si>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</si>
  <si>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</si>
  <si>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</si>
  <si>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</si>
  <si>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</si>
  <si>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</si>
  <si>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</si>
  <si>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</si>
  <si>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</si>
  <si>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</si>
  <si>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</si>
  <si>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</si>
  <si>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</si>
  <si>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</si>
  <si>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</si>
  <si>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</si>
  <si>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</si>
  <si>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</si>
  <si>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</si>
  <si>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</si>
  <si>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</si>
  <si>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</si>
  <si>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</si>
  <si>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</si>
  <si>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</si>
  <si>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</si>
  <si>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</si>
  <si>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</si>
  <si>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</si>
  <si>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</si>
  <si>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</si>
  <si>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</si>
  <si>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</si>
  <si>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</si>
  <si>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</si>
  <si>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</si>
  <si>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</si>
  <si>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</si>
  <si>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</si>
  <si>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</si>
  <si>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</si>
  <si>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</si>
  <si>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</si>
  <si>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</si>
  <si>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</si>
  <si>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</si>
  <si>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</si>
  <si>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</si>
  <si>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</si>
  <si>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</si>
  <si>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</si>
  <si>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</si>
  <si>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</si>
  <si>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</si>
  <si>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</si>
  <si>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</si>
  <si>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</si>
  <si>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</si>
  <si>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</si>
  <si>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</si>
  <si>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</si>
  <si>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</si>
  <si>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</si>
  <si>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</si>
  <si>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</si>
  <si>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</si>
  <si>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</si>
  <si>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</si>
  <si>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</si>
  <si>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</si>
  <si>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</si>
  <si>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</si>
  <si>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</si>
  <si>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</si>
  <si>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</si>
  <si>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</si>
  <si>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</si>
  <si>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</si>
  <si>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</si>
  <si>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</si>
  <si>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</si>
  <si>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</si>
  <si>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</si>
  <si>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</si>
  <si>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</si>
  <si>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</si>
  <si>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</si>
  <si>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</si>
  <si>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</si>
  <si>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</si>
  <si>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</si>
  <si>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</si>
  <si>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</si>
  <si>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</si>
  <si>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</si>
  <si>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</si>
  <si>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</si>
  <si>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</si>
  <si>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</si>
  <si>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</si>
  <si>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</si>
  <si>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</si>
  <si>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</si>
  <si>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</si>
  <si>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</si>
  <si>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</si>
  <si>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</si>
  <si>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</si>
  <si>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</si>
  <si>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</si>
  <si>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</si>
  <si>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</si>
  <si>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</si>
  <si>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</si>
  <si>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</si>
  <si>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</si>
  <si>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</si>
  <si>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</si>
  <si>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</si>
  <si>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</si>
  <si>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</si>
  <si>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</si>
  <si>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</si>
  <si>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</si>
  <si>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</si>
  <si>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</si>
  <si>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</si>
  <si>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</si>
  <si>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</si>
  <si>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</si>
  <si>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</si>
  <si>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</si>
  <si>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</si>
  <si>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</si>
  <si>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</si>
  <si>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</si>
  <si>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</si>
  <si>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</si>
  <si>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</si>
  <si>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</si>
  <si>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</si>
  <si>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</si>
  <si>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</si>
  <si>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</si>
  <si>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</si>
  <si>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</si>
  <si>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</si>
  <si>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</si>
  <si>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</si>
  <si>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</si>
  <si>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</si>
  <si>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</si>
  <si>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</si>
  <si>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</si>
  <si>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</si>
  <si>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</si>
  <si>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</si>
  <si>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</si>
  <si>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</si>
  <si>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</si>
  <si>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</si>
  <si>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</si>
  <si>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</si>
  <si>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</si>
  <si>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</si>
  <si>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</si>
  <si>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</si>
  <si>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</si>
  <si>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</si>
  <si>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</si>
  <si>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</si>
  <si>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</si>
  <si>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</si>
  <si>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</si>
  <si>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</si>
  <si>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</si>
  <si>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</si>
  <si>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</si>
  <si>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</si>
  <si>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</si>
  <si>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</si>
  <si>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</si>
  <si>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</si>
  <si>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</si>
  <si>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</si>
  <si>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</si>
  <si>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</si>
  <si>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</si>
  <si>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</si>
  <si>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</si>
  <si>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</si>
  <si>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</si>
  <si>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</si>
  <si>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</si>
  <si>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</si>
  <si>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</si>
  <si>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</si>
  <si>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</si>
  <si>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</si>
  <si>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</si>
  <si>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</si>
  <si>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</si>
  <si>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</si>
  <si>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</si>
  <si>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</si>
  <si>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</si>
  <si>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</si>
  <si>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</si>
  <si>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</si>
  <si>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</si>
  <si>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</si>
  <si>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</si>
  <si>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</si>
  <si>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</si>
  <si>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</si>
  <si>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</si>
  <si>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</si>
  <si>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</si>
  <si>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</si>
  <si>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</si>
  <si>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</si>
  <si>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</si>
  <si>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</si>
  <si>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</si>
  <si>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</si>
  <si>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</si>
  <si>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</si>
  <si>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</si>
  <si>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</si>
  <si>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</si>
  <si>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</si>
  <si>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</si>
  <si>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</si>
  <si>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</si>
  <si>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</si>
  <si>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</si>
  <si>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</si>
  <si>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</si>
  <si>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</si>
  <si>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</si>
  <si>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</si>
  <si>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</si>
  <si>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</si>
  <si>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</si>
  <si>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</si>
  <si>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</si>
  <si>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</si>
  <si>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</si>
  <si>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</si>
  <si>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</si>
  <si>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</si>
  <si>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</si>
  <si>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</si>
  <si>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</si>
  <si>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</si>
  <si>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</si>
  <si>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</si>
  <si>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</si>
  <si>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</si>
  <si>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</si>
  <si>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</si>
  <si>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</si>
  <si>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</si>
  <si>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</si>
  <si>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</si>
  <si>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</si>
  <si>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</si>
  <si>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</si>
  <si>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</si>
  <si>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</si>
  <si>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</si>
  <si>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</si>
  <si>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</si>
  <si>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</si>
  <si>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</si>
  <si>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</si>
  <si>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</si>
  <si>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</si>
  <si>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</si>
  <si>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</si>
  <si>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</si>
  <si>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</si>
  <si>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</si>
  <si>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</si>
  <si>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</si>
  <si>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</si>
  <si>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</si>
  <si>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</si>
  <si>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</si>
  <si>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</si>
  <si>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</si>
  <si>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</si>
  <si>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</si>
  <si>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</si>
  <si>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</si>
  <si>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</si>
  <si>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</si>
  <si>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</si>
  <si>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</si>
  <si>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</si>
  <si>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</si>
  <si>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</si>
  <si>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</si>
  <si>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</si>
  <si>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</si>
  <si>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</si>
  <si>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</si>
  <si>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</si>
  <si>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</si>
  <si>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</si>
  <si>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</si>
  <si>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</si>
  <si>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</si>
  <si>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</si>
  <si>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</si>
  <si>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</si>
  <si>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</si>
  <si>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</si>
  <si>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</si>
  <si>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</si>
  <si>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</si>
  <si>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</si>
  <si>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</si>
  <si>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</si>
  <si>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</si>
  <si>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</si>
  <si>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</si>
  <si>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</si>
  <si>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</si>
  <si>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</si>
  <si>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</si>
  <si>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</si>
  <si>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</si>
  <si>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</si>
  <si>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</si>
  <si>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</si>
  <si>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</si>
  <si>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</si>
  <si>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</si>
  <si>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</si>
  <si>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</si>
  <si>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</si>
  <si>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</si>
  <si>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</si>
  <si>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</si>
  <si>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</si>
  <si>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</si>
  <si>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</si>
  <si>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</si>
  <si>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</si>
  <si>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</si>
  <si>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</si>
  <si>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</si>
  <si>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</si>
  <si>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</si>
  <si>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</si>
  <si>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</si>
  <si>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</si>
  <si>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</si>
  <si>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</si>
  <si>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</si>
  <si>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</si>
  <si>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</si>
  <si>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</si>
  <si>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</si>
  <si>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</si>
  <si>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</si>
  <si>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</si>
  <si>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</si>
  <si>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</si>
  <si>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</si>
  <si>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</si>
  <si>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</si>
  <si>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</si>
  <si>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</si>
  <si>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</si>
  <si>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</si>
  <si>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</si>
  <si>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</si>
  <si>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</si>
  <si>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</si>
  <si>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</si>
  <si>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</si>
  <si>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</si>
  <si>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</si>
  <si>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</si>
  <si>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</si>
  <si>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</si>
  <si>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</si>
  <si>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</si>
  <si>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</si>
  <si>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</si>
  <si>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</si>
  <si>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</si>
  <si>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</si>
  <si>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</si>
  <si>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</si>
  <si>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</si>
  <si>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</si>
  <si>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</si>
  <si>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</si>
  <si>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</si>
  <si>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</si>
  <si>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</si>
  <si>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</si>
  <si>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</si>
  <si>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</si>
  <si>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</si>
  <si>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</si>
  <si>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</si>
  <si>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</si>
  <si>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</si>
  <si>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</si>
  <si>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</si>
  <si>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</si>
  <si>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</si>
  <si>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</si>
  <si>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</si>
  <si>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</si>
  <si>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</si>
  <si>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</si>
  <si>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</si>
  <si>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</si>
  <si>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</si>
  <si>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</si>
  <si>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</si>
  <si>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</si>
  <si>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</si>
  <si>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</si>
  <si>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</si>
  <si>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</si>
  <si>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</si>
  <si>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</si>
  <si>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</si>
  <si>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</si>
  <si>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</si>
  <si>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</si>
  <si>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</si>
  <si>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</si>
  <si>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</si>
  <si>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</si>
  <si>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</si>
  <si>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</si>
  <si>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</si>
  <si>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</si>
  <si>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</si>
  <si>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</si>
  <si>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</si>
  <si>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</si>
  <si>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</si>
  <si>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</si>
  <si>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</si>
  <si>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</si>
  <si>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</si>
  <si>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</si>
  <si>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</si>
  <si>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</si>
  <si>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</si>
  <si>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</si>
  <si>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</si>
  <si>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</si>
  <si>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</si>
  <si>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</si>
  <si>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</si>
  <si>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</si>
  <si>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</si>
  <si>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</si>
  <si>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</si>
  <si>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</si>
  <si>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</si>
  <si>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</si>
  <si>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</si>
  <si>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</si>
  <si>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</si>
  <si>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</si>
  <si>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</si>
  <si>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</si>
  <si>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</si>
  <si>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</si>
  <si>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</si>
  <si>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</si>
  <si>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</si>
  <si>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</si>
  <si>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</si>
  <si>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</si>
  <si>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</si>
  <si>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</si>
  <si>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</si>
  <si>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</si>
  <si>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</si>
  <si>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</si>
  <si>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</si>
  <si>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</si>
  <si>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</si>
  <si>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</si>
  <si>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</si>
  <si>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</si>
  <si>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</si>
  <si>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</si>
  <si>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</si>
  <si>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</si>
  <si>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</si>
  <si>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</si>
  <si>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</si>
  <si>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</si>
  <si>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</si>
  <si>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</si>
  <si>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</si>
  <si>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</si>
  <si>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</si>
  <si>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</si>
  <si>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</si>
  <si>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</si>
  <si>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</si>
  <si>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</si>
  <si>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</si>
  <si>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</si>
  <si>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</si>
  <si>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</si>
  <si>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</si>
  <si>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</si>
  <si>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</si>
  <si>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</si>
  <si>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</si>
  <si>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</si>
  <si>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</si>
  <si>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</si>
  <si>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</si>
  <si>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</si>
  <si>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</si>
  <si>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</si>
  <si>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</si>
  <si>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</si>
  <si>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</si>
  <si>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</si>
  <si>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</si>
  <si>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</si>
  <si>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</si>
  <si>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</si>
  <si>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</si>
  <si>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</si>
  <si>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</si>
  <si>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</si>
  <si>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</si>
  <si>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</si>
  <si>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</si>
  <si>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</si>
  <si>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</si>
  <si>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</si>
  <si>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</si>
  <si>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</si>
  <si>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</si>
  <si>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</si>
  <si>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</si>
  <si>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</si>
  <si>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</si>
  <si>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</si>
  <si>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</si>
  <si>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</si>
  <si>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</si>
  <si>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</si>
  <si>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</si>
  <si>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</si>
  <si>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</si>
  <si>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</si>
  <si>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</si>
  <si>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</si>
  <si>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</si>
  <si>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</si>
  <si>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</si>
  <si>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</si>
  <si>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</si>
  <si>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</si>
  <si>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</si>
  <si>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</si>
  <si>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</si>
  <si>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</si>
  <si>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</si>
  <si>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</si>
  <si>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</si>
  <si>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</si>
  <si>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</si>
  <si>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</si>
  <si>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</si>
  <si>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</si>
  <si>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</si>
  <si>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</si>
  <si>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</si>
  <si>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</si>
  <si>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</si>
  <si>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</si>
  <si>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</si>
  <si>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</si>
  <si>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</si>
  <si>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</si>
  <si>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</si>
  <si>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</si>
  <si>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</si>
  <si>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</si>
  <si>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</si>
  <si>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</si>
  <si>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</si>
  <si>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</si>
  <si>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</si>
  <si>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</si>
  <si>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</si>
  <si>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</si>
  <si>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</si>
  <si>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</si>
  <si>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</si>
  <si>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</si>
  <si>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</si>
  <si>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</si>
  <si>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</si>
  <si>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</si>
  <si>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</si>
  <si>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</si>
  <si>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</si>
  <si>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</si>
  <si>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</si>
  <si>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</si>
  <si>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</si>
  <si>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</si>
  <si>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</si>
  <si>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</si>
  <si>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</si>
  <si>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</si>
  <si>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</si>
  <si>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</si>
  <si>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</si>
  <si>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</si>
  <si>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</si>
  <si>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</si>
  <si>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</si>
  <si>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</si>
  <si>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</si>
  <si>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</si>
  <si>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</si>
  <si>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</si>
  <si>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</si>
  <si>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</si>
  <si>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</si>
  <si>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</si>
  <si>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</si>
  <si>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</si>
  <si>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</si>
  <si>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</si>
  <si>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</si>
  <si>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</si>
  <si>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</si>
  <si>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</si>
  <si>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</si>
  <si>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</si>
  <si>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</si>
  <si>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</si>
  <si>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</si>
  <si>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</si>
  <si>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</si>
  <si>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</si>
  <si>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</si>
  <si>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</si>
  <si>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</si>
  <si>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</si>
  <si>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</si>
  <si>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</si>
  <si>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</si>
  <si>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</si>
  <si>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</si>
  <si>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</si>
  <si>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</si>
  <si>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</si>
  <si>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</si>
  <si>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</si>
  <si>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</si>
  <si>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</si>
  <si>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</si>
  <si>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</si>
  <si>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</si>
  <si>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</si>
  <si>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</si>
  <si>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</si>
  <si>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</si>
  <si>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</si>
  <si>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</si>
  <si>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</si>
  <si>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</si>
  <si>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</si>
  <si>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</si>
  <si>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</si>
  <si>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</si>
  <si>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</si>
  <si>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</si>
  <si>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</si>
  <si>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</si>
  <si>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</si>
  <si>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</si>
  <si>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</si>
  <si>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</si>
  <si>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</si>
  <si>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</si>
  <si>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</si>
  <si>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</si>
  <si>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</si>
  <si>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</si>
  <si>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</si>
  <si>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</si>
  <si>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</si>
  <si>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</si>
  <si>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</si>
  <si>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</si>
  <si>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</si>
  <si>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</si>
  <si>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</si>
  <si>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</si>
  <si>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</si>
  <si>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</si>
  <si>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</si>
  <si>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</si>
  <si>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</si>
  <si>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</si>
  <si>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</si>
  <si>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</si>
  <si>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</si>
  <si>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</si>
  <si>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</si>
  <si>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</si>
  <si>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</si>
  <si>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</si>
  <si>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</si>
  <si>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</si>
  <si>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</si>
  <si>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</si>
  <si>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</si>
  <si>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</si>
  <si>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</si>
  <si>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</si>
  <si>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</si>
  <si>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</si>
  <si>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</si>
  <si>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</si>
  <si>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</si>
  <si>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</si>
  <si>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</si>
  <si>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</si>
  <si>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</si>
  <si>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</si>
  <si>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</si>
  <si>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</si>
  <si>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</si>
  <si>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</si>
  <si>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</si>
  <si>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</si>
  <si>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</si>
  <si>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</si>
  <si>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</si>
  <si>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</si>
  <si>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</si>
  <si>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</si>
  <si>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</si>
  <si>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</si>
  <si>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</si>
  <si>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</si>
  <si>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</si>
  <si>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</si>
  <si>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</si>
  <si>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</si>
  <si>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</si>
  <si>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</si>
  <si>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</si>
  <si>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</si>
  <si>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</si>
  <si>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</si>
  <si>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</si>
  <si>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</si>
  <si>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</si>
  <si>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</si>
  <si>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</si>
  <si>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</si>
  <si>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</si>
  <si>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</si>
  <si>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</si>
  <si>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</si>
  <si>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</si>
  <si>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</si>
  <si>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</si>
  <si>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</si>
  <si>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</si>
  <si>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</si>
  <si>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</si>
  <si>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</si>
  <si>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</si>
  <si>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</si>
  <si>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</si>
  <si>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</si>
  <si>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</si>
  <si>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</si>
  <si>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</si>
  <si>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</si>
  <si>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</si>
  <si>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</si>
  <si>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</si>
  <si>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</si>
  <si>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</si>
  <si>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</si>
  <si>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</si>
  <si>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</si>
  <si>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</si>
  <si>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</si>
  <si>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</si>
  <si>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</si>
  <si>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</si>
  <si>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</si>
  <si>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</si>
  <si>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</si>
  <si>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</si>
  <si>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</si>
  <si>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</si>
  <si>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</si>
  <si>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</si>
  <si>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</si>
  <si>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</si>
  <si>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</si>
  <si>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</si>
  <si>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</si>
  <si>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</si>
  <si>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</si>
  <si>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</si>
  <si>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</si>
  <si>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</si>
  <si>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</si>
  <si>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</si>
  <si>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</si>
  <si>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</si>
  <si>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</si>
  <si>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</si>
  <si>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</si>
  <si>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</si>
  <si>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</si>
  <si>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</si>
  <si>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</si>
  <si>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</si>
  <si>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</si>
  <si>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</si>
  <si>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</si>
  <si>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</si>
  <si>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</si>
  <si>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</si>
  <si>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</si>
  <si>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</si>
  <si>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</si>
  <si>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</si>
  <si>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</si>
  <si>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</si>
  <si>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</si>
  <si>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</si>
  <si>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</si>
  <si>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</si>
  <si>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</si>
  <si>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</si>
  <si>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</si>
  <si>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</si>
  <si>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</si>
  <si>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</si>
  <si>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</si>
  <si>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</si>
  <si>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</si>
  <si>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</si>
  <si>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</si>
  <si>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</si>
  <si>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</si>
  <si>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</si>
  <si>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</si>
  <si>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</si>
  <si>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</si>
  <si>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</si>
  <si>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</si>
  <si>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</si>
  <si>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</si>
  <si>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</si>
  <si>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</si>
  <si>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</si>
  <si>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</si>
  <si>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</si>
  <si>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</si>
  <si>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</si>
  <si>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</si>
  <si>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</si>
  <si>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</si>
  <si>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</si>
  <si>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</si>
  <si>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</si>
  <si>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</si>
  <si>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</si>
  <si>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</si>
  <si>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</si>
  <si>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</si>
  <si>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</si>
  <si>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</si>
  <si>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</si>
  <si>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</si>
  <si>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</si>
  <si>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</si>
  <si>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</si>
  <si>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</si>
  <si>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</si>
  <si>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</si>
  <si>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</si>
  <si>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</si>
  <si>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</si>
  <si>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</si>
  <si>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</si>
  <si>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</si>
  <si>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</si>
  <si>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</si>
  <si>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</si>
  <si>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</si>
  <si>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</si>
  <si>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</si>
  <si>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</si>
  <si>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</si>
  <si>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</si>
  <si>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</si>
  <si>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</si>
  <si>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</si>
  <si>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</si>
  <si>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</si>
  <si>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</si>
  <si>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</si>
  <si>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</si>
  <si>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</si>
  <si>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</si>
  <si>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</si>
  <si>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</si>
  <si>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</si>
  <si>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</si>
  <si>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</si>
  <si>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</si>
  <si>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</si>
  <si>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</si>
  <si>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</si>
  <si>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</si>
  <si>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</si>
  <si>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</si>
  <si>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</si>
  <si>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</si>
  <si>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</si>
  <si>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</si>
  <si>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</si>
  <si>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</si>
  <si>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</si>
  <si>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</si>
  <si>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</si>
  <si>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</si>
  <si>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</si>
  <si>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</si>
  <si>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</si>
  <si>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</si>
  <si>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</si>
  <si>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</si>
  <si>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</si>
  <si>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</si>
  <si>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</si>
  <si>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</si>
  <si>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</si>
  <si>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</si>
  <si>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</si>
  <si>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</si>
  <si>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</si>
  <si>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</si>
  <si>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</si>
  <si>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</si>
  <si>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</si>
  <si>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</si>
  <si>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</si>
  <si>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</si>
  <si>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</si>
  <si>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</si>
  <si>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</si>
  <si>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</si>
  <si>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</si>
  <si>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</si>
  <si>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</si>
  <si>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</si>
  <si>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</si>
  <si>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</si>
  <si>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</si>
  <si>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</si>
  <si>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</si>
  <si>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</si>
  <si>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</si>
  <si>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</si>
  <si>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</si>
  <si>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</si>
  <si>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</si>
  <si>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</si>
  <si>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</si>
  <si>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</si>
  <si>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</si>
  <si>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</si>
  <si>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</si>
  <si>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</si>
  <si>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</si>
  <si>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</si>
  <si>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</si>
  <si>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</si>
  <si>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</si>
  <si>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</si>
  <si>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</si>
  <si>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</si>
  <si>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</si>
  <si>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</si>
  <si>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</si>
  <si>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</si>
  <si>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</si>
  <si>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</si>
  <si>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</si>
  <si>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</si>
  <si>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</si>
  <si>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</si>
  <si>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</si>
  <si>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</si>
  <si>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</si>
  <si>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</si>
  <si>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</si>
  <si>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</si>
  <si>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</si>
  <si>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</si>
  <si>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</si>
  <si>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</si>
  <si>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</si>
  <si>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</si>
  <si>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</si>
  <si>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</si>
  <si>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</si>
  <si>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</si>
  <si>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</si>
  <si>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</si>
  <si>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</si>
  <si>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</si>
  <si>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</si>
  <si>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</si>
  <si>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</si>
  <si>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</si>
  <si>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</si>
  <si>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</si>
  <si>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</si>
  <si>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</si>
  <si>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</si>
  <si>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</si>
  <si>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</si>
  <si>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</si>
  <si>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</si>
  <si>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</si>
  <si>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</si>
  <si>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</si>
  <si>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</si>
  <si>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</si>
  <si>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</si>
  <si>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</si>
  <si>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</si>
  <si>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</si>
  <si>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</si>
  <si>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</si>
  <si>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</si>
  <si>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</si>
  <si>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</si>
  <si>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</si>
  <si>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</si>
  <si>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</si>
  <si>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</si>
  <si>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</si>
  <si>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</si>
  <si>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</si>
  <si>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</si>
  <si>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</si>
  <si>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</si>
  <si>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</si>
  <si>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</si>
  <si>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</si>
  <si>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</si>
  <si>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</si>
  <si>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</si>
  <si>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</si>
  <si>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</si>
  <si>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</si>
  <si>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</si>
  <si>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</si>
  <si>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</si>
  <si>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</si>
  <si>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</si>
  <si>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</si>
  <si>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</si>
  <si>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</si>
  <si>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</si>
  <si>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</si>
  <si>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</si>
  <si>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</si>
  <si>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</si>
  <si>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</si>
  <si>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</si>
  <si>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</si>
  <si>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</si>
  <si>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</si>
  <si>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</si>
  <si>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</si>
  <si>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</si>
  <si>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</si>
  <si>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</si>
  <si>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</si>
  <si>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</si>
  <si>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</si>
  <si>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</si>
  <si>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</si>
  <si>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</si>
  <si>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</si>
  <si>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</si>
  <si>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</si>
  <si>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</si>
  <si>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</si>
  <si>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</si>
  <si>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</si>
  <si>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</si>
  <si>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</si>
  <si>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</si>
  <si>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</si>
  <si>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</si>
  <si>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</si>
  <si>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</si>
  <si>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</si>
  <si>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</si>
  <si>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</si>
  <si>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</si>
  <si>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</si>
  <si>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</si>
  <si>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</si>
  <si>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</si>
  <si>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</si>
  <si>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</si>
  <si>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</si>
  <si>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</si>
  <si>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</si>
  <si>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</si>
  <si>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</si>
  <si>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</si>
  <si>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</si>
  <si>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</si>
  <si>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</si>
  <si>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</si>
  <si>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</si>
  <si>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</si>
  <si>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</si>
  <si>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</si>
  <si>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</si>
  <si>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</si>
  <si>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</si>
  <si>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</si>
  <si>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</si>
  <si>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</si>
  <si>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</si>
  <si>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</si>
  <si>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</si>
  <si>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</si>
  <si>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</si>
  <si>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</si>
  <si>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</si>
  <si>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</si>
  <si>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</si>
  <si>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</si>
  <si>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</si>
  <si>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</si>
  <si>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</si>
  <si>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</si>
  <si>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</si>
  <si>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</si>
  <si>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</si>
  <si>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</si>
  <si>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</si>
  <si>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</si>
  <si>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</si>
  <si>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</si>
  <si>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</si>
  <si>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</si>
  <si>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</si>
  <si>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</si>
  <si>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</si>
  <si>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</si>
  <si>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</si>
  <si>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</si>
  <si>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</si>
  <si>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</si>
  <si>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</si>
  <si>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</si>
  <si>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</si>
  <si>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</si>
  <si>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</si>
  <si>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</si>
  <si>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</si>
  <si>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</si>
  <si>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</si>
  <si>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</si>
  <si>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</si>
  <si>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</si>
  <si>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</si>
  <si>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</si>
  <si>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</si>
  <si>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</si>
  <si>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</si>
  <si>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</si>
  <si>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</si>
  <si>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</si>
  <si>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</si>
  <si>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</si>
  <si>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</si>
  <si>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</si>
  <si>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</si>
  <si>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</si>
  <si>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</si>
  <si>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</si>
  <si>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</si>
  <si>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</si>
  <si>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</si>
  <si>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</si>
  <si>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</si>
  <si>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</si>
  <si>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</si>
  <si>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</si>
  <si>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</si>
  <si>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</si>
  <si>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</si>
  <si>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</si>
  <si>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</si>
  <si>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</si>
  <si>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</si>
  <si>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</si>
  <si>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</si>
  <si>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</si>
  <si>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</si>
  <si>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</si>
  <si>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</si>
  <si>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</si>
  <si>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</si>
  <si>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</si>
  <si>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</si>
  <si>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</si>
  <si>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</si>
  <si>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</si>
  <si>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</si>
  <si>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</si>
  <si>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</si>
  <si>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</si>
  <si>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</si>
  <si>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</si>
  <si>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</si>
  <si>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</si>
  <si>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</si>
  <si>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</si>
  <si>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</si>
  <si>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</si>
  <si>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</si>
  <si>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</si>
  <si>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</si>
  <si>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</si>
  <si>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</si>
  <si>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</si>
  <si>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</si>
  <si>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</si>
  <si>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</si>
  <si>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</si>
  <si>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</si>
  <si>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</si>
  <si>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</si>
  <si>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</si>
  <si>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</si>
  <si>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</si>
  <si>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</si>
  <si>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</si>
  <si>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</si>
  <si>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</si>
  <si>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</si>
  <si>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</si>
  <si>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</si>
  <si>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</si>
  <si>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</si>
  <si>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</si>
  <si>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</si>
  <si>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</si>
  <si>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</si>
  <si>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</si>
  <si>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</si>
  <si>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</si>
  <si>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</si>
  <si>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</si>
  <si>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</si>
  <si>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</si>
  <si>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</si>
  <si>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</si>
  <si>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</si>
  <si>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</si>
  <si>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</si>
  <si>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</si>
  <si>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</si>
  <si>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</si>
  <si>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</si>
  <si>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</si>
  <si>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</si>
  <si>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</si>
  <si>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</si>
  <si>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</si>
  <si>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</si>
  <si>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</si>
  <si>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</si>
  <si>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</si>
  <si>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</si>
  <si>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</si>
  <si>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</si>
  <si>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</si>
  <si>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</si>
  <si>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</si>
  <si>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</si>
  <si>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</si>
  <si>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</si>
  <si>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</si>
  <si>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</si>
  <si>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</si>
  <si>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</si>
  <si>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</si>
  <si>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</si>
  <si>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</si>
  <si>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</si>
  <si>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</si>
  <si>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</si>
  <si>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</si>
  <si>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</si>
  <si>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</si>
  <si>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</si>
  <si>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</si>
  <si>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</si>
  <si>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</si>
  <si>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</si>
  <si>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</si>
  <si>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</si>
  <si>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</si>
  <si>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</si>
  <si>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</si>
  <si>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</si>
  <si>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</si>
  <si>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</si>
  <si>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</si>
  <si>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</si>
  <si>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</si>
  <si>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</si>
  <si>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</si>
  <si>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</si>
  <si>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</si>
  <si>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</si>
  <si>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</si>
  <si>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</si>
  <si>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</si>
  <si>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</si>
  <si>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</si>
  <si>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</si>
  <si>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</si>
  <si>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</si>
  <si>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</si>
  <si>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</si>
  <si>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</si>
  <si>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</si>
  <si>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</si>
  <si>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</si>
  <si>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</si>
  <si>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</si>
  <si>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</si>
  <si>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</si>
  <si>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</si>
  <si>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</si>
  <si>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</si>
  <si>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</si>
  <si>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</si>
  <si>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</si>
  <si>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</si>
  <si>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</si>
  <si>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</si>
  <si>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</si>
  <si>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</si>
  <si>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</si>
  <si>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</si>
  <si>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</si>
  <si>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</si>
  <si>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</si>
  <si>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</si>
  <si>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</si>
  <si>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</si>
  <si>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</si>
  <si>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</si>
  <si>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</si>
  <si>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</si>
  <si>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</si>
  <si>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</si>
  <si>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</si>
  <si>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</si>
  <si>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</si>
  <si>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</si>
  <si>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</si>
  <si>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</si>
  <si>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</si>
  <si>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</si>
  <si>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</si>
  <si>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</si>
  <si>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</si>
  <si>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</si>
  <si>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</si>
  <si>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</si>
  <si>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</si>
  <si>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</si>
  <si>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</si>
  <si>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</si>
  <si>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</si>
  <si>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</si>
  <si>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</si>
  <si>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</si>
  <si>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</si>
  <si>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</si>
  <si>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</si>
  <si>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</si>
  <si>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</si>
  <si>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</si>
  <si>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</si>
  <si>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</si>
  <si>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</si>
  <si>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</si>
  <si>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</si>
  <si>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</si>
  <si>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</si>
  <si>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</si>
  <si>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</si>
  <si>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</si>
  <si>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</si>
  <si>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</si>
  <si>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</si>
  <si>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</si>
  <si>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</si>
  <si>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</si>
  <si>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</si>
  <si>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</si>
  <si>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</si>
  <si>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</si>
  <si>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</si>
  <si>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</si>
  <si>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</si>
  <si>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</si>
  <si>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</si>
  <si>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</si>
  <si>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</si>
  <si>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</si>
  <si>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</si>
  <si>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</si>
  <si>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</si>
  <si>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</si>
  <si>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</si>
  <si>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</si>
  <si>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</si>
  <si>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</si>
  <si>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</si>
  <si>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</si>
  <si>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</si>
  <si>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</si>
  <si>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</si>
  <si>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</si>
  <si>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</si>
  <si>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</si>
  <si>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</si>
  <si>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</si>
  <si>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</si>
  <si>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</si>
  <si>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</si>
  <si>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</si>
  <si>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</si>
  <si>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</si>
  <si>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</si>
  <si>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</si>
  <si>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</si>
  <si>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</si>
  <si>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</si>
  <si>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</si>
  <si>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</si>
  <si>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</si>
  <si>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</si>
  <si>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</si>
  <si>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</si>
  <si>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</si>
  <si>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</si>
  <si>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</si>
  <si>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</si>
  <si>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</si>
  <si>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</si>
  <si>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</si>
  <si>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</si>
  <si>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</si>
  <si>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</si>
  <si>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</si>
  <si>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</si>
  <si>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</si>
  <si>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</si>
  <si>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</si>
  <si>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</si>
  <si>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</si>
  <si>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</si>
  <si>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</si>
  <si>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</si>
  <si>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</si>
  <si>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</si>
  <si>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</si>
  <si>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</si>
  <si>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</si>
  <si>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</si>
  <si>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</si>
  <si>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</si>
  <si>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</si>
  <si>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</si>
  <si>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</si>
  <si>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</si>
  <si>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</si>
  <si>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</si>
  <si>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</si>
  <si>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</si>
  <si>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</si>
  <si>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</si>
  <si>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</si>
  <si>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</si>
  <si>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</si>
  <si>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</si>
  <si>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</si>
  <si>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</si>
  <si>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</si>
  <si>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</si>
  <si>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</si>
  <si>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</si>
  <si>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</si>
  <si>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</si>
  <si>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</si>
  <si>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</si>
  <si>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</si>
  <si>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</si>
  <si>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</si>
  <si>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</si>
  <si>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</si>
  <si>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</si>
  <si>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</si>
  <si>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</si>
  <si>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</si>
  <si>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</si>
  <si>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</si>
  <si>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</si>
  <si>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</si>
  <si>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</si>
  <si>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</si>
  <si>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</si>
  <si>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</si>
  <si>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</si>
  <si>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</si>
  <si>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</si>
  <si>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</si>
  <si>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</si>
  <si>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</si>
  <si>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</si>
  <si>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</si>
  <si>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</si>
  <si>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</si>
  <si>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</si>
  <si>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</si>
  <si>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</si>
  <si>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</si>
  <si>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</si>
  <si>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</si>
  <si>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</si>
  <si>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</si>
  <si>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</si>
  <si>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</si>
  <si>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</si>
  <si>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</si>
  <si>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</si>
  <si>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</si>
  <si>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</si>
  <si>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</si>
  <si>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</si>
  <si>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</si>
  <si>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</si>
  <si>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</si>
  <si>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</si>
  <si>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</si>
  <si>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</si>
  <si>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</si>
  <si>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</si>
  <si>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</si>
  <si>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</si>
  <si>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</si>
  <si>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</si>
  <si>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</si>
  <si>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</si>
  <si>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</si>
  <si>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</si>
  <si>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</si>
  <si>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</si>
  <si>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</si>
  <si>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</si>
  <si>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</si>
  <si>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</si>
  <si>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</si>
  <si>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</si>
  <si>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</si>
  <si>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</si>
  <si>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</si>
  <si>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</si>
  <si>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</si>
  <si>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</si>
  <si>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</si>
  <si>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</si>
  <si>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</si>
  <si>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</si>
  <si>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</si>
  <si>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</si>
  <si>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</si>
  <si>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</si>
  <si>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</si>
  <si>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</si>
  <si>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</si>
  <si>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</si>
  <si>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</si>
  <si>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</si>
  <si>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</si>
  <si>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</si>
  <si>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</si>
  <si>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</si>
  <si>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</si>
  <si>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</si>
  <si>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</si>
  <si>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</si>
  <si>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</si>
  <si>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</si>
  <si>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</si>
  <si>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</si>
  <si>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</si>
  <si>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</si>
  <si>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</si>
  <si>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</si>
  <si>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</si>
  <si>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</si>
  <si>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</si>
  <si>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</si>
  <si>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</si>
  <si>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</si>
  <si>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</si>
  <si>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</si>
  <si>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</si>
  <si>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</si>
  <si>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</si>
  <si>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</si>
  <si>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</si>
  <si>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</si>
  <si>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</si>
  <si>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</si>
  <si>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</si>
  <si>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</si>
  <si>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</si>
  <si>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</si>
  <si>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</si>
  <si>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</si>
  <si>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</si>
  <si>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</si>
  <si>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</si>
  <si>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</si>
  <si>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</si>
  <si>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</si>
  <si>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</si>
  <si>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</si>
  <si>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</si>
  <si>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</si>
  <si>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</si>
  <si>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</si>
  <si>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</si>
  <si>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</si>
  <si>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</si>
  <si>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</si>
  <si>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</si>
  <si>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</si>
  <si>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</si>
  <si>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</si>
  <si>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</si>
  <si>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</si>
  <si>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</si>
  <si>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</si>
  <si>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</si>
  <si>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</si>
  <si>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</si>
  <si>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</si>
  <si>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</si>
  <si>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</si>
  <si>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</si>
  <si>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</si>
  <si>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</si>
  <si>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</si>
  <si>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</si>
  <si>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</si>
  <si>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</si>
  <si>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</si>
  <si>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</si>
  <si>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</si>
  <si>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</si>
  <si>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</si>
  <si>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</si>
  <si>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</si>
  <si>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</si>
  <si>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</si>
  <si>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</si>
  <si>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</si>
  <si>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</si>
  <si>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</si>
  <si>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</si>
  <si>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</si>
  <si>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</si>
  <si>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</si>
  <si>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</si>
  <si>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</si>
  <si>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</si>
  <si>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</si>
  <si>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</si>
  <si>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</si>
  <si>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</si>
  <si>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</si>
  <si>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</si>
  <si>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</si>
  <si>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</si>
  <si>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</si>
  <si>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</si>
  <si>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</si>
  <si>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</si>
  <si>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</si>
  <si>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</si>
  <si>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</si>
  <si>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</si>
  <si>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</si>
  <si>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</si>
  <si>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</si>
  <si>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</si>
  <si>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</si>
  <si>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</si>
  <si>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</si>
  <si>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</si>
  <si>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</si>
  <si>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</si>
  <si>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</si>
  <si>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</si>
  <si>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</si>
  <si>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</si>
  <si>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</si>
  <si>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</si>
  <si>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</si>
  <si>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</si>
  <si>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</si>
  <si>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</si>
  <si>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</si>
  <si>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</si>
  <si>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</si>
  <si>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</si>
  <si>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</si>
  <si>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</si>
  <si>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</si>
  <si>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</si>
  <si>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</si>
  <si>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</si>
  <si>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</si>
  <si>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</si>
  <si>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</si>
  <si>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</si>
  <si>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</si>
  <si>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</si>
  <si>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</si>
  <si>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</si>
  <si>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</si>
  <si>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</si>
  <si>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</si>
  <si>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</si>
  <si>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</si>
  <si>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</si>
  <si>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</si>
  <si>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</si>
  <si>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</si>
  <si>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</si>
  <si>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</si>
  <si>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</si>
  <si>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</si>
  <si>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</si>
  <si>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</si>
  <si>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</si>
  <si>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</si>
  <si>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</si>
  <si>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</si>
  <si>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</si>
  <si>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</si>
  <si>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</si>
  <si>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</si>
  <si>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</si>
  <si>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</si>
  <si>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</si>
  <si>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</si>
  <si>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</si>
  <si>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</si>
  <si>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</si>
  <si>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</si>
  <si>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</si>
  <si>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</si>
  <si>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</si>
  <si>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</si>
  <si>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</si>
  <si>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</si>
  <si>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</si>
  <si>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</si>
  <si>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</si>
  <si>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</si>
  <si>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</si>
  <si>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</si>
  <si>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</si>
  <si>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</si>
  <si>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</si>
  <si>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</si>
  <si>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</si>
  <si>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</si>
  <si>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</si>
  <si>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</si>
  <si>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</si>
  <si>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</si>
  <si>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</si>
  <si>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</si>
  <si>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</si>
  <si>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</si>
  <si>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</si>
  <si>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</si>
  <si>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</si>
  <si>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</si>
  <si>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</si>
  <si>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</si>
  <si>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</si>
  <si>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</si>
  <si>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</si>
  <si>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</si>
  <si>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</si>
  <si>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</si>
  <si>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</si>
  <si>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</si>
  <si>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</si>
  <si>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</si>
  <si>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</si>
  <si>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</si>
  <si>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</si>
  <si>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</si>
  <si>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</si>
  <si>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</si>
  <si>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</si>
  <si>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</si>
  <si>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</si>
  <si>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</si>
  <si>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</si>
  <si>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</si>
  <si>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</si>
  <si>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</si>
  <si>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</si>
  <si>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</si>
  <si>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</si>
  <si>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</si>
  <si>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</si>
  <si>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</si>
  <si>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</si>
  <si>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</si>
  <si>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</si>
  <si>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</si>
  <si>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</si>
  <si>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</si>
  <si>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</si>
  <si>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</si>
  <si>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</si>
  <si>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</si>
  <si>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</si>
  <si>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</si>
  <si>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</si>
  <si>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</si>
  <si>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</si>
  <si>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</si>
  <si>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</si>
  <si>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</si>
  <si>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</si>
  <si>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</si>
  <si>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</si>
  <si>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</si>
  <si>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</si>
  <si>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</si>
  <si>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</si>
  <si>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</si>
  <si>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</si>
  <si>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</si>
  <si>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</si>
  <si>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</si>
  <si>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</si>
  <si>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</si>
  <si>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</si>
  <si>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</si>
  <si>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</si>
  <si>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</si>
  <si>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</si>
  <si>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</si>
  <si>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</si>
  <si>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</si>
  <si>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</si>
  <si>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</si>
  <si>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</si>
  <si>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</si>
  <si>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</si>
  <si>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</si>
  <si>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</si>
  <si>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</si>
  <si>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</si>
  <si>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</si>
  <si>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</si>
  <si>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</si>
  <si>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</si>
  <si>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</si>
  <si>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</si>
  <si>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</si>
  <si>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</si>
  <si>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</si>
  <si>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</si>
  <si>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</si>
  <si>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</si>
  <si>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</si>
  <si>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</si>
  <si>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</si>
  <si>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</si>
  <si>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</si>
  <si>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</si>
  <si>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</si>
  <si>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</si>
  <si>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</si>
  <si>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</si>
  <si>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</si>
  <si>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</si>
  <si>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</si>
  <si>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</si>
  <si>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</si>
  <si>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</si>
  <si>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</si>
  <si>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</si>
  <si>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</si>
  <si>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</si>
  <si>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</si>
  <si>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</si>
  <si>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</si>
  <si>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</si>
  <si>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</si>
  <si>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</si>
  <si>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</si>
  <si>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</si>
  <si>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</si>
  <si>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</si>
  <si>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</si>
  <si>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</si>
  <si>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</si>
  <si>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</si>
  <si>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</si>
  <si>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</si>
  <si>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</si>
  <si>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</si>
  <si>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</si>
  <si>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</si>
  <si>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</si>
  <si>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</si>
  <si>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</si>
  <si>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</si>
  <si>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</si>
  <si>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</si>
  <si>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</si>
  <si>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</si>
  <si>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</si>
  <si>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</si>
  <si>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</si>
  <si>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</si>
  <si>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</si>
  <si>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</si>
  <si>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</si>
  <si>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</si>
  <si>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</si>
  <si>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</si>
  <si>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</si>
  <si>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</si>
  <si>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</si>
  <si>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</si>
  <si>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</si>
  <si>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</si>
  <si>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</si>
  <si>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</si>
  <si>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</si>
  <si>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</si>
  <si>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</si>
  <si>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</si>
  <si>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</si>
  <si>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</si>
  <si>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</si>
  <si>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</si>
  <si>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</si>
  <si>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</si>
  <si>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</si>
  <si>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</si>
  <si>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</si>
  <si>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</si>
  <si>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</si>
  <si>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</si>
  <si>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</si>
  <si>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</si>
  <si>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</si>
  <si>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</si>
  <si>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</si>
  <si>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</si>
  <si>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</si>
  <si>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</si>
  <si>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</si>
  <si>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</si>
  <si>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</si>
  <si>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</si>
  <si>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</si>
  <si>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</si>
  <si>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</si>
  <si>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</si>
  <si>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</si>
  <si>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</si>
  <si>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</si>
  <si>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</si>
  <si>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</si>
  <si>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</si>
  <si>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</si>
  <si>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</si>
  <si>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</si>
  <si>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</si>
  <si>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</si>
  <si>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</si>
  <si>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</si>
  <si>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</si>
  <si>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</si>
  <si>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</si>
  <si>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</si>
  <si>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</si>
  <si>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</si>
  <si>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</si>
  <si>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</si>
  <si>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</si>
  <si>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</si>
  <si>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</si>
  <si>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</si>
  <si>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</si>
  <si>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</si>
  <si>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</si>
  <si>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</si>
  <si>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</si>
  <si>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</si>
  <si>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</si>
  <si>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</si>
  <si>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</si>
  <si>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</si>
  <si>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</si>
  <si>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</si>
  <si>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</si>
  <si>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</si>
  <si>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</si>
  <si>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</si>
  <si>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</si>
  <si>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</si>
  <si>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</si>
  <si>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</si>
  <si>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</si>
  <si>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</si>
  <si>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</si>
  <si>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</si>
  <si>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</si>
  <si>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</si>
  <si>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</si>
  <si>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</si>
  <si>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</si>
  <si>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</si>
  <si>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</si>
  <si>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</si>
  <si>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</si>
  <si>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</si>
  <si>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</si>
  <si>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</si>
  <si>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</si>
  <si>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</si>
  <si>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</si>
  <si>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</si>
  <si>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</si>
  <si>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</si>
  <si>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</si>
  <si>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</si>
  <si>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</si>
  <si>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</si>
  <si>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</si>
  <si>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</si>
  <si>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</si>
  <si>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</si>
  <si>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</si>
  <si>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</si>
  <si>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</si>
  <si>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</si>
  <si>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</si>
  <si>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</si>
  <si>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</si>
  <si>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</si>
  <si>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</si>
  <si>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</si>
  <si>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</si>
  <si>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</si>
  <si>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</si>
  <si>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</si>
  <si>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</si>
  <si>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</si>
  <si>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</si>
  <si>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</si>
  <si>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</si>
  <si>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</si>
  <si>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</si>
  <si>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</si>
  <si>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</si>
  <si>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</si>
  <si>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</si>
  <si>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</si>
  <si>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</si>
  <si>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</si>
  <si>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</si>
  <si>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</si>
  <si>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</si>
  <si>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</si>
  <si>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</si>
  <si>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</si>
  <si>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</si>
  <si>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</si>
  <si>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</si>
  <si>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</si>
  <si>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</si>
  <si>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</si>
  <si>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</si>
  <si>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</si>
  <si>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</si>
  <si>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</si>
  <si>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</si>
  <si>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</si>
  <si>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</si>
  <si>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</si>
  <si>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</si>
  <si>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</si>
  <si>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</si>
  <si>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</si>
  <si>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</si>
  <si>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</si>
  <si>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</si>
  <si>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</si>
  <si>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</si>
  <si>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</si>
  <si>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</si>
  <si>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</si>
  <si>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</si>
  <si>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</si>
  <si>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</si>
  <si>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</si>
  <si>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</si>
  <si>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</si>
  <si>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</si>
  <si>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</si>
  <si>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</si>
  <si>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</si>
  <si>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</si>
  <si>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</si>
  <si>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</si>
  <si>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</si>
  <si>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</si>
  <si>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</si>
  <si>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</si>
  <si>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</si>
  <si>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</si>
  <si>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</si>
  <si>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</si>
  <si>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</si>
  <si>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</si>
  <si>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</si>
  <si>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</si>
  <si>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</si>
  <si>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</si>
  <si>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</si>
  <si>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</si>
  <si>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</si>
  <si>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</si>
  <si>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</si>
  <si>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</si>
  <si>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</si>
  <si>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</si>
  <si>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</si>
  <si>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</si>
  <si>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</si>
  <si>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</si>
  <si>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</si>
  <si>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</si>
  <si>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</si>
  <si>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</si>
  <si>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</si>
  <si>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</si>
  <si>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</si>
  <si>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</si>
  <si>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</si>
  <si>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</si>
  <si>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</si>
  <si>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</si>
  <si>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</si>
  <si>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</si>
  <si>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</si>
  <si>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</si>
  <si>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</si>
  <si>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</si>
  <si>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</si>
  <si>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</si>
  <si>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</si>
  <si>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</si>
  <si>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</si>
  <si>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</si>
  <si>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</si>
  <si>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</si>
  <si>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</si>
  <si>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</si>
  <si>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</si>
  <si>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</si>
  <si>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</si>
  <si>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</si>
  <si>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</si>
  <si>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</si>
  <si>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</si>
  <si>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</si>
  <si>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</si>
  <si>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</si>
  <si>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</si>
  <si>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</si>
  <si>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</si>
  <si>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</si>
  <si>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</si>
  <si>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</si>
  <si>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</si>
  <si>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</si>
  <si>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</si>
  <si>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</si>
  <si>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</si>
  <si>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</si>
  <si>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</si>
  <si>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</si>
  <si>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</si>
  <si>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</si>
  <si>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</si>
  <si>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</si>
  <si>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</si>
  <si>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</si>
  <si>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</si>
  <si>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</si>
  <si>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</si>
  <si>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</si>
  <si>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</si>
  <si>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</si>
  <si>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</si>
  <si>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</si>
  <si>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</si>
  <si>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</si>
  <si>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</si>
  <si>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</si>
  <si>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</si>
  <si>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</si>
  <si>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</si>
  <si>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</si>
  <si>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</si>
  <si>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</si>
  <si>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</si>
  <si>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</si>
  <si>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</si>
  <si>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</si>
  <si>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</si>
  <si>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</si>
  <si>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</si>
  <si>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</si>
  <si>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</si>
  <si>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</si>
  <si>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</si>
  <si>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</si>
  <si>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</si>
  <si>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</si>
  <si>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</si>
  <si>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</si>
  <si>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</si>
  <si>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</si>
  <si>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</si>
  <si>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</si>
  <si>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</si>
  <si>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</si>
  <si>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</si>
  <si>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</si>
  <si>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</si>
  <si>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</si>
  <si>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</si>
  <si>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</si>
  <si>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</si>
  <si>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</si>
  <si>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</si>
  <si>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</si>
  <si>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</si>
  <si>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</si>
  <si>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</si>
  <si>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</si>
  <si>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</si>
  <si>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</si>
  <si>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</si>
  <si>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</si>
  <si>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</si>
  <si>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</si>
  <si>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</si>
  <si>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</si>
  <si>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</si>
  <si>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</si>
  <si>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</si>
  <si>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</si>
  <si>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</si>
  <si>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</si>
  <si>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</si>
  <si>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</si>
  <si>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</si>
  <si>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</si>
  <si>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</si>
  <si>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</si>
  <si>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</si>
  <si>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</si>
  <si>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</si>
  <si>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</si>
  <si>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</si>
  <si>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</si>
  <si>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</si>
  <si>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</si>
  <si>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</si>
  <si>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</si>
  <si>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</si>
  <si>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</si>
  <si>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</si>
  <si>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</si>
  <si>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</si>
  <si>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</si>
  <si>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</si>
  <si>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</si>
  <si>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</si>
  <si>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</si>
  <si>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</si>
  <si>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</si>
  <si>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</si>
  <si>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</si>
  <si>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</si>
  <si>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</si>
  <si>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</si>
  <si>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</si>
  <si>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</si>
  <si>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</si>
  <si>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</si>
  <si>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</si>
  <si>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</si>
  <si>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</si>
  <si>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</si>
  <si>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</si>
  <si>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</si>
  <si>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</si>
  <si>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</si>
  <si>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</si>
  <si>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</si>
  <si>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</si>
  <si>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</si>
  <si>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</si>
  <si>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</si>
  <si>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</si>
  <si>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</si>
  <si>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</si>
  <si>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</si>
  <si>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</si>
  <si>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</si>
  <si>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</si>
  <si>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</si>
  <si>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</si>
  <si>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</si>
  <si>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</si>
  <si>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</si>
  <si>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</si>
  <si>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</si>
  <si>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</si>
  <si>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</si>
  <si>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</si>
  <si>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</si>
  <si>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</si>
  <si>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</si>
  <si>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</si>
  <si>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</si>
  <si>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</si>
  <si>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</si>
  <si>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</si>
  <si>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</si>
  <si>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</si>
  <si>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</si>
  <si>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</si>
  <si>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</si>
  <si>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</si>
  <si>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</si>
  <si>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</si>
  <si>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</si>
  <si>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</si>
  <si>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</si>
  <si>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</si>
  <si>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</si>
  <si>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</si>
  <si>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</si>
  <si>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</si>
  <si>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</si>
  <si>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</si>
  <si>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</si>
  <si>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</si>
  <si>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</si>
  <si>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</si>
  <si>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</si>
  <si>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</si>
  <si>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</si>
  <si>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</si>
  <si>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</si>
  <si>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</si>
  <si>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</si>
  <si>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</si>
  <si>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</si>
  <si>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</si>
  <si>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</si>
  <si>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</si>
  <si>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</si>
  <si>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</si>
  <si>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</si>
  <si>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</si>
  <si>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</si>
  <si>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</si>
  <si>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</si>
  <si>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</si>
  <si>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</si>
  <si>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</si>
  <si>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</si>
  <si>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</si>
  <si>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</si>
  <si>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</si>
  <si>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</si>
  <si>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</si>
  <si>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</si>
  <si>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</si>
  <si>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</si>
  <si>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</si>
  <si>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</si>
  <si>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</si>
  <si>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</si>
  <si>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</si>
  <si>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</si>
  <si>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</si>
  <si>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</si>
  <si>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</si>
  <si>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</si>
  <si>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</si>
  <si>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</si>
  <si>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</si>
  <si>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</si>
  <si>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</si>
  <si>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</si>
  <si>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</si>
  <si>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</si>
  <si>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</si>
  <si>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</si>
  <si>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</si>
  <si>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</si>
  <si>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</si>
  <si>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</si>
  <si>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</si>
  <si>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</si>
  <si>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</si>
  <si>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</si>
  <si>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</si>
  <si>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</si>
  <si>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</si>
  <si>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</si>
  <si>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</si>
  <si>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</si>
  <si>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</si>
  <si>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</si>
  <si>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</si>
  <si>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</si>
  <si>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</si>
  <si>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</si>
  <si>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</si>
  <si>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</si>
  <si>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</si>
  <si>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</si>
  <si>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</si>
  <si>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</si>
  <si>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</si>
  <si>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</si>
  <si>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</si>
  <si>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</si>
  <si>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</si>
  <si>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</si>
  <si>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</si>
  <si>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</si>
  <si>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</si>
  <si>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</si>
  <si>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</si>
  <si>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</si>
  <si>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</si>
  <si>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</si>
  <si>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</si>
  <si>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</si>
  <si>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</si>
  <si>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</si>
  <si>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</si>
  <si>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</si>
  <si>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</si>
  <si>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</si>
  <si>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</si>
  <si>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</si>
  <si>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</si>
  <si>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</si>
  <si>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</si>
  <si>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</si>
  <si>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</si>
  <si>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</si>
  <si>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</si>
  <si>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</si>
  <si>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</si>
  <si>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</si>
  <si>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</si>
  <si>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</si>
  <si>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</si>
  <si>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</si>
  <si>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</si>
  <si>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</si>
  <si>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</si>
  <si>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</si>
  <si>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</si>
  <si>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</si>
  <si>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</si>
  <si>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</si>
  <si>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</si>
  <si>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</si>
  <si>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</si>
  <si>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</si>
  <si>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</si>
  <si>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</si>
  <si>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</si>
  <si>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</si>
  <si>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</si>
  <si>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</si>
  <si>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</si>
  <si>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</si>
  <si>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</si>
  <si>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</si>
  <si>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</si>
  <si>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</si>
  <si>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</si>
  <si>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</si>
  <si>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</si>
  <si>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</si>
  <si>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</si>
  <si>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</si>
  <si>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</si>
  <si>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</si>
  <si>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</si>
  <si>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</si>
  <si>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</si>
  <si>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</si>
  <si>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</si>
  <si>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</si>
  <si>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</si>
  <si>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</si>
  <si>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</si>
  <si>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</si>
  <si>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</si>
  <si>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</si>
  <si>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</si>
  <si>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</si>
  <si>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</si>
  <si>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</si>
  <si>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</si>
  <si>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</si>
  <si>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</si>
  <si>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</si>
  <si>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</si>
  <si>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</si>
  <si>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</si>
  <si>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</si>
  <si>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</si>
  <si>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</si>
  <si>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</si>
  <si>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</si>
  <si>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</si>
  <si>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</si>
  <si>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</si>
  <si>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</si>
  <si>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</si>
  <si>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</si>
  <si>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</si>
  <si>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</si>
  <si>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</si>
  <si>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</si>
  <si>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</si>
  <si>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</si>
  <si>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</si>
  <si>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</si>
  <si>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</si>
  <si>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</si>
  <si>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</si>
  <si>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</si>
  <si>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</si>
  <si>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</si>
  <si>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</si>
  <si>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</si>
  <si>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</si>
  <si>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</si>
  <si>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</si>
  <si>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</si>
  <si>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</si>
  <si>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</si>
  <si>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</si>
  <si>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</si>
  <si>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</si>
  <si>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</si>
  <si>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</si>
  <si>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</si>
  <si>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</si>
  <si>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</si>
  <si>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</si>
  <si>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</si>
  <si>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</si>
  <si>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</si>
  <si>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</si>
  <si>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</si>
  <si>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</si>
  <si>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</si>
  <si>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</si>
  <si>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</si>
  <si>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</si>
  <si>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</si>
  <si>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</si>
  <si>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</si>
  <si>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</si>
  <si>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</si>
  <si>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</si>
  <si>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</si>
  <si>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</si>
  <si>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</si>
  <si>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</si>
  <si>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</si>
  <si>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</si>
  <si>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</si>
  <si>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</si>
  <si>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</si>
  <si>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</si>
  <si>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</si>
  <si>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</si>
  <si>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</si>
  <si>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</si>
  <si>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</si>
  <si>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</si>
  <si>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</si>
  <si>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</si>
  <si>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</si>
  <si>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</si>
  <si>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</si>
  <si>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</si>
  <si>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</si>
  <si>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</si>
  <si>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</si>
  <si>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</si>
  <si>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</si>
  <si>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</si>
  <si>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</si>
  <si>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</si>
  <si>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</si>
  <si>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</si>
  <si>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</si>
  <si>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</si>
  <si>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</si>
  <si>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</si>
  <si>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</si>
  <si>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</si>
  <si>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</si>
  <si>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</si>
  <si>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</si>
  <si>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</si>
  <si>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</si>
  <si>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</si>
  <si>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</si>
  <si>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</si>
  <si>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</si>
  <si>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</si>
  <si>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</si>
  <si>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</si>
  <si>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</si>
  <si>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</si>
  <si>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</si>
  <si>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</si>
  <si>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</si>
  <si>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</si>
  <si>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</si>
  <si>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</si>
  <si>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</si>
  <si>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</si>
  <si>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</si>
  <si>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</si>
  <si>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</si>
  <si>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</si>
  <si>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</si>
  <si>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</si>
  <si>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</si>
  <si>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</si>
  <si>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</si>
  <si>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</si>
  <si>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</si>
  <si>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</si>
  <si>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</si>
  <si>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</si>
  <si>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</si>
  <si>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</si>
  <si>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</si>
  <si>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</si>
  <si>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</si>
  <si>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</si>
  <si>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</si>
  <si>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</si>
  <si>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</si>
  <si>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</si>
  <si>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</si>
  <si>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</si>
  <si>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</si>
  <si>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</si>
  <si>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</si>
  <si>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</si>
  <si>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</si>
  <si>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</si>
  <si>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</si>
  <si>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</si>
  <si>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</si>
  <si>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</si>
  <si>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</si>
  <si>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</si>
  <si>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</si>
  <si>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</si>
  <si>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</si>
  <si>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</si>
  <si>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</si>
  <si>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</si>
  <si>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</si>
  <si>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</si>
  <si>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</si>
  <si>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</si>
  <si>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</si>
  <si>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</si>
  <si>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</si>
  <si>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</si>
  <si>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</si>
  <si>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</si>
  <si>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</si>
  <si>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</si>
  <si>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</si>
  <si>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</si>
  <si>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</si>
  <si>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</si>
  <si>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</si>
  <si>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</si>
  <si>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</si>
  <si>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</si>
  <si>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</si>
  <si>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</si>
  <si>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</si>
  <si>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</si>
  <si>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</si>
  <si>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</si>
  <si>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</si>
  <si>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</si>
  <si>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</si>
  <si>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</si>
  <si>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</si>
  <si>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</si>
  <si>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</si>
  <si>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</si>
  <si>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</si>
  <si>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</si>
  <si>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</si>
  <si>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</si>
  <si>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</si>
  <si>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</si>
  <si>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</si>
  <si>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</si>
  <si>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</si>
  <si>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</si>
  <si>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</si>
  <si>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</si>
  <si>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</si>
  <si>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</si>
  <si>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</si>
  <si>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</si>
  <si>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</si>
  <si>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</si>
  <si>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</si>
  <si>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</si>
  <si>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</si>
  <si>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</si>
  <si>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</si>
  <si>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</si>
  <si>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</si>
  <si>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</si>
  <si>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</si>
  <si>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</si>
  <si>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</si>
  <si>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</si>
  <si>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</si>
  <si>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</si>
  <si>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</si>
  <si>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</si>
  <si>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</si>
  <si>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</si>
  <si>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</si>
  <si>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</si>
  <si>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</si>
  <si>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</si>
  <si>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</si>
  <si>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</si>
  <si>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</si>
  <si>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</si>
  <si>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</si>
  <si>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</si>
  <si>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</si>
  <si>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</si>
  <si>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</si>
  <si>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</si>
  <si>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</si>
  <si>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</si>
  <si>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</si>
  <si>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</si>
  <si>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</si>
  <si>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</si>
  <si>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</si>
  <si>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</si>
  <si>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</si>
  <si>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</si>
  <si>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</si>
  <si>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</si>
  <si>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</si>
  <si>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</si>
  <si>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</si>
  <si>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</si>
  <si>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</si>
  <si>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</si>
  <si>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</si>
  <si>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</si>
  <si>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</si>
  <si>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</si>
  <si>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</si>
  <si>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</si>
  <si>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</si>
  <si>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</si>
  <si>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</si>
  <si>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</si>
  <si>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</si>
  <si>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</si>
  <si>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</si>
  <si>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</si>
  <si>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</si>
  <si>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</si>
  <si>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</si>
  <si>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</si>
  <si>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</si>
  <si>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</si>
  <si>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</si>
  <si>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</si>
  <si>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</si>
  <si>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</si>
  <si>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</si>
  <si>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</si>
  <si>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</si>
  <si>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</si>
  <si>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</si>
  <si>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</si>
  <si>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</si>
  <si>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</si>
  <si>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</si>
  <si>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</si>
  <si>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</si>
  <si>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</si>
  <si>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</si>
  <si>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</si>
  <si>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</si>
  <si>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</si>
  <si>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</si>
  <si>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</si>
  <si>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</si>
  <si>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</si>
  <si>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</si>
  <si>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</si>
  <si>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</si>
  <si>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</si>
  <si>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</si>
  <si>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</si>
  <si>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</si>
  <si>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</si>
  <si>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</si>
  <si>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</si>
  <si>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</si>
  <si>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</si>
  <si>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</si>
  <si>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</si>
  <si>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</si>
  <si>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</si>
  <si>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</si>
  <si>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</si>
  <si>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</si>
  <si>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</si>
  <si>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</si>
  <si>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</si>
  <si>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</si>
  <si>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</si>
  <si>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</si>
  <si>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</si>
  <si>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</si>
  <si>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</si>
  <si>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</si>
  <si>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</si>
  <si>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</si>
  <si>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</si>
  <si>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</si>
  <si>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</si>
  <si>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</si>
  <si>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</si>
  <si>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</si>
  <si>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</si>
  <si>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</si>
  <si>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</si>
  <si>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</si>
  <si>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</si>
  <si>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</si>
  <si>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</si>
  <si>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</si>
  <si>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</si>
  <si>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</si>
  <si>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</si>
  <si>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</si>
  <si>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</si>
  <si>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</si>
  <si>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</si>
  <si>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</si>
  <si>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</si>
  <si>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</si>
  <si>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</si>
  <si>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</si>
  <si>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</si>
  <si>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</si>
  <si>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</si>
  <si>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</si>
  <si>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</si>
  <si>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</si>
  <si>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</si>
  <si>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</si>
  <si>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</si>
  <si>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</si>
  <si>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</si>
  <si>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</si>
  <si>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</si>
  <si>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</si>
  <si>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</si>
  <si>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</si>
  <si>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</si>
  <si>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</si>
  <si>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</si>
  <si>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</si>
  <si>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</si>
  <si>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</si>
  <si>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</si>
  <si>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</si>
  <si>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</si>
  <si>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</si>
  <si>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</si>
  <si>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</si>
  <si>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</si>
  <si>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</si>
  <si>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</si>
  <si>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</si>
  <si>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</si>
  <si>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</si>
  <si>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</si>
  <si>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</si>
  <si>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</si>
  <si>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</si>
  <si>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</si>
  <si>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</si>
  <si>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</si>
  <si>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</si>
  <si>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</si>
  <si>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</si>
  <si>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</si>
  <si>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</si>
  <si>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</si>
  <si>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</si>
  <si>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</si>
  <si>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</si>
  <si>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</si>
  <si>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</si>
  <si>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</si>
  <si>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</si>
  <si>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</si>
  <si>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</si>
  <si>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</si>
  <si>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</si>
  <si>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</si>
  <si>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</si>
  <si>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</si>
  <si>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</si>
  <si>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</si>
  <si>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</si>
  <si>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</si>
  <si>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</si>
  <si>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</si>
  <si>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</si>
  <si>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</si>
  <si>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</si>
  <si>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</si>
  <si>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</si>
  <si>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</si>
  <si>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</si>
  <si>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</si>
  <si>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</si>
  <si>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</si>
  <si>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</si>
  <si>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</si>
  <si>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</si>
  <si>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</si>
  <si>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</si>
  <si>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</si>
  <si>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</si>
  <si>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</si>
  <si>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</si>
  <si>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</si>
  <si>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</si>
  <si>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</si>
  <si>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</si>
  <si>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</si>
  <si>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</si>
  <si>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</si>
  <si>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</si>
  <si>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</si>
  <si>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</si>
  <si>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</si>
  <si>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</si>
  <si>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</si>
  <si>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</si>
  <si>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</si>
  <si>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</si>
  <si>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</si>
  <si>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</si>
  <si>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</si>
  <si>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</si>
  <si>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</si>
  <si>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</si>
  <si>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</si>
  <si>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</si>
  <si>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</si>
  <si>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</si>
  <si>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</si>
  <si>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</si>
  <si>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</si>
  <si>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</si>
  <si>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</si>
  <si>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</si>
  <si>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</si>
  <si>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</si>
  <si>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</si>
  <si>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</si>
  <si>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</si>
  <si>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</si>
  <si>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</si>
  <si>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</si>
  <si>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</si>
  <si>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</si>
  <si>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</si>
  <si>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</si>
  <si>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</si>
  <si>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</si>
  <si>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</si>
  <si>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</si>
  <si>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</si>
  <si>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</si>
  <si>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</si>
  <si>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</si>
  <si>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</si>
  <si>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</si>
  <si>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</si>
  <si>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</si>
  <si>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</si>
  <si>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</si>
  <si>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</si>
  <si>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</si>
  <si>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</si>
  <si>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</si>
  <si>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</si>
  <si>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</si>
  <si>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</si>
  <si>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</si>
  <si>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</si>
  <si>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</si>
  <si>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</si>
  <si>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</si>
  <si>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</si>
  <si>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</si>
  <si>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</si>
  <si>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</si>
  <si>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</si>
  <si>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</si>
  <si>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</si>
  <si>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</si>
  <si>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</si>
  <si>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</si>
  <si>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</si>
  <si>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</si>
  <si>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</si>
  <si>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</si>
  <si>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</si>
  <si>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</si>
  <si>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</si>
  <si>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</si>
  <si>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</si>
  <si>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</si>
  <si>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</si>
  <si>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</si>
  <si>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</si>
  <si>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</si>
  <si>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</si>
  <si>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</si>
  <si>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</si>
  <si>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</si>
  <si>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</si>
  <si>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</si>
  <si>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</si>
  <si>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</si>
  <si>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</si>
  <si>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</si>
  <si>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</si>
  <si>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</si>
  <si>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</si>
  <si>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</si>
  <si>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</si>
  <si>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</si>
  <si>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</si>
  <si>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</si>
  <si>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</si>
  <si>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</si>
  <si>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</si>
  <si>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</si>
  <si>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</si>
  <si>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</si>
  <si>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</si>
  <si>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</si>
  <si>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</si>
  <si>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</si>
  <si>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</si>
  <si>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</si>
  <si>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</si>
  <si>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</si>
  <si>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</si>
  <si>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</si>
  <si>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</si>
  <si>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</si>
  <si>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</si>
  <si>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</si>
  <si>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</si>
  <si>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</si>
  <si>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</si>
  <si>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</si>
  <si>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</si>
  <si>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</si>
  <si>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</si>
  <si>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</si>
  <si>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</si>
  <si>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</si>
  <si>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</si>
  <si>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</si>
  <si>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</si>
  <si>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</si>
  <si>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</si>
  <si>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</si>
  <si>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</si>
  <si>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</si>
  <si>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</si>
  <si>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</si>
  <si>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</si>
  <si>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</si>
  <si>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</si>
  <si>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</si>
  <si>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</si>
  <si>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</si>
  <si>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</si>
  <si>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</si>
  <si>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</si>
  <si>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</si>
  <si>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</si>
  <si>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</si>
  <si>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</si>
  <si>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</si>
  <si>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</si>
  <si>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</si>
  <si>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</si>
  <si>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</si>
  <si>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</si>
  <si>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</si>
  <si>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</si>
  <si>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</si>
  <si>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</si>
  <si>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</si>
  <si>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</si>
  <si>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</si>
  <si>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</si>
  <si>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</si>
  <si>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</si>
  <si>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</si>
  <si>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</si>
  <si>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</si>
  <si>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</si>
  <si>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</si>
  <si>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</si>
  <si>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</si>
  <si>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</si>
  <si>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</si>
  <si>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</si>
  <si>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</si>
  <si>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</si>
  <si>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</si>
  <si>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</si>
  <si>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</si>
  <si>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</si>
  <si>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</si>
  <si>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</si>
  <si>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</si>
  <si>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</si>
  <si>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</si>
  <si>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</si>
  <si>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</si>
  <si>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</si>
  <si>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</si>
  <si>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</si>
  <si>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</si>
  <si>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</si>
  <si>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</si>
  <si>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</si>
  <si>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</si>
  <si>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</si>
  <si>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</si>
  <si>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</si>
  <si>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</si>
  <si>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</si>
  <si>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</si>
  <si>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</si>
  <si>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</si>
  <si>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</si>
  <si>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</si>
  <si>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</si>
  <si>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</si>
  <si>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</si>
  <si>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</si>
  <si>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</si>
  <si>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</si>
  <si>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</si>
  <si>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</si>
  <si>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</si>
  <si>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</si>
  <si>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</si>
  <si>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</si>
  <si>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</si>
  <si>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</si>
  <si>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</si>
  <si>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</si>
  <si>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</si>
  <si>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</si>
  <si>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</si>
  <si>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</si>
  <si>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</si>
  <si>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</si>
  <si>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</si>
  <si>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</si>
  <si>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</si>
  <si>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</si>
  <si>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</si>
  <si>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</si>
  <si>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</si>
  <si>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</si>
  <si>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</si>
  <si>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</si>
  <si>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</si>
  <si>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</si>
  <si>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</si>
  <si>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</si>
  <si>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</si>
  <si>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</si>
  <si>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</si>
  <si>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</si>
  <si>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</si>
  <si>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</si>
  <si>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</si>
  <si>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</si>
  <si>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</si>
  <si>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</si>
  <si>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</si>
  <si>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</si>
  <si>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</si>
  <si>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</si>
  <si>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</si>
  <si>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</si>
  <si>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</si>
  <si>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</si>
  <si>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</si>
  <si>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</si>
  <si>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</si>
  <si>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</si>
  <si>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</si>
  <si>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</si>
  <si>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</si>
  <si>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</si>
  <si>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</si>
  <si>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</si>
  <si>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</si>
  <si>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</si>
  <si>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</si>
  <si>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</si>
  <si>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</si>
  <si>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</si>
  <si>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</si>
  <si>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</si>
  <si>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</si>
  <si>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</si>
  <si>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</si>
  <si>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</si>
  <si>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</si>
  <si>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</si>
  <si>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</si>
  <si>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</si>
  <si>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</si>
  <si>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</si>
  <si>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</si>
  <si>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</si>
  <si>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</si>
  <si>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</si>
  <si>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</si>
  <si>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</si>
  <si>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</si>
  <si>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</si>
  <si>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</si>
  <si>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</si>
  <si>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</si>
  <si>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</si>
  <si>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</si>
  <si>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</si>
  <si>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</si>
  <si>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</si>
  <si>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</si>
  <si>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</si>
  <si>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</si>
  <si>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</si>
  <si>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</si>
  <si>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</si>
  <si>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</si>
  <si>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</si>
  <si>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</si>
  <si>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</si>
  <si>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</si>
  <si>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</si>
  <si>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</si>
  <si>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</si>
  <si>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</si>
  <si>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</si>
  <si>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</si>
  <si>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</si>
  <si>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</si>
  <si>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</si>
  <si>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</si>
  <si>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</si>
  <si>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</si>
  <si>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</si>
  <si>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</si>
  <si>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</si>
  <si>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</si>
  <si>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</si>
  <si>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</si>
  <si>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</si>
  <si>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</si>
  <si>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</si>
  <si>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</si>
  <si>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</si>
  <si>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</si>
  <si>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</si>
  <si>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</si>
  <si>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</si>
  <si>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</si>
  <si>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</si>
  <si>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</si>
  <si>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</si>
  <si>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</si>
  <si>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</si>
  <si>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</si>
  <si>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</si>
  <si>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</si>
  <si>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</si>
  <si>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</si>
  <si>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</si>
  <si>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</si>
  <si>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</si>
  <si>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</si>
  <si>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</si>
  <si>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</si>
  <si>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</si>
  <si>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</si>
  <si>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</si>
  <si>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</si>
  <si>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</si>
  <si>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</si>
  <si>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</si>
  <si>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</si>
  <si>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</si>
  <si>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</si>
  <si>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</si>
  <si>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</si>
  <si>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</si>
  <si>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</si>
  <si>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</si>
  <si>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</si>
  <si>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</si>
  <si>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</si>
  <si>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</si>
  <si>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</si>
  <si>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</si>
  <si>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</si>
  <si>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</si>
  <si>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</si>
  <si>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</si>
  <si>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</si>
  <si>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</si>
  <si>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</si>
  <si>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</si>
  <si>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</si>
  <si>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</si>
  <si>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</si>
  <si>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</si>
  <si>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</si>
  <si>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</si>
  <si>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</si>
  <si>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</si>
  <si>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</si>
  <si>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</si>
  <si>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</si>
  <si>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</si>
  <si>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</si>
  <si>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</si>
  <si>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</si>
  <si>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</si>
  <si>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</si>
  <si>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</si>
  <si>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</si>
  <si>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</si>
  <si>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</si>
  <si>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</si>
  <si>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</si>
  <si>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</si>
  <si>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</si>
  <si>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</si>
  <si>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</si>
  <si>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</si>
  <si>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</si>
  <si>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</si>
  <si>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</si>
  <si>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</si>
  <si>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</si>
  <si>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</si>
  <si>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</si>
  <si>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</si>
  <si>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</si>
  <si>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</si>
  <si>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</si>
  <si>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</si>
  <si>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</si>
  <si>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</si>
  <si>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</si>
  <si>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</si>
  <si>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</si>
  <si>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</si>
  <si>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</si>
  <si>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</si>
  <si>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</si>
  <si>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</si>
  <si>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</si>
  <si>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</si>
  <si>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</si>
  <si>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</si>
  <si>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</si>
  <si>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</si>
  <si>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</si>
  <si>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</si>
  <si>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</si>
  <si>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</si>
  <si>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</si>
  <si>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</si>
  <si>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</si>
  <si>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</si>
  <si>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</si>
  <si>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</si>
  <si>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</si>
  <si>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</si>
  <si>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</si>
  <si>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</si>
  <si>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</si>
  <si>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</si>
  <si>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</si>
  <si>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</si>
  <si>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</si>
  <si>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</si>
  <si>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</si>
  <si>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</si>
  <si>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</si>
  <si>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</si>
  <si>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</si>
  <si>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</si>
  <si>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</si>
  <si>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</si>
  <si>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</si>
  <si>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</si>
  <si>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</si>
  <si>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</si>
  <si>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</si>
  <si>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</si>
  <si>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</si>
  <si>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</si>
  <si>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</si>
  <si>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</si>
  <si>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</si>
  <si>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</si>
  <si>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</si>
  <si>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</si>
  <si>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</si>
  <si>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</si>
  <si>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</si>
  <si>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</si>
  <si>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</si>
  <si>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</si>
  <si>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</si>
  <si>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</si>
  <si>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</si>
  <si>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</si>
  <si>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</si>
  <si>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</si>
  <si>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</si>
  <si>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</si>
  <si>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</si>
  <si>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</si>
  <si>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</si>
  <si>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</si>
  <si>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</si>
  <si>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</si>
  <si>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</si>
  <si>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</si>
  <si>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</si>
  <si>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</si>
  <si>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</si>
  <si>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</si>
  <si>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</si>
  <si>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</si>
  <si>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</si>
  <si>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</si>
  <si>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</si>
  <si>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</si>
  <si>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</si>
  <si>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</si>
  <si>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</si>
  <si>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</si>
  <si>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</si>
  <si>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</si>
  <si>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</si>
  <si>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</si>
  <si>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</si>
  <si>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</si>
  <si>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</si>
  <si>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</si>
  <si>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</si>
  <si>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</si>
  <si>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</si>
  <si>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</si>
  <si>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</si>
  <si>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</si>
  <si>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</si>
  <si>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</si>
  <si>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</si>
  <si>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</si>
  <si>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</si>
  <si>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</si>
  <si>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</si>
  <si>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</si>
  <si>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</si>
  <si>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</si>
  <si>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</si>
  <si>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</si>
  <si>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</si>
  <si>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</si>
  <si>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</si>
  <si>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</si>
  <si>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</si>
  <si>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</si>
  <si>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</si>
  <si>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</si>
  <si>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</si>
  <si>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</si>
  <si>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</si>
  <si>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</si>
  <si>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</si>
  <si>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</si>
  <si>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</si>
  <si>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</si>
  <si>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</si>
  <si>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</si>
  <si>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</si>
  <si>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</si>
  <si>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</si>
  <si>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</si>
  <si>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</si>
  <si>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</si>
  <si>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</si>
  <si>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</si>
  <si>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</si>
  <si>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</si>
  <si>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</si>
  <si>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</si>
  <si>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</si>
  <si>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</si>
  <si>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</si>
  <si>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</si>
  <si>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</si>
  <si>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</si>
  <si>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</si>
  <si>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</si>
  <si>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</si>
  <si>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</si>
  <si>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</si>
  <si>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</si>
  <si>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</si>
  <si>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</si>
  <si>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</si>
  <si>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</si>
  <si>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</si>
  <si>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</si>
  <si>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</si>
  <si>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</si>
  <si>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</si>
  <si>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</si>
  <si>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</si>
  <si>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</si>
  <si>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</si>
  <si>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</si>
  <si>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</si>
  <si>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</si>
  <si>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</si>
  <si>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</si>
  <si>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</si>
  <si>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</si>
  <si>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</si>
  <si>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</si>
  <si>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</si>
  <si>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</si>
  <si>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</si>
  <si>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</si>
  <si>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</si>
  <si>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</si>
  <si>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</si>
  <si>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</si>
  <si>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</si>
  <si>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</si>
  <si>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</si>
  <si>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</si>
  <si>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</si>
  <si>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</si>
  <si>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</si>
  <si>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</si>
  <si>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</si>
  <si>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</si>
  <si>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</si>
  <si>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</si>
  <si>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</si>
  <si>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</si>
  <si>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</si>
  <si>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</si>
  <si>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</si>
  <si>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</si>
  <si>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</si>
  <si>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</si>
  <si>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</si>
  <si>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</si>
  <si>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</si>
  <si>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</si>
  <si>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</si>
  <si>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</si>
  <si>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</si>
  <si>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</si>
  <si>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</si>
  <si>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</si>
  <si>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</si>
  <si>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</si>
  <si>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</si>
  <si>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</si>
  <si>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</si>
  <si>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</si>
  <si>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</si>
  <si>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</si>
  <si>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</si>
  <si>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</si>
  <si>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</si>
  <si>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</si>
  <si>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</si>
  <si>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</si>
  <si>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</si>
  <si>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</si>
  <si>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</si>
  <si>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</si>
  <si>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</si>
  <si>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</si>
  <si>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</si>
  <si>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</si>
  <si>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</si>
  <si>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</si>
  <si>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</si>
  <si>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</si>
  <si>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</si>
  <si>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</si>
  <si>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</si>
  <si>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</si>
  <si>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</si>
  <si>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</si>
  <si>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</si>
  <si>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</si>
  <si>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</si>
  <si>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</si>
  <si>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</si>
  <si>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</si>
  <si>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</si>
  <si>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</si>
  <si>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</si>
  <si>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</si>
  <si>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</si>
  <si>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</si>
  <si>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</si>
  <si>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</si>
  <si>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</si>
  <si>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</si>
  <si>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</si>
  <si>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</si>
  <si>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</si>
  <si>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</si>
  <si>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</si>
  <si>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</si>
  <si>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</si>
  <si>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</si>
  <si>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</si>
  <si>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</si>
  <si>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</si>
  <si>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</si>
  <si>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</si>
  <si>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</si>
  <si>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</si>
  <si>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</si>
  <si>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</si>
  <si>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</si>
  <si>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</si>
  <si>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</si>
  <si>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</si>
  <si>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</si>
  <si>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</si>
  <si>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</si>
  <si>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</si>
  <si>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</si>
  <si>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</si>
  <si>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</si>
  <si>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</si>
  <si>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</si>
  <si>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</si>
  <si>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</si>
  <si>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</si>
  <si>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</si>
  <si>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</si>
  <si>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</si>
  <si>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</si>
  <si>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</si>
  <si>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</si>
  <si>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</si>
  <si>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</si>
  <si>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</si>
  <si>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</si>
  <si>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</si>
  <si>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</si>
  <si>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</si>
  <si>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</si>
  <si>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</si>
  <si>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</si>
  <si>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</si>
  <si>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</si>
  <si>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</si>
  <si>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</si>
  <si>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</si>
  <si>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</si>
  <si>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</si>
  <si>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</si>
  <si>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</si>
  <si>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</si>
  <si>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</si>
  <si>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</si>
  <si>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</si>
  <si>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</si>
  <si>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</si>
  <si>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</si>
  <si>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</si>
  <si>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</si>
  <si>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</si>
  <si>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</si>
  <si>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</si>
  <si>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</si>
  <si>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</si>
  <si>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</si>
  <si>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</si>
  <si>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</si>
  <si>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</si>
  <si>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</si>
  <si>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</si>
  <si>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</si>
  <si>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</si>
  <si>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</si>
  <si>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</si>
  <si>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</si>
  <si>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</si>
  <si>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</si>
  <si>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</si>
  <si>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</si>
  <si>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</si>
  <si>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</si>
  <si>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</si>
  <si>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</si>
  <si>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</si>
  <si>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</si>
  <si>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</si>
  <si>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</si>
  <si>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</si>
  <si>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</si>
  <si>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</si>
  <si>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</si>
  <si>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</si>
  <si>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</si>
  <si>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</si>
  <si>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</si>
  <si>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</si>
  <si>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</si>
  <si>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</si>
  <si>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</si>
  <si>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</si>
  <si>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</si>
  <si>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</si>
  <si>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</si>
  <si>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</si>
  <si>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</si>
  <si>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</si>
  <si>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</si>
  <si>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</si>
  <si>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</si>
  <si>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</si>
  <si>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</si>
  <si>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</si>
  <si>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</si>
  <si>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</si>
  <si>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</si>
  <si>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</si>
  <si>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</si>
  <si>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</si>
  <si>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</si>
  <si>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</si>
  <si>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</si>
  <si>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</si>
  <si>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</si>
  <si>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</si>
  <si>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</si>
  <si>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</si>
  <si>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</si>
  <si>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</si>
  <si>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</si>
  <si>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</si>
  <si>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</si>
  <si>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</si>
  <si>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</si>
  <si>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</si>
  <si>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</si>
  <si>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</si>
  <si>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</si>
  <si>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</si>
  <si>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</si>
  <si>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</si>
  <si>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</si>
  <si>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</si>
  <si>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</si>
  <si>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</si>
  <si>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</si>
  <si>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</si>
  <si>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</si>
  <si>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</si>
  <si>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</si>
  <si>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</si>
  <si>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</si>
  <si>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</si>
  <si>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</si>
  <si>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</si>
  <si>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</si>
  <si>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</si>
  <si>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</si>
  <si>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</si>
  <si>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</si>
  <si>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</si>
  <si>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</si>
  <si>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</si>
  <si>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</si>
  <si>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</si>
  <si>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</si>
  <si>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</si>
  <si>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</si>
  <si>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</si>
  <si>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</si>
  <si>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</si>
  <si>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</si>
  <si>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</si>
  <si>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</si>
  <si>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</si>
  <si>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</si>
  <si>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</si>
  <si>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</si>
  <si>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</si>
  <si>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</si>
  <si>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</si>
  <si>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</si>
  <si>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</si>
  <si>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</si>
  <si>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</si>
  <si>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</si>
  <si>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</si>
  <si>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</si>
  <si>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</si>
  <si>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</si>
  <si>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</si>
  <si>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</si>
  <si>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</si>
  <si>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</si>
  <si>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</si>
  <si>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</si>
  <si>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</si>
  <si>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</si>
  <si>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</si>
  <si>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</si>
  <si>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</si>
  <si>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</si>
  <si>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</si>
  <si>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</si>
  <si>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</si>
  <si>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</si>
  <si>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</si>
  <si>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</si>
  <si>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</si>
  <si>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</si>
  <si>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</si>
  <si>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</si>
  <si>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</si>
  <si>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</si>
  <si>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</si>
  <si>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</si>
  <si>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</si>
  <si>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</si>
  <si>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</si>
  <si>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</si>
  <si>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</si>
  <si>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</si>
  <si>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</si>
  <si>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</si>
  <si>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</si>
  <si>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</si>
  <si>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</si>
  <si>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</si>
  <si>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</si>
  <si>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</si>
  <si>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</si>
  <si>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</si>
  <si>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</si>
  <si>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</si>
  <si>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</si>
  <si>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</si>
  <si>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</si>
  <si>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</si>
  <si>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</si>
  <si>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</si>
  <si>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</si>
  <si>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</si>
  <si>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</si>
  <si>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</si>
  <si>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</si>
  <si>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</si>
  <si>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</si>
  <si>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</si>
  <si>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</si>
  <si>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</si>
  <si>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</si>
  <si>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</si>
  <si>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</si>
  <si>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</si>
  <si>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</si>
  <si>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</si>
  <si>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</si>
  <si>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</si>
  <si>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</si>
  <si>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</si>
  <si>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</si>
  <si>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</si>
  <si>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</si>
  <si>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</si>
  <si>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</si>
  <si>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</si>
  <si>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</si>
  <si>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</si>
  <si>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</si>
  <si>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</si>
  <si>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</si>
  <si>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</si>
  <si>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</si>
  <si>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</si>
  <si>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</si>
  <si>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</si>
  <si>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</si>
  <si>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</si>
  <si>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</si>
  <si>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</si>
  <si>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</si>
  <si>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</si>
  <si>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</si>
  <si>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</si>
  <si>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</si>
  <si>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</si>
  <si>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</si>
  <si>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</si>
  <si>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</si>
  <si>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</si>
  <si>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</si>
  <si>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</si>
  <si>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</si>
  <si>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</si>
  <si>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</si>
  <si>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</si>
  <si>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</si>
  <si>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</si>
  <si>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</si>
  <si>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</si>
  <si>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</si>
  <si>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</si>
  <si>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</si>
  <si>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</si>
  <si>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</si>
  <si>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</si>
  <si>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</si>
  <si>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</si>
  <si>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</si>
  <si>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</si>
  <si>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</si>
  <si>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</si>
  <si>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</si>
  <si>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</si>
  <si>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</si>
  <si>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</si>
  <si>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</si>
  <si>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</si>
  <si>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</si>
  <si>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</si>
  <si>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</si>
  <si>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</si>
  <si>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</si>
  <si>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</si>
  <si>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</si>
  <si>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</si>
  <si>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</si>
  <si>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</si>
  <si>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</si>
  <si>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</si>
  <si>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</si>
  <si>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</si>
  <si>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</si>
  <si>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</si>
  <si>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</si>
  <si>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</si>
  <si>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</si>
  <si>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</si>
  <si>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</si>
  <si>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</si>
  <si>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</si>
  <si>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</si>
  <si>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</si>
  <si>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</si>
  <si>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</si>
  <si>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</si>
  <si>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</si>
  <si>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</si>
  <si>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</si>
  <si>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</si>
  <si>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</si>
  <si>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</si>
  <si>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</si>
  <si>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</si>
  <si>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</si>
  <si>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</si>
  <si>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</si>
  <si>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</si>
  <si>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</si>
  <si>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</si>
  <si>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</si>
  <si>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</si>
  <si>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</si>
  <si>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</si>
  <si>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</si>
  <si>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</si>
  <si>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</si>
  <si>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</si>
  <si>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</si>
  <si>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</si>
  <si>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</si>
  <si>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</si>
  <si>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</si>
  <si>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</si>
  <si>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</si>
  <si>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</si>
  <si>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</si>
  <si>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</si>
  <si>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</si>
  <si>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</si>
  <si>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</si>
  <si>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</si>
  <si>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</si>
  <si>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</si>
  <si>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</si>
  <si>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</si>
  <si>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</si>
  <si>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</si>
  <si>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</si>
  <si>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</si>
  <si>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</si>
  <si>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</si>
  <si>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</si>
  <si>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</si>
  <si>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</si>
  <si>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</si>
  <si>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</si>
  <si>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</si>
  <si>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</si>
  <si>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</si>
  <si>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</si>
  <si>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</si>
  <si>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</si>
  <si>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</si>
  <si>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</si>
  <si>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</si>
  <si>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</si>
  <si>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</si>
  <si>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</si>
  <si>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</si>
  <si>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</si>
  <si>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</si>
  <si>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</si>
  <si>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</si>
  <si>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</si>
  <si>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</si>
  <si>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</si>
  <si>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</si>
  <si>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</si>
  <si>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</si>
  <si>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</si>
  <si>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</si>
  <si>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</si>
  <si>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</si>
  <si>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</si>
  <si>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</si>
  <si>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</si>
  <si>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</si>
  <si>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</si>
  <si>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</si>
  <si>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</si>
  <si>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</si>
  <si>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</si>
  <si>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</si>
  <si>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</si>
  <si>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</si>
  <si>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</si>
  <si>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</si>
  <si>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</si>
  <si>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</si>
  <si>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</si>
  <si>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</si>
  <si>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</si>
  <si>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</si>
  <si>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</si>
  <si>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</si>
  <si>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</si>
  <si>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</si>
  <si>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</si>
  <si>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</si>
  <si>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</si>
  <si>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</si>
  <si>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</si>
  <si>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</si>
  <si>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</si>
  <si>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</si>
  <si>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</si>
  <si>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</si>
  <si>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</si>
  <si>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</si>
  <si>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</si>
  <si>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</si>
  <si>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</si>
  <si>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</si>
  <si>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</si>
  <si>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</si>
  <si>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</si>
  <si>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</si>
  <si>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</si>
  <si>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</si>
  <si>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</si>
  <si>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</si>
  <si>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</si>
  <si>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</si>
  <si>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</si>
  <si>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</si>
  <si>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</si>
  <si>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</si>
  <si>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</si>
  <si>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</si>
  <si>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</si>
  <si>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</si>
  <si>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</si>
  <si>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</si>
  <si>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</si>
  <si>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</si>
  <si>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</si>
  <si>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</si>
  <si>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</si>
  <si>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</si>
  <si>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</si>
  <si>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</si>
  <si>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</si>
  <si>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</si>
  <si>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</si>
  <si>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</si>
  <si>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</si>
  <si>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</si>
  <si>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</si>
  <si>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</si>
  <si>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</si>
  <si>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</si>
  <si>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</si>
  <si>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</si>
  <si>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</si>
  <si>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</si>
  <si>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</si>
  <si>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</si>
  <si>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</si>
  <si>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</si>
  <si>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</si>
  <si>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</si>
  <si>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</si>
  <si>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</si>
  <si>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</si>
  <si>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</si>
  <si>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</si>
  <si>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</si>
  <si>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</si>
  <si>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</si>
  <si>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</si>
  <si>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</si>
  <si>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</si>
  <si>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</si>
  <si>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</si>
  <si>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</si>
  <si>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</si>
  <si>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</si>
  <si>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</si>
  <si>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</si>
  <si>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</si>
  <si>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</si>
  <si>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</si>
  <si>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</si>
  <si>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</si>
  <si>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</si>
  <si>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</si>
  <si>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</si>
  <si>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</si>
  <si>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</si>
  <si>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</si>
  <si>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</si>
  <si>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</si>
  <si>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</si>
  <si>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</si>
  <si>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</si>
  <si>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</si>
  <si>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</si>
  <si>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</si>
  <si>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</si>
  <si>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</si>
  <si>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</si>
  <si>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</si>
  <si>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</si>
  <si>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</si>
  <si>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</si>
  <si>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</si>
  <si>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</si>
  <si>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</si>
  <si>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</si>
  <si>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</si>
  <si>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</si>
  <si>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</si>
  <si>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</si>
  <si>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</si>
  <si>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</si>
  <si>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</si>
  <si>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</si>
  <si>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</si>
  <si>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</si>
  <si>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</si>
  <si>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</si>
  <si>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</si>
  <si>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</si>
  <si>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</si>
  <si>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</si>
  <si>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</si>
  <si>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</si>
  <si>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</si>
  <si>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</si>
  <si>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</si>
  <si>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</si>
  <si>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</si>
  <si>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</si>
  <si>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</si>
  <si>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</si>
  <si>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</si>
  <si>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</si>
  <si>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</si>
  <si>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</si>
  <si>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</si>
  <si>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</si>
  <si>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</si>
  <si>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</si>
  <si>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</si>
  <si>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</si>
  <si>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</si>
  <si>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</si>
  <si>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</si>
  <si>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</si>
  <si>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</si>
  <si>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</si>
  <si>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</si>
  <si>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</si>
  <si>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</si>
  <si>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</si>
  <si>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</si>
  <si>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</si>
  <si>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</si>
  <si>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</si>
  <si>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</si>
  <si>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</si>
  <si>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</si>
  <si>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</si>
  <si>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</si>
  <si>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</si>
  <si>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</si>
  <si>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</si>
  <si>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</si>
  <si>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</si>
  <si>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</si>
  <si>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</si>
  <si>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</si>
  <si>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</si>
  <si>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</si>
  <si>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</si>
  <si>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</si>
  <si>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</si>
  <si>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</si>
  <si>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</si>
  <si>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</si>
  <si>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</si>
  <si>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</si>
  <si>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</si>
  <si>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</si>
  <si>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</si>
  <si>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</si>
  <si>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</si>
  <si>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</si>
  <si>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</si>
  <si>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</si>
  <si>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</si>
  <si>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</si>
  <si>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</si>
  <si>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</si>
  <si>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</si>
  <si>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</si>
  <si>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</si>
  <si>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</si>
  <si>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</si>
  <si>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</si>
  <si>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</si>
  <si>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</si>
  <si>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</si>
  <si>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</si>
  <si>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</si>
  <si>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</si>
  <si>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</si>
  <si>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</si>
  <si>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</si>
  <si>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</si>
  <si>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</si>
  <si>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</si>
  <si>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</si>
  <si>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</si>
  <si>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</si>
  <si>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</si>
  <si>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</si>
  <si>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</si>
  <si>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</si>
  <si>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</si>
  <si>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</si>
  <si>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</si>
  <si>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</si>
  <si>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</si>
  <si>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</si>
  <si>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</si>
  <si>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</si>
  <si>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</si>
  <si>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</si>
  <si>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</si>
  <si>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</si>
  <si>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</si>
  <si>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</si>
  <si>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</si>
  <si>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</si>
  <si>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</si>
  <si>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</si>
  <si>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</si>
  <si>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</si>
  <si>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</si>
  <si>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</si>
  <si>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</si>
  <si>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</si>
  <si>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</si>
  <si>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</si>
  <si>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</si>
  <si>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</si>
  <si>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</si>
  <si>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</si>
  <si>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</si>
  <si>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</si>
  <si>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</si>
  <si>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</si>
  <si>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</si>
  <si>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</si>
  <si>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</si>
  <si>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</si>
  <si>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</si>
  <si>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</si>
  <si>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</si>
  <si>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</si>
  <si>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</si>
  <si>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</si>
  <si>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</si>
  <si>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</si>
  <si>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</si>
  <si>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</si>
  <si>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</si>
  <si>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</si>
  <si>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</si>
  <si>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</si>
  <si>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</si>
  <si>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</si>
  <si>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</si>
  <si>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</si>
  <si>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</si>
  <si>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</si>
  <si>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</si>
  <si>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</si>
  <si>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</si>
  <si>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</si>
  <si>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</si>
  <si>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</si>
  <si>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</si>
  <si>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</si>
  <si>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</si>
  <si>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</si>
  <si>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</si>
  <si>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</si>
  <si>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</si>
  <si>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</si>
  <si>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</si>
  <si>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</si>
  <si>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</si>
  <si>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</si>
  <si>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</si>
  <si>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</si>
  <si>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</si>
  <si>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</si>
  <si>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</si>
  <si>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</si>
  <si>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</si>
  <si>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</si>
  <si>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</si>
  <si>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</si>
  <si>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</si>
  <si>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</si>
  <si>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</si>
  <si>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</si>
  <si>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</si>
  <si>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</si>
  <si>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</si>
  <si>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</si>
  <si>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</si>
  <si>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</si>
  <si>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</si>
  <si>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</si>
  <si>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</si>
  <si>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</si>
  <si>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</si>
  <si>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</si>
  <si>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</si>
  <si>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</si>
  <si>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</si>
  <si>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</si>
  <si>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</si>
  <si>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</si>
  <si>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</si>
  <si>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</si>
  <si>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</si>
  <si>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</si>
  <si>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</si>
  <si>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</si>
  <si>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</si>
  <si>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</si>
  <si>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</si>
  <si>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</si>
  <si>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</si>
  <si>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</si>
  <si>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</si>
  <si>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</si>
  <si>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</si>
  <si>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</si>
  <si>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</si>
  <si>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</si>
  <si>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</si>
  <si>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</si>
  <si>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</si>
  <si>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</si>
  <si>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</si>
  <si>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</si>
  <si>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</si>
  <si>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</si>
  <si>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</si>
  <si>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</si>
  <si>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</si>
  <si>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</si>
  <si>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</si>
  <si>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</si>
  <si>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</si>
  <si>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</si>
  <si>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</si>
  <si>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</si>
  <si>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</si>
  <si>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</si>
  <si>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</si>
  <si>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</si>
  <si>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</si>
  <si>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</si>
  <si>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</si>
  <si>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</si>
  <si>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</si>
  <si>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</si>
  <si>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</si>
  <si>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</si>
  <si>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</si>
  <si>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</si>
  <si>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</si>
  <si>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</si>
  <si>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</si>
  <si>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</si>
  <si>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</si>
  <si>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</si>
  <si>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</si>
  <si>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</si>
  <si>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</si>
  <si>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</si>
  <si>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</si>
  <si>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</si>
  <si>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</si>
  <si>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</si>
  <si>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</si>
  <si>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</si>
  <si>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</si>
  <si>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</si>
  <si>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</si>
  <si>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</si>
  <si>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</si>
  <si>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</si>
  <si>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</si>
  <si>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</si>
  <si>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</si>
  <si>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</si>
  <si>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</si>
  <si>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</si>
  <si>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</si>
  <si>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</si>
  <si>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</si>
  <si>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</si>
  <si>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</si>
  <si>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</si>
  <si>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</si>
  <si>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</si>
  <si>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</si>
  <si>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</si>
  <si>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</si>
  <si>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</si>
  <si>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</si>
  <si>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</si>
  <si>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</si>
  <si>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</si>
  <si>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</si>
  <si>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</si>
  <si>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</si>
  <si>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</si>
  <si>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</si>
  <si>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</si>
  <si>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</si>
  <si>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</si>
  <si>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</si>
  <si>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</si>
  <si>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</si>
  <si>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</si>
  <si>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</si>
  <si>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</si>
  <si>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</si>
  <si>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</si>
  <si>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</si>
  <si>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</si>
  <si>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</si>
  <si>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</si>
  <si>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</si>
  <si>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</si>
  <si>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</si>
  <si>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</si>
  <si>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</si>
  <si>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</si>
  <si>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</si>
  <si>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</si>
  <si>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</si>
  <si>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</si>
  <si>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</si>
  <si>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</si>
  <si>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</si>
  <si>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</si>
  <si>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</si>
  <si>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</si>
  <si>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</si>
  <si>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</si>
  <si>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</si>
  <si>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</si>
  <si>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</si>
  <si>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</si>
  <si>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</si>
  <si>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</si>
  <si>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</si>
  <si>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</si>
  <si>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</si>
  <si>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</si>
  <si>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</si>
  <si>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</si>
  <si>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</si>
  <si>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</si>
  <si>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</si>
  <si>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</si>
  <si>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</si>
  <si>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</si>
  <si>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</si>
  <si>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</si>
  <si>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</si>
  <si>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</si>
  <si>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</si>
  <si>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</si>
  <si>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</si>
  <si>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</si>
  <si>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</si>
  <si>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</si>
  <si>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</si>
  <si>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</si>
  <si>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</si>
  <si>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</si>
  <si>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</si>
  <si>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</si>
  <si>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</si>
  <si>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</si>
  <si>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</si>
  <si>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</si>
  <si>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</si>
  <si>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</si>
  <si>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</si>
  <si>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</si>
  <si>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</si>
  <si>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</si>
  <si>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</si>
  <si>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</si>
  <si>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</si>
  <si>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</si>
  <si>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</si>
  <si>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</si>
  <si>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</si>
  <si>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</si>
  <si>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</si>
  <si>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</si>
  <si>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</si>
  <si>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</si>
  <si>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</si>
  <si>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</si>
  <si>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</si>
  <si>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</si>
  <si>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</si>
  <si>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</si>
  <si>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</si>
  <si>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</si>
  <si>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</si>
  <si>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</si>
  <si>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</si>
  <si>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</si>
  <si>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</si>
  <si>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</si>
  <si>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</si>
  <si>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</si>
  <si>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</si>
  <si>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</si>
  <si>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</si>
  <si>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</si>
  <si>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</si>
  <si>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</si>
  <si>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</si>
  <si>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</si>
  <si>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</si>
  <si>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</si>
  <si>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</si>
  <si>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</si>
  <si>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</si>
  <si>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</si>
  <si>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</si>
  <si>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</si>
  <si>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</si>
  <si>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</si>
  <si>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</si>
  <si>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</si>
  <si>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</si>
  <si>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</si>
  <si>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</si>
  <si>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</si>
  <si>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</si>
  <si>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</si>
  <si>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</si>
  <si>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</si>
  <si>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</si>
  <si>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</si>
  <si>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</si>
  <si>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</si>
  <si>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</si>
  <si>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</si>
  <si>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</si>
  <si>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</si>
  <si>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</si>
  <si>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</si>
  <si>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</si>
  <si>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</si>
  <si>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</si>
  <si>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</si>
  <si>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</si>
  <si>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</si>
  <si>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</si>
  <si>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</si>
  <si>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</si>
  <si>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</si>
  <si>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</si>
  <si>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</si>
  <si>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</si>
  <si>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</si>
  <si>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</si>
  <si>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</si>
  <si>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</si>
  <si>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</si>
  <si>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</si>
  <si>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</si>
  <si>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</si>
  <si>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</si>
  <si>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</si>
  <si>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</si>
  <si>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</si>
  <si>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</si>
  <si>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</si>
  <si>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</si>
  <si>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</si>
  <si>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</si>
  <si>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</si>
  <si>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</si>
  <si>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</si>
  <si>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</si>
  <si>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</si>
  <si>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</si>
  <si>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</si>
  <si>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</si>
  <si>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</si>
  <si>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</si>
  <si>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</si>
  <si>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</si>
  <si>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</si>
  <si>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</si>
  <si>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</si>
  <si>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</si>
  <si>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</si>
  <si>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</si>
  <si>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</si>
  <si>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</si>
  <si>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</si>
  <si>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</si>
  <si>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</si>
  <si>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</si>
  <si>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</si>
  <si>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</si>
  <si>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</si>
  <si>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</si>
  <si>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</si>
  <si>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</si>
  <si>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</si>
  <si>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</si>
  <si>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</si>
  <si>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</si>
  <si>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</si>
  <si>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</si>
  <si>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</si>
  <si>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</si>
  <si>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</si>
  <si>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</si>
  <si>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</si>
  <si>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</si>
  <si>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</si>
  <si>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</si>
  <si>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</si>
  <si>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</si>
  <si>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</si>
  <si>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</si>
  <si>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</si>
  <si>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</si>
  <si>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</si>
  <si>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</si>
  <si>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</si>
  <si>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</si>
  <si>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</si>
  <si>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</si>
  <si>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</si>
  <si>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</si>
  <si>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</si>
  <si>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</si>
  <si>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</si>
  <si>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</si>
  <si>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</si>
  <si>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</si>
  <si>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</si>
  <si>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</si>
  <si>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</si>
  <si>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</si>
  <si>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</si>
  <si>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</si>
  <si>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</si>
  <si>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</si>
  <si>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</si>
  <si>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</si>
  <si>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</si>
  <si>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</si>
  <si>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</si>
  <si>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</si>
  <si>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</si>
  <si>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</si>
  <si>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</si>
  <si>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</si>
  <si>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</si>
  <si>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</si>
  <si>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</si>
  <si>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</si>
  <si>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</si>
  <si>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</si>
  <si>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</si>
  <si>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</si>
  <si>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</si>
  <si>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</si>
  <si>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</si>
  <si>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</si>
  <si>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</si>
  <si>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</si>
  <si>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</si>
  <si>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</si>
  <si>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</si>
  <si>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</si>
  <si>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</si>
  <si>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</si>
  <si>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</si>
  <si>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</si>
  <si>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</si>
  <si>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</si>
  <si>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</si>
  <si>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</si>
  <si>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</si>
  <si>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</si>
  <si>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</si>
  <si>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</si>
  <si>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</si>
  <si>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</si>
  <si>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</si>
  <si>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</si>
  <si>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</si>
  <si>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</si>
  <si>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</si>
  <si>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</si>
  <si>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</si>
  <si>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</si>
  <si>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</si>
  <si>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</si>
  <si>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</si>
  <si>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</si>
  <si>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</si>
  <si>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</si>
  <si>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</si>
  <si>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</si>
  <si>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</si>
  <si>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</si>
  <si>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</si>
  <si>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</si>
  <si>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</si>
  <si>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</si>
  <si>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</si>
  <si>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</si>
  <si>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</si>
  <si>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</si>
  <si>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</si>
  <si>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</si>
  <si>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</si>
  <si>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</si>
  <si>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</si>
  <si>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</si>
  <si>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</si>
  <si>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</si>
  <si>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</si>
  <si>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</si>
  <si>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</si>
  <si>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</si>
  <si>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</si>
  <si>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</si>
  <si>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</si>
  <si>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</si>
  <si>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</si>
  <si>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</si>
  <si>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</si>
  <si>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</si>
  <si>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</si>
  <si>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</si>
  <si>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</si>
  <si>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</si>
  <si>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</si>
  <si>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</si>
  <si>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</si>
  <si>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</si>
  <si>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</si>
  <si>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</si>
  <si>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</si>
  <si>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</si>
  <si>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</si>
  <si>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</si>
  <si>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</si>
  <si>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</si>
  <si>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</si>
  <si>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</si>
  <si>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</si>
  <si>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</si>
  <si>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</si>
  <si>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</si>
  <si>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</si>
  <si>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</si>
  <si>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</si>
  <si>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</si>
  <si>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</si>
  <si>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</si>
  <si>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</si>
  <si>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</si>
  <si>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</si>
  <si>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</si>
  <si>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</si>
  <si>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</si>
  <si>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</si>
  <si>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</si>
  <si>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</si>
  <si>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</si>
  <si>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</si>
  <si>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</si>
  <si>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</si>
  <si>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</si>
  <si>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</si>
  <si>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</si>
  <si>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</si>
  <si>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</si>
  <si>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</si>
  <si>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</si>
  <si>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</si>
  <si>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</si>
  <si>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</si>
  <si>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</si>
  <si>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</si>
  <si>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</si>
  <si>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</si>
  <si>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</si>
  <si>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</si>
  <si>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</si>
  <si>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</si>
  <si>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</si>
  <si>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</si>
  <si>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</si>
  <si>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</si>
  <si>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</si>
  <si>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</si>
  <si>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</si>
  <si>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</si>
  <si>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</si>
  <si>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</si>
  <si>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</si>
  <si>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</si>
  <si>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</si>
  <si>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</si>
  <si>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</si>
  <si>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</si>
  <si>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</si>
  <si>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</si>
  <si>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</si>
  <si>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</si>
  <si>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</si>
  <si>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</si>
  <si>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</si>
  <si>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</si>
  <si>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</si>
  <si>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</si>
  <si>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</si>
  <si>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</si>
  <si>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</si>
  <si>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</si>
  <si>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</si>
  <si>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</si>
  <si>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</si>
  <si>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</si>
  <si>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</si>
  <si>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</si>
  <si>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</si>
  <si>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</si>
  <si>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</si>
  <si>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</si>
  <si>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</si>
  <si>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</si>
  <si>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</si>
  <si>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</si>
  <si>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</si>
  <si>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</si>
  <si>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</si>
  <si>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</si>
  <si>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</si>
  <si>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</si>
  <si>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</si>
  <si>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</si>
  <si>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</si>
  <si>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</si>
  <si>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</si>
  <si>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</si>
  <si>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</si>
  <si>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</si>
  <si>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</si>
  <si>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</si>
  <si>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</si>
  <si>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</si>
  <si>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</si>
  <si>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</si>
  <si>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</si>
  <si>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</si>
  <si>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</si>
  <si>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</si>
  <si>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</si>
  <si>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</si>
  <si>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</si>
  <si>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</si>
  <si>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</si>
  <si>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</si>
  <si>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</si>
  <si>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</si>
  <si>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</si>
  <si>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</si>
  <si>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</si>
  <si>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</si>
  <si>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</si>
  <si>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</si>
  <si>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</si>
  <si>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</si>
  <si>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</si>
  <si>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</si>
  <si>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</si>
  <si>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</si>
  <si>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</si>
  <si>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</si>
  <si>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</si>
  <si>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</si>
  <si>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</si>
  <si>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</si>
  <si>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</si>
  <si>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</si>
  <si>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</si>
  <si>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</si>
  <si>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</si>
  <si>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</si>
  <si>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</si>
  <si>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</si>
  <si>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</si>
  <si>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</si>
  <si>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</si>
  <si>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</si>
  <si>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</si>
  <si>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</si>
  <si>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</si>
  <si>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</si>
  <si>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</si>
  <si>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</si>
  <si>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</si>
  <si>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</si>
  <si>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</si>
  <si>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</si>
  <si>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</si>
  <si>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</si>
  <si>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</si>
  <si>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</si>
  <si>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</si>
  <si>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</si>
  <si>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</si>
  <si>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</si>
  <si>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</si>
  <si>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</si>
  <si>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</si>
  <si>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</si>
  <si>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</si>
  <si>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</si>
  <si>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</si>
  <si>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</si>
  <si>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</si>
  <si>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</si>
  <si>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</si>
  <si>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</si>
  <si>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</si>
  <si>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</si>
  <si>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</si>
  <si>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</si>
  <si>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</si>
  <si>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</si>
  <si>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</si>
  <si>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</si>
  <si>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</si>
  <si>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</si>
  <si>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</si>
  <si>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</si>
  <si>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</si>
  <si>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</si>
  <si>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</si>
  <si>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</si>
  <si>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</si>
  <si>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</si>
  <si>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</si>
  <si>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</si>
  <si>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</si>
  <si>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</si>
  <si>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</si>
  <si>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</si>
  <si>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</si>
  <si>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</si>
  <si>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</si>
  <si>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</si>
  <si>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</si>
  <si>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</si>
  <si>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</si>
  <si>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</si>
  <si>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</si>
  <si>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</si>
  <si>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</si>
  <si>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</si>
  <si>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</si>
  <si>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</si>
  <si>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</si>
  <si>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</si>
  <si>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</si>
  <si>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</si>
  <si>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</si>
  <si>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</si>
  <si>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</si>
  <si>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</si>
  <si>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</si>
  <si>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</si>
  <si>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</si>
  <si>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</si>
  <si>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</si>
  <si>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</si>
  <si>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</si>
  <si>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</si>
  <si>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</si>
  <si>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</si>
  <si>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</si>
  <si>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</si>
  <si>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</si>
  <si>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</si>
  <si>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</si>
  <si>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</si>
  <si>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</si>
  <si>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</si>
  <si>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</si>
  <si>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</si>
  <si>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</si>
  <si>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</si>
  <si>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</si>
  <si>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</si>
  <si>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</si>
  <si>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</si>
  <si>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</si>
  <si>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</si>
  <si>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</si>
  <si>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</si>
  <si>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</si>
  <si>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</si>
  <si>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</si>
  <si>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</si>
  <si>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</si>
  <si>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</si>
  <si>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</si>
  <si>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</si>
  <si>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</si>
  <si>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</si>
  <si>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</si>
  <si>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</si>
  <si>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</si>
  <si>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</si>
  <si>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</si>
  <si>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</si>
  <si>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</si>
  <si>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</si>
  <si>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</si>
  <si>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</si>
  <si>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</si>
  <si>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</si>
  <si>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</si>
  <si>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</si>
  <si>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</si>
  <si>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</si>
  <si>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</si>
  <si>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</si>
  <si>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</si>
  <si>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</si>
  <si>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</si>
  <si>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</si>
  <si>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</si>
  <si>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</si>
  <si>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</si>
  <si>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</si>
  <si>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</si>
  <si>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</si>
  <si>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</si>
  <si>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</si>
  <si>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</si>
  <si>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</si>
  <si>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</si>
  <si>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</si>
  <si>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</si>
  <si>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</si>
  <si>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</si>
  <si>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</si>
  <si>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</si>
  <si>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</si>
  <si>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</si>
  <si>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</si>
  <si>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</si>
  <si>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</si>
  <si>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</si>
  <si>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</si>
  <si>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</si>
  <si>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</si>
  <si>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</si>
  <si>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</si>
  <si>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</si>
  <si>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</si>
  <si>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</si>
  <si>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</si>
  <si>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</si>
  <si>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</si>
  <si>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</si>
  <si>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</si>
  <si>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</si>
  <si>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</si>
  <si>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</si>
  <si>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</si>
  <si>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</si>
  <si>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</si>
  <si>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</si>
  <si>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</si>
  <si>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</si>
  <si>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</si>
  <si>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</si>
  <si>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</si>
  <si>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</si>
  <si>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</si>
  <si>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</si>
  <si>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</si>
  <si>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</si>
  <si>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</si>
  <si>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</si>
  <si>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</si>
  <si>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</si>
  <si>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</si>
  <si>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</si>
  <si>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</si>
  <si>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</si>
  <si>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</si>
  <si>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</si>
  <si>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</si>
  <si>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</si>
  <si>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</si>
  <si>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</si>
  <si>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</si>
  <si>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</si>
  <si>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</si>
  <si>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</si>
  <si>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</si>
  <si>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</si>
  <si>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</si>
  <si>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</si>
  <si>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</si>
  <si>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</si>
  <si>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</si>
  <si>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</si>
  <si>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</si>
  <si>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</si>
  <si>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</si>
  <si>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</si>
  <si>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</si>
  <si>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</si>
  <si>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</si>
  <si>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</si>
  <si>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</si>
  <si>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</si>
  <si>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</si>
  <si>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</si>
  <si>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</si>
  <si>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</si>
  <si>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</si>
  <si>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</si>
  <si>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</si>
  <si>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</si>
  <si>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</si>
  <si>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</si>
  <si>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</si>
  <si>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</si>
  <si>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</si>
  <si>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</si>
  <si>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</si>
  <si>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</si>
  <si>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</si>
  <si>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</si>
  <si>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</si>
  <si>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</si>
  <si>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</si>
  <si>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</si>
  <si>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</si>
  <si>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</si>
  <si>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</si>
  <si>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</si>
  <si>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</si>
  <si>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</si>
  <si>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</si>
  <si>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</si>
  <si>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</si>
  <si>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</si>
  <si>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</si>
  <si>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</si>
  <si>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</si>
  <si>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</si>
  <si>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</si>
  <si>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</si>
  <si>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</si>
  <si>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</si>
  <si>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</si>
  <si>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</si>
  <si>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</si>
  <si>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</si>
  <si>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</si>
  <si>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</si>
  <si>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</si>
  <si>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</si>
  <si>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</si>
  <si>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</si>
  <si>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</si>
  <si>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</si>
  <si>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</si>
  <si>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</si>
  <si>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</si>
  <si>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</si>
  <si>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</si>
  <si>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</si>
  <si>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</si>
  <si>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</si>
  <si>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</si>
  <si>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</si>
  <si>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</si>
  <si>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</si>
  <si>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</si>
  <si>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</si>
  <si>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</si>
  <si>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</si>
  <si>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</si>
  <si>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</si>
  <si>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</si>
  <si>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</si>
  <si>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</si>
  <si>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</si>
  <si>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</si>
  <si>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</si>
  <si>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</si>
  <si>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</si>
  <si>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</si>
  <si>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</si>
  <si>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</si>
  <si>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</si>
  <si>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</si>
  <si>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</si>
  <si>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</si>
  <si>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</si>
  <si>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</si>
  <si>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</si>
  <si>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</si>
  <si>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</si>
  <si>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</si>
  <si>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</si>
  <si>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</si>
  <si>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</si>
  <si>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</si>
  <si>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</si>
  <si>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</si>
  <si>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</si>
  <si>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</si>
  <si>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</si>
  <si>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</si>
  <si>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</si>
  <si>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</si>
  <si>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</si>
  <si>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</si>
  <si>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</si>
  <si>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</si>
  <si>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</si>
  <si>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</si>
  <si>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</si>
  <si>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</si>
  <si>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</si>
  <si>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</si>
  <si>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</si>
  <si>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</si>
  <si>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</si>
  <si>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</si>
  <si>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</si>
  <si>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</si>
  <si>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</si>
  <si>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</si>
  <si>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</si>
  <si>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</si>
  <si>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</si>
  <si>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</si>
  <si>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</si>
  <si>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</si>
  <si>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</si>
  <si>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</si>
  <si>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</si>
  <si>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</si>
  <si>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</si>
  <si>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</si>
  <si>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</si>
  <si>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</si>
  <si>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</si>
  <si>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</si>
  <si>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</si>
  <si>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</si>
  <si>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</si>
  <si>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</si>
  <si>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</si>
  <si>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</si>
  <si>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</si>
  <si>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</si>
  <si>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</si>
  <si>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</si>
  <si>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</si>
  <si>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</si>
  <si>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</si>
  <si>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</si>
  <si>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</si>
  <si>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</si>
  <si>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</si>
  <si>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</si>
  <si>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</si>
  <si>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</si>
  <si>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</si>
  <si>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</si>
  <si>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</si>
  <si>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</si>
  <si>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</si>
  <si>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</si>
  <si>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</si>
  <si>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</si>
  <si>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</si>
  <si>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</si>
  <si>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</si>
  <si>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</si>
  <si>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</si>
  <si>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</si>
  <si>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</si>
  <si>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</si>
  <si>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</si>
  <si>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</si>
  <si>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</si>
  <si>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</si>
  <si>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</si>
  <si>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</si>
  <si>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</si>
  <si>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</si>
  <si>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</si>
  <si>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</si>
  <si>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</si>
  <si>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</si>
  <si>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</si>
  <si>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</si>
  <si>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</si>
  <si>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</si>
  <si>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</si>
  <si>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</si>
  <si>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</si>
  <si>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</si>
  <si>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</si>
  <si>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</si>
  <si>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</si>
  <si>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</si>
  <si>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</si>
  <si>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</si>
  <si>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</si>
  <si>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</si>
  <si>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</si>
  <si>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</si>
  <si>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</si>
  <si>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</si>
  <si>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</si>
  <si>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</si>
  <si>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</si>
  <si>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</si>
  <si>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</si>
  <si>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</si>
  <si>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</si>
  <si>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</si>
  <si>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</si>
  <si>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</si>
  <si>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</si>
  <si>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</si>
  <si>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</si>
  <si>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</si>
  <si>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</si>
  <si>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</si>
  <si>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</si>
  <si>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</si>
  <si>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</si>
  <si>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</si>
  <si>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</si>
  <si>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</si>
  <si>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</si>
  <si>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</si>
  <si>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</si>
  <si>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</si>
  <si>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</si>
  <si>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</si>
  <si>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</si>
  <si>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</si>
  <si>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</si>
  <si>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</si>
  <si>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</si>
  <si>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</si>
  <si>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</si>
  <si>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</si>
  <si>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</si>
  <si>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</si>
  <si>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</si>
  <si>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</si>
  <si>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</si>
  <si>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</si>
  <si>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</si>
  <si>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</si>
  <si>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</si>
  <si>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</si>
  <si>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</si>
  <si>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</si>
  <si>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</si>
  <si>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</si>
  <si>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</si>
  <si>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</si>
  <si>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</si>
  <si>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</si>
  <si>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</si>
  <si>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</si>
  <si>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</si>
  <si>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</si>
  <si>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</si>
  <si>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</si>
  <si>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</si>
  <si>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</si>
  <si>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</si>
  <si>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</si>
  <si>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</si>
  <si>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</si>
  <si>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</si>
  <si>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</si>
  <si>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</si>
  <si>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</si>
  <si>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</si>
  <si>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</si>
  <si>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</si>
  <si>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</si>
  <si>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</si>
  <si>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</si>
  <si>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</si>
  <si>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</si>
  <si>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</si>
  <si>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</si>
  <si>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</si>
  <si>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</si>
  <si>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</si>
  <si>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</si>
  <si>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</si>
  <si>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</si>
  <si>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</si>
  <si>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</si>
  <si>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</si>
  <si>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</si>
  <si>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</si>
  <si>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</si>
  <si>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</si>
  <si>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</si>
  <si>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</si>
  <si>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</si>
  <si>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</si>
  <si>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</si>
  <si>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</si>
  <si>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</si>
  <si>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</si>
  <si>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</si>
  <si>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</si>
  <si>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</si>
  <si>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</si>
  <si>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</si>
  <si>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</si>
  <si>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</si>
  <si>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</si>
  <si>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</si>
  <si>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</si>
  <si>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</si>
  <si>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</si>
  <si>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</si>
  <si>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</si>
  <si>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</si>
  <si>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</si>
  <si>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</si>
  <si>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</si>
  <si>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</si>
  <si>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</si>
  <si>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</si>
  <si>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</si>
  <si>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</si>
  <si>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</si>
  <si>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</si>
  <si>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</si>
  <si>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</si>
  <si>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</si>
  <si>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</si>
  <si>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</si>
  <si>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</si>
  <si>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</si>
  <si>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</si>
  <si>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</si>
  <si>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(Multiple Items)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</si>
  <si>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</si>
  <si>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</si>
  <si>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</si>
  <si>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</si>
  <si>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</si>
  <si>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</si>
  <si>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</si>
  <si>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</si>
  <si>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</si>
  <si>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</si>
  <si>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</si>
  <si>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</si>
  <si>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</si>
  <si>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</si>
  <si>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</si>
  <si>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Standard</t>
  </si>
  <si>
    <t>H000004863</t>
  </si>
  <si>
    <t>H000004864</t>
  </si>
  <si>
    <t>H000004865</t>
  </si>
  <si>
    <t>UNKNOWN</t>
  </si>
  <si>
    <t>MERCK SERONO ITALY - BARI (CCH)</t>
  </si>
  <si>
    <t>1250BA - OPERATIONS</t>
  </si>
  <si>
    <t>1250BA - OPERATIONS SUPPORT SERVICES</t>
  </si>
  <si>
    <t>H000001474</t>
  </si>
  <si>
    <t>1250BA - SITE INFRASTRUCTURE</t>
  </si>
  <si>
    <t>H000001658</t>
  </si>
  <si>
    <t>1250BA - QUALITY</t>
  </si>
  <si>
    <t>H000001475</t>
  </si>
  <si>
    <t>1250BA - OTHERS</t>
  </si>
  <si>
    <t>H000011472</t>
  </si>
  <si>
    <t>1250BA - MANUFACTURING</t>
  </si>
  <si>
    <t>H000012472</t>
  </si>
  <si>
    <t>1250BA - PACKAGING</t>
  </si>
  <si>
    <t>H000011473</t>
  </si>
  <si>
    <t>1250BA - MAINTENANCE AND ENGINEERING</t>
  </si>
  <si>
    <t>H000012473</t>
  </si>
  <si>
    <t>1250BA - SUPPLY AND PLANNING</t>
  </si>
  <si>
    <t>H000013473</t>
  </si>
  <si>
    <t>1250BA - SITE SERVICES</t>
  </si>
  <si>
    <t>H000011474</t>
  </si>
  <si>
    <t>1250BA - MANUFACTURING FACILITIES</t>
  </si>
  <si>
    <t>H000012474</t>
  </si>
  <si>
    <t>1250BA - PACKAGING FACILITIES</t>
  </si>
  <si>
    <t>H000013474</t>
  </si>
  <si>
    <t>1250BA - SHARED OPERATIONS FACILITIES</t>
  </si>
  <si>
    <t>H000014474</t>
  </si>
  <si>
    <t>1250BA - OTHER FACILITIES</t>
  </si>
  <si>
    <t>H000111472</t>
  </si>
  <si>
    <t>1250BA - DP</t>
  </si>
  <si>
    <t>H000112472</t>
  </si>
  <si>
    <t>1250BA - FP</t>
  </si>
  <si>
    <t>H001111472</t>
  </si>
  <si>
    <t>1250BA - LABOR</t>
  </si>
  <si>
    <t>H001112472</t>
  </si>
  <si>
    <t>1250BA - EQUIPMENTS</t>
  </si>
  <si>
    <t>H001113472</t>
  </si>
  <si>
    <t>1250BA - INDIRECT SERVICES</t>
  </si>
  <si>
    <t>H001114472</t>
  </si>
  <si>
    <t>1250BA - MCC</t>
  </si>
  <si>
    <t>H001211472</t>
  </si>
  <si>
    <t>H001212472</t>
  </si>
  <si>
    <t>H001213472</t>
  </si>
  <si>
    <t>H001214472</t>
  </si>
  <si>
    <t>H000002471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</si>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</sst>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0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</cellXfs>
  <cellStyles count="90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85780555553" createdVersion="7" refreshedVersion="7" minRefreshableVersion="3" recordCount="171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11"/>
    </cacheField>
    <cacheField name="Forecast?" numFmtId="0">
      <sharedItems/>
    </cacheField>
    <cacheField name="Ticket" numFmtId="0">
      <sharedItems count="90"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  <s v="FR7889853"/>
        <s v="FR7896868"/>
        <s v="FR7917475"/>
        <s v="FR7917547"/>
        <s v="FR7918730"/>
        <s v="FR7920295"/>
        <s v="FR7989109"/>
        <s v="FR7986848"/>
        <s v="FR6801039" u="1"/>
        <s v="FR6711984" u="1"/>
        <s v="FR6797793" u="1"/>
        <s v="FR6914320" u="1"/>
        <s v="FR6884110" u="1"/>
        <s v="FR6737570" u="1"/>
        <s v="FR6855390" u="1"/>
        <s v="FR6712079" u="1"/>
        <s v="FR6837097" u="1"/>
        <s v="FR6803608" u="1"/>
        <s v="FR6808342" u="1"/>
        <s v="FR6853680" u="1"/>
        <s v="FR6831903" u="1"/>
        <s v="FR6700341" u="1"/>
        <s v="FR6736844" u="1"/>
        <s v="FR6762200" u="1"/>
        <s v="FR6821884" u="1"/>
        <s v="FR6799262" u="1"/>
        <s v="FR6894527" u="1"/>
        <s v="FR68795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7">
        <s v="completed"/>
        <s v="done"/>
        <m u="1"/>
        <s v="Not to work on" u="1"/>
        <s v="submitted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">
  <r>
    <n v="1"/>
    <s v="F1"/>
    <x v="0"/>
    <s v="G000000994 "/>
    <m/>
    <s v="G000000529"/>
    <s v="Move"/>
    <x v="0"/>
    <x v="0"/>
    <s v="MGF"/>
    <m/>
    <m/>
    <s v="Francesco Ricioppo"/>
  </r>
  <r>
    <n v="2"/>
    <s v="F1"/>
    <x v="0"/>
    <s v="G000000995 "/>
    <m/>
    <s v="G000000529"/>
    <s v="Move"/>
    <x v="0"/>
    <x v="0"/>
    <s v="MGF"/>
    <m/>
    <m/>
    <s v="Francesco Ricioppo"/>
  </r>
  <r>
    <n v="3"/>
    <s v="F1"/>
    <x v="0"/>
    <s v="G000000993 "/>
    <m/>
    <s v="G000000873"/>
    <s v="Move"/>
    <x v="0"/>
    <x v="0"/>
    <s v="MGF"/>
    <m/>
    <m/>
    <s v="Francesco Ricioppo"/>
  </r>
  <r>
    <n v="4"/>
    <s v="F1"/>
    <x v="1"/>
    <s v="G000001357"/>
    <s v="MBS S&amp;T Learning &amp; Develop., Knwldg Mgt"/>
    <s v="G000001146"/>
    <s v="New"/>
    <x v="0"/>
    <x v="0"/>
    <s v="MGF"/>
    <m/>
    <m/>
    <s v="Yvonne Doernhofer"/>
  </r>
  <r>
    <n v="5"/>
    <s v="F1"/>
    <x v="1"/>
    <s v="G000001191"/>
    <s v="MBS S&amp;T - Business Process Management"/>
    <m/>
    <s v="Rename"/>
    <x v="0"/>
    <x v="0"/>
    <s v="MGF"/>
    <m/>
    <m/>
    <s v="Yvonne Doernhofer"/>
  </r>
  <r>
    <n v="6"/>
    <s v="F1"/>
    <x v="2"/>
    <s v="G000000511"/>
    <m/>
    <s v="G000000873"/>
    <s v="Move"/>
    <x v="0"/>
    <x v="0"/>
    <s v="MGF"/>
    <m/>
    <m/>
    <s v="Francesco Ricioppo"/>
  </r>
  <r>
    <n v="7"/>
    <s v="F1"/>
    <x v="2"/>
    <s v="G000000512"/>
    <m/>
    <s v="G000000873"/>
    <s v="Move"/>
    <x v="0"/>
    <x v="0"/>
    <s v="MGF"/>
    <m/>
    <m/>
    <s v="Francesco Ricioppo"/>
  </r>
  <r>
    <n v="8"/>
    <s v="F1"/>
    <x v="2"/>
    <s v="G000000513"/>
    <m/>
    <s v="G000000873"/>
    <s v="Move"/>
    <x v="0"/>
    <x v="0"/>
    <s v="MGF"/>
    <m/>
    <m/>
    <s v="Francesco Ricioppo"/>
  </r>
  <r>
    <n v="9"/>
    <s v="F1"/>
    <x v="2"/>
    <s v="G000000514"/>
    <m/>
    <s v="G000000873"/>
    <s v="Move"/>
    <x v="0"/>
    <x v="0"/>
    <s v="MGF"/>
    <m/>
    <m/>
    <s v="Francesco Ricioppo"/>
  </r>
  <r>
    <n v="10"/>
    <s v="F1"/>
    <x v="2"/>
    <s v="G000001007"/>
    <m/>
    <s v="G000000873"/>
    <s v="Move"/>
    <x v="0"/>
    <x v="0"/>
    <s v="MGF"/>
    <m/>
    <m/>
    <s v="Francesco Ricioppo"/>
  </r>
  <r>
    <n v="11"/>
    <s v="F1"/>
    <x v="2"/>
    <s v="G000001065"/>
    <m/>
    <s v="G000000873"/>
    <s v="Move"/>
    <x v="0"/>
    <x v="0"/>
    <s v="MGF"/>
    <m/>
    <m/>
    <s v="Francesco Ricioppo"/>
  </r>
  <r>
    <n v="12"/>
    <s v="F1"/>
    <x v="2"/>
    <s v="G000001066"/>
    <m/>
    <s v="G000000873"/>
    <s v="Move"/>
    <x v="0"/>
    <x v="0"/>
    <s v="MGF"/>
    <m/>
    <m/>
    <s v="Francesco Ricioppo"/>
  </r>
  <r>
    <n v="13"/>
    <s v="F1"/>
    <x v="3"/>
    <s v="G000000392"/>
    <s v="SM-PT"/>
    <m/>
    <s v="Rename"/>
    <x v="0"/>
    <x v="0"/>
    <s v="MGF"/>
    <m/>
    <m/>
    <s v="Marcus Morowski"/>
  </r>
  <r>
    <n v="14"/>
    <s v="F1"/>
    <x v="3"/>
    <s v="G000000389"/>
    <s v="SM-PM und PT"/>
    <m/>
    <s v="Rename"/>
    <x v="0"/>
    <x v="0"/>
    <s v="MGF"/>
    <m/>
    <m/>
    <s v="Marcus Morowski"/>
  </r>
  <r>
    <n v="15"/>
    <s v="F1"/>
    <x v="3"/>
    <s v="G000000918"/>
    <s v="SM-PTT Material Management"/>
    <m/>
    <s v="Rename"/>
    <x v="0"/>
    <x v="0"/>
    <s v="MGF"/>
    <m/>
    <m/>
    <s v="Marcus Morowski"/>
  </r>
  <r>
    <n v="16"/>
    <s v="F1"/>
    <x v="3"/>
    <s v="G000000919"/>
    <s v="SM-PTT Technical Warehouse"/>
    <m/>
    <s v="Rename"/>
    <x v="0"/>
    <x v="0"/>
    <s v="MGF"/>
    <m/>
    <m/>
    <s v="Marcus Morowski"/>
  </r>
  <r>
    <n v="17"/>
    <s v="F1"/>
    <x v="3"/>
    <s v="G000000919"/>
    <s v="SM-PTT IVV Allocation CCs"/>
    <m/>
    <s v="Rename"/>
    <x v="0"/>
    <x v="0"/>
    <s v="MGF"/>
    <s v="WTF, duplicated"/>
    <m/>
    <s v="Marcus Morowski"/>
  </r>
  <r>
    <n v="18"/>
    <s v="F1"/>
    <x v="3"/>
    <s v="G000000387"/>
    <s v="SM-PM"/>
    <s v="G000000389"/>
    <s v="Rename/Move"/>
    <x v="0"/>
    <x v="0"/>
    <s v="MGF"/>
    <m/>
    <m/>
    <s v="Marcus Morowski"/>
  </r>
  <r>
    <n v="19"/>
    <s v="F1"/>
    <x v="3"/>
    <s v="G000000391"/>
    <s v="SM-PMA"/>
    <s v="G000000387"/>
    <s v="Rename/Move"/>
    <x v="0"/>
    <x v="0"/>
    <s v="MGF"/>
    <m/>
    <m/>
    <s v="Marcus Morowski"/>
  </r>
  <r>
    <n v="20"/>
    <s v="F1"/>
    <x v="4"/>
    <s v="P000000196"/>
    <s v="PG1 Blending+Packaging"/>
    <m/>
    <s v="Rename"/>
    <x v="0"/>
    <x v="0"/>
    <s v="EL"/>
    <m/>
    <m/>
    <s v="Gerhard Doeller"/>
  </r>
  <r>
    <n v="21"/>
    <s v="F1"/>
    <x v="4"/>
    <s v="P000000197"/>
    <s v="PG2 Coating"/>
    <m/>
    <s v="Rename"/>
    <x v="0"/>
    <x v="0"/>
    <s v="EL"/>
    <m/>
    <m/>
    <s v="Gerhard Doeller"/>
  </r>
  <r>
    <n v="22"/>
    <s v="F1"/>
    <x v="4"/>
    <s v="P000000198"/>
    <s v="PG1 Substrates"/>
    <m/>
    <s v="Rename"/>
    <x v="0"/>
    <x v="0"/>
    <s v="EL"/>
    <m/>
    <m/>
    <s v="Gerhard Doeller"/>
  </r>
  <r>
    <n v="23"/>
    <s v="F1"/>
    <x v="5"/>
    <s v="L000013817"/>
    <s v="Business Integration _GPO "/>
    <s v="L000013445"/>
    <s v="New"/>
    <x v="0"/>
    <x v="0"/>
    <s v="LS"/>
    <m/>
    <m/>
    <s v="Jayson Martinez"/>
  </r>
  <r>
    <n v="24"/>
    <s v="F1"/>
    <x v="5"/>
    <s v="L000013818"/>
    <s v="Business Integration _PS VS "/>
    <s v="L000013417"/>
    <s v="New"/>
    <x v="0"/>
    <x v="0"/>
    <s v="LS"/>
    <m/>
    <m/>
    <s v="Jayson Martinez"/>
  </r>
  <r>
    <n v="25"/>
    <s v="F1"/>
    <x v="5"/>
    <s v="L000013819"/>
    <s v="mRNA and LNP Innovation"/>
    <s v="L000006420"/>
    <s v="New"/>
    <x v="0"/>
    <x v="0"/>
    <s v="LS"/>
    <m/>
    <m/>
    <s v="Jayson Martinez"/>
  </r>
  <r>
    <n v="26"/>
    <s v="F1"/>
    <x v="5"/>
    <s v="L000013820"/>
    <s v="Bioconujation and SM Innovation"/>
    <s v="L000006420"/>
    <s v="New"/>
    <x v="0"/>
    <x v="0"/>
    <s v="LS"/>
    <m/>
    <m/>
    <s v="Jayson Martinez"/>
  </r>
  <r>
    <n v="27"/>
    <s v="F1"/>
    <x v="5"/>
    <s v="L000013821"/>
    <s v="Viral Vectors Innovation"/>
    <s v="L000013174"/>
    <s v="New"/>
    <x v="0"/>
    <x v="0"/>
    <s v="LS"/>
    <m/>
    <m/>
    <s v="Jayson Martinez"/>
  </r>
  <r>
    <n v="28"/>
    <s v="F1"/>
    <x v="5"/>
    <s v="L000013822"/>
    <s v="Biologics Innovation"/>
    <s v="L000013174"/>
    <s v="New"/>
    <x v="0"/>
    <x v="0"/>
    <s v="LS"/>
    <m/>
    <m/>
    <s v="Jayson Martinez"/>
  </r>
  <r>
    <n v="29"/>
    <s v="F1"/>
    <x v="5"/>
    <s v="L000013823"/>
    <s v="PMO CDMO Innovation"/>
    <s v="L000013785"/>
    <s v="New"/>
    <x v="0"/>
    <x v="0"/>
    <s v="LS"/>
    <m/>
    <m/>
    <s v="Jayson Martinez"/>
  </r>
  <r>
    <n v="30"/>
    <s v="F1"/>
    <x v="5"/>
    <s v="L000005722"/>
    <s v="BM - Comm NA - South Pharma"/>
    <m/>
    <s v="Rename"/>
    <x v="0"/>
    <x v="0"/>
    <s v="LS"/>
    <m/>
    <m/>
    <s v="Jayson Martinez"/>
  </r>
  <r>
    <n v="31"/>
    <s v="F1"/>
    <x v="5"/>
    <s v="L000013350"/>
    <s v="CDMO - APAC Sales"/>
    <m/>
    <s v="Rename"/>
    <x v="0"/>
    <x v="0"/>
    <s v="LS"/>
    <m/>
    <m/>
    <s v="Jayson Martinez"/>
  </r>
  <r>
    <n v="32"/>
    <s v="F1"/>
    <x v="5"/>
    <s v="L000006425"/>
    <s v="Synthesis mRNA delivery &amp; PEG's"/>
    <s v="L000013819"/>
    <s v="Rename/Move"/>
    <x v="0"/>
    <x v="0"/>
    <s v="LS"/>
    <m/>
    <m/>
    <s v="Jayson Martinez"/>
  </r>
  <r>
    <n v="33"/>
    <s v="F1"/>
    <x v="5"/>
    <s v="L000006429"/>
    <s v="mRNA Delivery / Manufacturing"/>
    <s v="L000013819"/>
    <s v="Rename/Move"/>
    <x v="0"/>
    <x v="0"/>
    <s v="LS"/>
    <m/>
    <m/>
    <s v="Jayson Martinez"/>
  </r>
  <r>
    <n v="34"/>
    <s v="F1"/>
    <x v="5"/>
    <s v="L000006431"/>
    <s v="ADC Payload Automation &amp; Digital"/>
    <s v="L000013820"/>
    <s v="Rename/Move"/>
    <x v="0"/>
    <x v="0"/>
    <s v="LS"/>
    <m/>
    <m/>
    <s v="Jayson Martinez"/>
  </r>
  <r>
    <n v="35"/>
    <s v="F1"/>
    <x v="5"/>
    <s v="L000011451"/>
    <s v="ADC Bionconjugation Template"/>
    <s v="L000013820"/>
    <s v="Rename/Move"/>
    <x v="0"/>
    <x v="0"/>
    <s v="LS"/>
    <m/>
    <m/>
    <s v="Jayson Martinez"/>
  </r>
  <r>
    <n v="36"/>
    <s v="F1"/>
    <x v="5"/>
    <s v="L000007087"/>
    <s v="VV Innovation"/>
    <s v="L000013821"/>
    <s v="Rename/Move"/>
    <x v="0"/>
    <x v="0"/>
    <s v="LS"/>
    <m/>
    <m/>
    <s v="Jayson Martinez"/>
  </r>
  <r>
    <n v="37"/>
    <s v="F1"/>
    <x v="5"/>
    <s v="L000006414"/>
    <s v="Synthesis &amp; ADC CDMO Management"/>
    <s v="L000013789"/>
    <s v="Rename/Move"/>
    <x v="0"/>
    <x v="0"/>
    <s v="LS"/>
    <m/>
    <m/>
    <s v="Jayson Martinez"/>
  </r>
  <r>
    <n v="38"/>
    <s v="F1"/>
    <x v="5"/>
    <s v="L000013151"/>
    <s v="CDMO Operations"/>
    <s v="L000009201"/>
    <s v="Rename/Move"/>
    <x v="0"/>
    <x v="0"/>
    <s v="LS"/>
    <m/>
    <m/>
    <s v="Jayson Martinez"/>
  </r>
  <r>
    <n v="39"/>
    <s v="F1"/>
    <x v="5"/>
    <s v="L000013152"/>
    <s v="SAC BP &amp; Implementation"/>
    <s v="L000013789"/>
    <s v="Rename/Move"/>
    <x v="0"/>
    <x v="0"/>
    <s v="LS"/>
    <m/>
    <m/>
    <s v="Jayson Martinez"/>
  </r>
  <r>
    <n v="40"/>
    <s v="F1"/>
    <x v="5"/>
    <s v="L000006947"/>
    <s v="BioVV - Management"/>
    <s v="L000013789"/>
    <s v="Rename/Move"/>
    <x v="0"/>
    <x v="0"/>
    <s v="LS"/>
    <m/>
    <m/>
    <s v="Jayson Martinez"/>
  </r>
  <r>
    <n v="41"/>
    <s v="F1"/>
    <x v="5"/>
    <s v="L000006952"/>
    <s v="BioVV - Strategy"/>
    <s v="L000012321"/>
    <s v="Rename/Move"/>
    <x v="0"/>
    <x v="0"/>
    <s v="LS"/>
    <m/>
    <m/>
    <s v="Jayson Martinez"/>
  </r>
  <r>
    <n v="42"/>
    <s v="F1"/>
    <x v="5"/>
    <s v="L000009432"/>
    <s v="CDMO - Carlsbad"/>
    <s v="L000013151"/>
    <s v="Rename/Move"/>
    <x v="0"/>
    <x v="0"/>
    <s v="LS"/>
    <m/>
    <m/>
    <s v="Jayson Martinez"/>
  </r>
  <r>
    <n v="43"/>
    <s v="F1"/>
    <x v="5"/>
    <s v="L000011494"/>
    <s v="CDMO - Martillac"/>
    <s v="L000013151"/>
    <s v="Rename/Move"/>
    <x v="0"/>
    <x v="0"/>
    <s v="LS"/>
    <m/>
    <m/>
    <s v="Jayson Martinez"/>
  </r>
  <r>
    <n v="44"/>
    <s v="F1"/>
    <x v="5"/>
    <s v="L000011503"/>
    <s v="CDMO - Burlington"/>
    <s v="L000013151"/>
    <s v="Rename/Move"/>
    <x v="0"/>
    <x v="0"/>
    <s v="LS"/>
    <m/>
    <m/>
    <s v="Jayson Martinez"/>
  </r>
  <r>
    <n v="45"/>
    <s v="F1"/>
    <x v="5"/>
    <s v="L000013178"/>
    <s v="BioVV - Bus. Planning &amp; Implementation"/>
    <s v="L000013789"/>
    <s v="Rename/Move"/>
    <x v="0"/>
    <x v="0"/>
    <s v="LS"/>
    <m/>
    <m/>
    <s v="Jayson Martinez"/>
  </r>
  <r>
    <n v="46"/>
    <s v="F1"/>
    <x v="5"/>
    <s v="L000013398"/>
    <s v="CDMO - Shanghai"/>
    <s v="L000013151"/>
    <s v="Rename/Move"/>
    <x v="0"/>
    <x v="0"/>
    <s v="LS"/>
    <m/>
    <m/>
    <s v="Jayson Martinez"/>
  </r>
  <r>
    <n v="47"/>
    <s v="F1"/>
    <x v="5"/>
    <s v="L000013527"/>
    <m/>
    <s v="L000013817"/>
    <s v="Move"/>
    <x v="0"/>
    <x v="0"/>
    <s v="LS"/>
    <m/>
    <m/>
    <s v="Jayson Martinez"/>
  </r>
  <r>
    <n v="48"/>
    <s v="F1"/>
    <x v="5"/>
    <s v="L000006951"/>
    <m/>
    <s v="L000013779"/>
    <s v="Move"/>
    <x v="0"/>
    <x v="0"/>
    <s v="LS"/>
    <m/>
    <m/>
    <s v="Jayson Martinez"/>
  </r>
  <r>
    <n v="49"/>
    <s v="F1"/>
    <x v="5"/>
    <s v="L000007094"/>
    <m/>
    <s v="L000013821"/>
    <s v="Move"/>
    <x v="0"/>
    <x v="0"/>
    <s v="LS"/>
    <m/>
    <m/>
    <s v="Jayson Martinez"/>
  </r>
  <r>
    <n v="50"/>
    <s v="F1"/>
    <x v="5"/>
    <s v="L000013272"/>
    <m/>
    <s v="L000013821"/>
    <s v="Move"/>
    <x v="0"/>
    <x v="0"/>
    <s v="LS"/>
    <m/>
    <m/>
    <s v="Jayson Martinez"/>
  </r>
  <r>
    <n v="51"/>
    <s v="F1"/>
    <x v="5"/>
    <s v="L000013808"/>
    <m/>
    <s v="L000013775"/>
    <s v="Move"/>
    <x v="0"/>
    <x v="0"/>
    <s v="LS"/>
    <m/>
    <m/>
    <s v="Jayson Martinez"/>
  </r>
  <r>
    <n v="52"/>
    <s v="F1"/>
    <x v="5"/>
    <s v="L000005433"/>
    <m/>
    <s v="L000005326"/>
    <s v="Move"/>
    <x v="0"/>
    <x v="0"/>
    <s v="LS"/>
    <m/>
    <m/>
    <s v="Jayson Martinez"/>
  </r>
  <r>
    <n v="53"/>
    <s v="F1"/>
    <x v="5"/>
    <s v="L000005673"/>
    <m/>
    <s v="L000005668"/>
    <s v="Move"/>
    <x v="0"/>
    <x v="0"/>
    <s v="LS"/>
    <m/>
    <m/>
    <s v="Jayson Martinez"/>
  </r>
  <r>
    <n v="54"/>
    <s v="F1"/>
    <x v="5"/>
    <s v="L000006391"/>
    <m/>
    <s v="L000013786"/>
    <s v="Move"/>
    <x v="0"/>
    <x v="0"/>
    <s v="LS"/>
    <m/>
    <m/>
    <s v="Jayson Martinez"/>
  </r>
  <r>
    <n v="55"/>
    <s v="F1"/>
    <x v="5"/>
    <s v="L000006420"/>
    <m/>
    <s v="L000013785"/>
    <s v="Move"/>
    <x v="0"/>
    <x v="0"/>
    <s v="LS"/>
    <m/>
    <m/>
    <s v="Jayson Martinez"/>
  </r>
  <r>
    <n v="56"/>
    <s v="F1"/>
    <x v="5"/>
    <s v="L000006448"/>
    <m/>
    <s v="L000012321"/>
    <s v="Move"/>
    <x v="0"/>
    <x v="0"/>
    <s v="LS"/>
    <m/>
    <m/>
    <s v="Jayson Martinez"/>
  </r>
  <r>
    <n v="57"/>
    <s v="F1"/>
    <x v="5"/>
    <s v="L000006496"/>
    <m/>
    <s v="L000013784"/>
    <s v="Move"/>
    <x v="0"/>
    <x v="0"/>
    <s v="LS"/>
    <m/>
    <m/>
    <s v="Jayson Martinez"/>
  </r>
  <r>
    <n v="58"/>
    <s v="F1"/>
    <x v="5"/>
    <s v="L000011470"/>
    <m/>
    <s v="L000013783"/>
    <s v="Move"/>
    <x v="0"/>
    <x v="0"/>
    <s v="LS"/>
    <m/>
    <m/>
    <s v="Jayson Martinez"/>
  </r>
  <r>
    <n v="59"/>
    <s v="F1"/>
    <x v="5"/>
    <s v="L000013666"/>
    <m/>
    <s v="L000013787"/>
    <s v="Move"/>
    <x v="0"/>
    <x v="0"/>
    <s v="LS"/>
    <m/>
    <m/>
    <s v="Jayson Martinez"/>
  </r>
  <r>
    <n v="60"/>
    <s v="F1"/>
    <x v="5"/>
    <s v="L000006936"/>
    <m/>
    <s v="L000013786"/>
    <s v="Move"/>
    <x v="0"/>
    <x v="0"/>
    <s v="LS"/>
    <m/>
    <m/>
    <s v="Jayson Martinez"/>
  </r>
  <r>
    <n v="61"/>
    <s v="F1"/>
    <x v="5"/>
    <s v="L000007043"/>
    <m/>
    <s v="L000013787"/>
    <s v="Move"/>
    <x v="0"/>
    <x v="0"/>
    <s v="LS"/>
    <m/>
    <m/>
    <s v="Jayson Martinez"/>
  </r>
  <r>
    <n v="62"/>
    <s v="F1"/>
    <x v="5"/>
    <s v="L000011506"/>
    <m/>
    <s v="L000013784"/>
    <s v="Move"/>
    <x v="0"/>
    <x v="0"/>
    <s v="LS"/>
    <m/>
    <m/>
    <s v="Jayson Martinez"/>
  </r>
  <r>
    <n v="63"/>
    <s v="F1"/>
    <x v="5"/>
    <s v="L000013174"/>
    <m/>
    <s v="L000013785"/>
    <s v="Move"/>
    <x v="0"/>
    <x v="0"/>
    <s v="LS"/>
    <m/>
    <m/>
    <s v="Jayson Martinez"/>
  </r>
  <r>
    <n v="64"/>
    <s v="F1"/>
    <x v="5"/>
    <s v="L000006295"/>
    <m/>
    <s v="L000013685"/>
    <s v="Move"/>
    <x v="0"/>
    <x v="0"/>
    <s v="LS"/>
    <m/>
    <m/>
    <s v="Jayson Martinez"/>
  </r>
  <r>
    <n v="65"/>
    <s v="F1"/>
    <x v="6"/>
    <s v="G000001358"/>
    <s v="GMV MBS Hub Wroclaw - ABP"/>
    <s v="G000001143"/>
    <s v="New"/>
    <x v="0"/>
    <x v="0"/>
    <s v="MGF"/>
    <m/>
    <m/>
    <s v="Jojeff Tagnong"/>
  </r>
  <r>
    <n v="66"/>
    <s v="F1"/>
    <x v="7"/>
    <s v="P000001254"/>
    <s v="EL-OP-M Metrology &amp; Inspection"/>
    <s v="P000000001"/>
    <s v="New"/>
    <x v="0"/>
    <x v="0"/>
    <s v="EL"/>
    <m/>
    <m/>
    <s v="Eivy Denine Cruz"/>
  </r>
  <r>
    <n v="67"/>
    <s v="F1"/>
    <x v="7"/>
    <s v="P000001255"/>
    <s v="EL-OP-M M&amp;I Sales"/>
    <s v="P000001254"/>
    <s v="New"/>
    <x v="0"/>
    <x v="0"/>
    <s v="EL"/>
    <m/>
    <m/>
    <s v="Eivy Denine Cruz"/>
  </r>
  <r>
    <n v="68"/>
    <s v="F1"/>
    <x v="7"/>
    <s v="P000001256"/>
    <s v="EL-OP-M M&amp;I Marketing"/>
    <s v="P000001254"/>
    <s v="New"/>
    <x v="0"/>
    <x v="0"/>
    <s v="EL"/>
    <m/>
    <m/>
    <s v="Eivy Denine Cruz"/>
  </r>
  <r>
    <n v="69"/>
    <s v="F1"/>
    <x v="7"/>
    <s v="P000001257"/>
    <s v="EL-OP-M M&amp;I Operations"/>
    <s v="P000001254"/>
    <s v="New"/>
    <x v="0"/>
    <x v="0"/>
    <s v="EL"/>
    <m/>
    <m/>
    <s v="Eivy Denine Cruz"/>
  </r>
  <r>
    <n v="70"/>
    <s v="F1"/>
    <x v="7"/>
    <s v="P000001258"/>
    <s v="EL-OP-M M&amp;I R&amp;D"/>
    <s v="P000001254"/>
    <s v="New"/>
    <x v="0"/>
    <x v="0"/>
    <s v="EL"/>
    <m/>
    <m/>
    <s v="Eivy Denine Cruz"/>
  </r>
  <r>
    <n v="71"/>
    <s v="F1"/>
    <x v="7"/>
    <s v="P000001194"/>
    <m/>
    <s v="P000000635"/>
    <s v="Move"/>
    <x v="0"/>
    <x v="0"/>
    <s v="EL"/>
    <m/>
    <m/>
    <s v="Eivy Denine Cruz"/>
  </r>
  <r>
    <n v="72"/>
    <s v="F1"/>
    <x v="7"/>
    <s v="P000000391"/>
    <m/>
    <s v="O000000009"/>
    <s v="Delete"/>
    <x v="0"/>
    <x v="0"/>
    <s v="EL"/>
    <m/>
    <m/>
    <s v="Eivy Denine Cruz"/>
  </r>
  <r>
    <n v="73"/>
    <s v="F1"/>
    <x v="7"/>
    <s v="P000000773"/>
    <m/>
    <s v="O000000009"/>
    <s v="Delete"/>
    <x v="0"/>
    <x v="0"/>
    <s v="EL"/>
    <m/>
    <m/>
    <s v="Eivy Denine Cruz"/>
  </r>
  <r>
    <n v="74"/>
    <s v="F1"/>
    <x v="7"/>
    <s v="P000000543"/>
    <m/>
    <s v="O000000009"/>
    <s v="Delete"/>
    <x v="0"/>
    <x v="0"/>
    <s v="EL"/>
    <m/>
    <m/>
    <s v="Eivy Denine Cruz"/>
  </r>
  <r>
    <n v="75"/>
    <s v="F1"/>
    <x v="7"/>
    <s v="P000000549"/>
    <m/>
    <s v="O000000009"/>
    <s v="Delete"/>
    <x v="0"/>
    <x v="0"/>
    <s v="EL"/>
    <m/>
    <m/>
    <s v="Eivy Denine Cruz"/>
  </r>
  <r>
    <n v="76"/>
    <s v="F1"/>
    <x v="7"/>
    <s v="P000000798"/>
    <m/>
    <s v="O000000009"/>
    <s v="Delete"/>
    <x v="0"/>
    <x v="0"/>
    <s v="EL"/>
    <m/>
    <m/>
    <s v="Eivy Denine Cruz"/>
  </r>
  <r>
    <n v="77"/>
    <s v="F1"/>
    <x v="7"/>
    <s v="P000000799"/>
    <m/>
    <s v="O000000009"/>
    <s v="Delete"/>
    <x v="0"/>
    <x v="0"/>
    <s v="EL"/>
    <m/>
    <m/>
    <s v="Eivy Denine Cruz"/>
  </r>
  <r>
    <n v="78"/>
    <s v="F1"/>
    <x v="7"/>
    <s v="P000000961"/>
    <m/>
    <s v="O000000009"/>
    <s v="Delete"/>
    <x v="0"/>
    <x v="0"/>
    <s v="EL"/>
    <m/>
    <m/>
    <s v="Eivy Denine Cruz"/>
  </r>
  <r>
    <n v="79"/>
    <s v="F1"/>
    <x v="7"/>
    <s v="P000001095"/>
    <m/>
    <s v="O000000009"/>
    <s v="Delete"/>
    <x v="0"/>
    <x v="0"/>
    <s v="EL"/>
    <m/>
    <m/>
    <s v="Eivy Denine Cruz"/>
  </r>
  <r>
    <n v="80"/>
    <s v="F1"/>
    <x v="7"/>
    <s v="P000001096"/>
    <m/>
    <s v="O000000009"/>
    <s v="Delete"/>
    <x v="0"/>
    <x v="0"/>
    <s v="EL"/>
    <m/>
    <m/>
    <s v="Eivy Denine Cruz"/>
  </r>
  <r>
    <n v="81"/>
    <s v="F1"/>
    <x v="7"/>
    <s v="P000001097"/>
    <m/>
    <s v="O000000009"/>
    <s v="Delete"/>
    <x v="0"/>
    <x v="0"/>
    <s v="EL"/>
    <m/>
    <m/>
    <s v="Eivy Denine Cruz"/>
  </r>
  <r>
    <n v="82"/>
    <s v="F1"/>
    <x v="7"/>
    <s v="P000001098"/>
    <m/>
    <s v="O000000009"/>
    <s v="Delete"/>
    <x v="0"/>
    <x v="0"/>
    <s v="EL"/>
    <m/>
    <m/>
    <s v="Eivy Denine Cruz"/>
  </r>
  <r>
    <n v="83"/>
    <s v="F1"/>
    <x v="7"/>
    <s v="P000001099"/>
    <m/>
    <s v="O000000009"/>
    <s v="Delete"/>
    <x v="0"/>
    <x v="0"/>
    <s v="EL"/>
    <m/>
    <m/>
    <s v="Eivy Denine Cruz"/>
  </r>
  <r>
    <n v="84"/>
    <s v="F1"/>
    <x v="7"/>
    <s v="P000001100"/>
    <m/>
    <s v="O000000009"/>
    <s v="Delete"/>
    <x v="0"/>
    <x v="0"/>
    <s v="EL"/>
    <m/>
    <m/>
    <s v="Eivy Denine Cruz"/>
  </r>
  <r>
    <n v="85"/>
    <s v="F1"/>
    <x v="7"/>
    <s v="P000001101"/>
    <m/>
    <s v="O000000009"/>
    <s v="Delete"/>
    <x v="0"/>
    <x v="0"/>
    <s v="EL"/>
    <m/>
    <m/>
    <s v="Eivy Denine Cruz"/>
  </r>
  <r>
    <n v="86"/>
    <s v="F1"/>
    <x v="7"/>
    <s v="P000001163"/>
    <m/>
    <s v="O000000009"/>
    <s v="Delete"/>
    <x v="0"/>
    <x v="0"/>
    <s v="EL"/>
    <m/>
    <m/>
    <s v="Eivy Denine Cruz"/>
  </r>
  <r>
    <n v="87"/>
    <s v="F1"/>
    <x v="7"/>
    <s v="P000001164"/>
    <m/>
    <s v="O000000009"/>
    <s v="Delete"/>
    <x v="0"/>
    <x v="0"/>
    <s v="EL"/>
    <m/>
    <m/>
    <s v="Eivy Denine Cruz"/>
  </r>
  <r>
    <n v="88"/>
    <s v="F1"/>
    <x v="7"/>
    <s v="P000000001"/>
    <s v="EL-OP Optronics"/>
    <m/>
    <s v="Rename"/>
    <x v="0"/>
    <x v="0"/>
    <s v="EL"/>
    <m/>
    <m/>
    <s v="Eivy Denine Cruz"/>
  </r>
  <r>
    <n v="89"/>
    <s v="F1"/>
    <x v="7"/>
    <s v="P000000002"/>
    <s v="EL-OP BU Head &amp; Other"/>
    <m/>
    <s v="Rename"/>
    <x v="0"/>
    <x v="0"/>
    <s v="EL"/>
    <m/>
    <m/>
    <s v="Eivy Denine Cruz"/>
  </r>
  <r>
    <n v="90"/>
    <s v="F1"/>
    <x v="7"/>
    <s v="P000000695"/>
    <s v="EL-OP BU head Organization"/>
    <m/>
    <s v="Rename"/>
    <x v="0"/>
    <x v="0"/>
    <s v="EL"/>
    <m/>
    <m/>
    <s v="Eivy Denine Cruz"/>
  </r>
  <r>
    <n v="91"/>
    <s v="F1"/>
    <x v="7"/>
    <s v="P000000696"/>
    <s v="EL-OP Inventor Remuneration"/>
    <m/>
    <s v="Rename"/>
    <x v="0"/>
    <x v="0"/>
    <s v="EL"/>
    <m/>
    <m/>
    <s v="Eivy Denine Cruz"/>
  </r>
  <r>
    <n v="92"/>
    <s v="F1"/>
    <x v="7"/>
    <s v="P000000697"/>
    <s v="EL-OP Intangible Assets"/>
    <m/>
    <s v="Rename"/>
    <x v="0"/>
    <x v="0"/>
    <s v="EL"/>
    <m/>
    <m/>
    <s v="Eivy Denine Cruz"/>
  </r>
  <r>
    <n v="93"/>
    <s v="F1"/>
    <x v="7"/>
    <s v="P000000698"/>
    <s v="EL-OP Other"/>
    <m/>
    <s v="Rename"/>
    <x v="0"/>
    <x v="0"/>
    <s v="EL"/>
    <m/>
    <m/>
    <s v="Eivy Denine Cruz"/>
  </r>
  <r>
    <n v="94"/>
    <s v="F1"/>
    <x v="7"/>
    <s v="P000000022"/>
    <s v="EL-OP-W LC Windows"/>
    <m/>
    <s v="Rename"/>
    <x v="0"/>
    <x v="0"/>
    <s v="EL"/>
    <m/>
    <m/>
    <s v="Eivy Denine Cruz"/>
  </r>
  <r>
    <n v="95"/>
    <s v="F1"/>
    <x v="7"/>
    <s v="P000000055"/>
    <s v="EL-OP-S Supply Chain Optronics"/>
    <m/>
    <s v="Rename"/>
    <x v="0"/>
    <x v="0"/>
    <s v="EL"/>
    <m/>
    <m/>
    <s v="Eivy Denine Cruz"/>
  </r>
  <r>
    <n v="96"/>
    <s v="F1"/>
    <x v="7"/>
    <s v="P000000505"/>
    <s v="Optronics Production Sites"/>
    <m/>
    <s v="Rename"/>
    <x v="0"/>
    <x v="0"/>
    <s v="EL"/>
    <m/>
    <m/>
    <s v="Eivy Denine Cruz"/>
  </r>
  <r>
    <n v="97"/>
    <s v="F1"/>
    <x v="7"/>
    <s v="P000000056"/>
    <s v="EL-OP-SD Site Darmstadt, Germany"/>
    <m/>
    <s v="Rename"/>
    <x v="0"/>
    <x v="0"/>
    <s v="EL"/>
    <m/>
    <m/>
    <s v="Eivy Denine Cruz"/>
  </r>
  <r>
    <n v="98"/>
    <s v="F1"/>
    <x v="7"/>
    <s v="P000001172"/>
    <s v="EL-OP-SDPP Production Planning"/>
    <m/>
    <s v="Rename"/>
    <x v="0"/>
    <x v="0"/>
    <s v="EL"/>
    <m/>
    <m/>
    <s v="Eivy Denine Cruz"/>
  </r>
  <r>
    <n v="99"/>
    <s v="F1"/>
    <x v="7"/>
    <s v="P000000087"/>
    <s v="EL-OP-SA Site Atsugi, Japan"/>
    <m/>
    <s v="Rename"/>
    <x v="0"/>
    <x v="0"/>
    <s v="EL"/>
    <m/>
    <m/>
    <s v="Eivy Denine Cruz"/>
  </r>
  <r>
    <n v="100"/>
    <s v="F1"/>
    <x v="7"/>
    <s v="P000000097"/>
    <s v="EL-OP-SZ Site Suzhou, China"/>
    <m/>
    <s v="Rename"/>
    <x v="0"/>
    <x v="0"/>
    <s v="EL"/>
    <m/>
    <m/>
    <s v="Eivy Denine Cruz"/>
  </r>
  <r>
    <n v="101"/>
    <s v="F1"/>
    <x v="7"/>
    <s v="P000000107"/>
    <s v="EL-OP-ST Site Taoyuan, Taiwan"/>
    <m/>
    <s v="Rename"/>
    <x v="0"/>
    <x v="0"/>
    <s v="EL"/>
    <m/>
    <m/>
    <s v="Eivy Denine Cruz"/>
  </r>
  <r>
    <n v="102"/>
    <s v="F1"/>
    <x v="7"/>
    <s v="P000000117"/>
    <s v="EL-OP-SH Site Hsinchu, Taiwan"/>
    <m/>
    <s v="Rename"/>
    <x v="0"/>
    <x v="0"/>
    <s v="EL"/>
    <m/>
    <m/>
    <s v="Eivy Denine Cruz"/>
  </r>
  <r>
    <n v="103"/>
    <s v="F1"/>
    <x v="7"/>
    <s v="P000000127"/>
    <s v="EL-OP-SP Site Poseung, S. Korea"/>
    <m/>
    <s v="Rename"/>
    <x v="0"/>
    <x v="0"/>
    <s v="EL"/>
    <m/>
    <m/>
    <s v="Eivy Denine Cruz"/>
  </r>
  <r>
    <n v="104"/>
    <s v="F1"/>
    <x v="7"/>
    <s v="P000000137"/>
    <s v="EL-OP-SS Site Shanghai, China"/>
    <m/>
    <s v="Rename"/>
    <x v="0"/>
    <x v="0"/>
    <s v="EL"/>
    <m/>
    <m/>
    <s v="Eivy Denine Cruz"/>
  </r>
  <r>
    <n v="105"/>
    <s v="F1"/>
    <x v="7"/>
    <s v="P000000506"/>
    <s v="EL-OP-SC Supply Chain Excellence"/>
    <m/>
    <s v="Rename"/>
    <x v="0"/>
    <x v="0"/>
    <s v="EL"/>
    <m/>
    <m/>
    <s v="Eivy Denine Cruz"/>
  </r>
  <r>
    <n v="106"/>
    <s v="F1"/>
    <x v="7"/>
    <s v="P000000507"/>
    <s v="EL-OP-SQ QA Optronics"/>
    <m/>
    <s v="Rename"/>
    <x v="0"/>
    <x v="0"/>
    <s v="EL"/>
    <m/>
    <m/>
    <s v="Eivy Denine Cruz"/>
  </r>
  <r>
    <n v="107"/>
    <s v="F1"/>
    <x v="7"/>
    <s v="P000001167"/>
    <s v="EL-OP-SG Global Demand &amp; Supply Planning"/>
    <m/>
    <s v="Rename"/>
    <x v="0"/>
    <x v="0"/>
    <s v="EL"/>
    <m/>
    <m/>
    <s v="Eivy Denine Cruz"/>
  </r>
  <r>
    <n v="108"/>
    <s v="F1"/>
    <x v="7"/>
    <s v="P000001168"/>
    <s v="EL-OP-SV Value Stream Mngt"/>
    <m/>
    <s v="Rename"/>
    <x v="0"/>
    <x v="0"/>
    <s v="EL"/>
    <m/>
    <m/>
    <s v="Eivy Denine Cruz"/>
  </r>
  <r>
    <n v="109"/>
    <s v="F1"/>
    <x v="7"/>
    <s v="P000001109"/>
    <s v="EL-OP-L LC/DPM"/>
    <m/>
    <s v="Rename"/>
    <x v="0"/>
    <x v="0"/>
    <s v="EL"/>
    <m/>
    <m/>
    <s v="Eivy Denine Cruz"/>
  </r>
  <r>
    <n v="110"/>
    <s v="F1"/>
    <x v="7"/>
    <s v="P000001110"/>
    <s v="EL-OP-LC LC/DPM Sales CN"/>
    <m/>
    <s v="Rename"/>
    <x v="0"/>
    <x v="0"/>
    <s v="EL"/>
    <m/>
    <m/>
    <s v="Eivy Denine Cruz"/>
  </r>
  <r>
    <n v="111"/>
    <s v="F1"/>
    <x v="7"/>
    <s v="P000001111"/>
    <s v="EL-OP-LT LC/DPM Sales TW &amp; JP"/>
    <m/>
    <s v="Rename"/>
    <x v="0"/>
    <x v="0"/>
    <s v="EL"/>
    <m/>
    <m/>
    <s v="Eivy Denine Cruz"/>
  </r>
  <r>
    <n v="112"/>
    <s v="F1"/>
    <x v="7"/>
    <s v="P000001112"/>
    <s v="EL-OP-LM LC/DPM Marketing"/>
    <m/>
    <s v="Rename"/>
    <x v="0"/>
    <x v="0"/>
    <s v="EL"/>
    <m/>
    <m/>
    <s v="Eivy Denine Cruz"/>
  </r>
  <r>
    <n v="113"/>
    <s v="F1"/>
    <x v="7"/>
    <s v="P000001113"/>
    <s v="EL-OP-LM LC/DPM Marketing Organization"/>
    <m/>
    <s v="Rename"/>
    <x v="0"/>
    <x v="0"/>
    <s v="EL"/>
    <m/>
    <m/>
    <s v="Eivy Denine Cruz"/>
  </r>
  <r>
    <n v="114"/>
    <s v="F1"/>
    <x v="7"/>
    <s v="P000001114"/>
    <s v="EL-OP-LM LC/DPM Sales Promotion"/>
    <m/>
    <s v="Rename"/>
    <x v="0"/>
    <x v="0"/>
    <s v="EL"/>
    <m/>
    <m/>
    <s v="Eivy Denine Cruz"/>
  </r>
  <r>
    <n v="115"/>
    <s v="F1"/>
    <x v="7"/>
    <s v="P000001115"/>
    <s v="EL-OP-L LC/DPM Royalties/Commissions"/>
    <m/>
    <s v="Rename"/>
    <x v="0"/>
    <x v="0"/>
    <s v="EL"/>
    <m/>
    <m/>
    <s v="Eivy Denine Cruz"/>
  </r>
  <r>
    <n v="116"/>
    <s v="F1"/>
    <x v="7"/>
    <s v="P000001116"/>
    <s v="EL-OP-L LC/DPM Other"/>
    <m/>
    <s v="Rename"/>
    <x v="0"/>
    <x v="0"/>
    <s v="EL"/>
    <m/>
    <m/>
    <s v="Eivy Denine Cruz"/>
  </r>
  <r>
    <n v="117"/>
    <s v="F1"/>
    <x v="7"/>
    <s v="P000001117"/>
    <s v="EL-OP-LR LC/DPM R&amp;D"/>
    <m/>
    <s v="Rename"/>
    <x v="0"/>
    <x v="0"/>
    <s v="EL"/>
    <m/>
    <m/>
    <s v="Eivy Denine Cruz"/>
  </r>
  <r>
    <n v="118"/>
    <s v="F1"/>
    <x v="7"/>
    <s v="P000001209"/>
    <s v="EL-OP-LR LC/DPM R&amp;D General Expenses"/>
    <m/>
    <s v="Rename"/>
    <x v="0"/>
    <x v="0"/>
    <s v="EL"/>
    <m/>
    <m/>
    <s v="Eivy Denine Cruz"/>
  </r>
  <r>
    <n v="119"/>
    <s v="F1"/>
    <x v="7"/>
    <s v="P000001118"/>
    <s v="EL-OP-O OLED"/>
    <m/>
    <s v="Rename"/>
    <x v="0"/>
    <x v="0"/>
    <s v="EL"/>
    <m/>
    <m/>
    <s v="Eivy Denine Cruz"/>
  </r>
  <r>
    <n v="120"/>
    <s v="F1"/>
    <x v="7"/>
    <s v="P000001119"/>
    <s v="EL-OP-OC OLED Sales CN"/>
    <m/>
    <s v="Rename"/>
    <x v="0"/>
    <x v="0"/>
    <s v="EL"/>
    <m/>
    <m/>
    <s v="Eivy Denine Cruz"/>
  </r>
  <r>
    <n v="121"/>
    <s v="F1"/>
    <x v="7"/>
    <s v="P000001120"/>
    <s v="EL-OP-OK OLED Sales KR"/>
    <m/>
    <s v="Rename"/>
    <x v="0"/>
    <x v="0"/>
    <s v="EL"/>
    <m/>
    <m/>
    <s v="Eivy Denine Cruz"/>
  </r>
  <r>
    <n v="122"/>
    <s v="F1"/>
    <x v="7"/>
    <s v="P000001121"/>
    <s v="EL-OP-OM OLED Marketing"/>
    <m/>
    <s v="Rename"/>
    <x v="0"/>
    <x v="0"/>
    <s v="EL"/>
    <m/>
    <m/>
    <s v="Eivy Denine Cruz"/>
  </r>
  <r>
    <n v="123"/>
    <s v="F1"/>
    <x v="7"/>
    <s v="P000000687"/>
    <s v="XX_EL-OP-M Global Mkt Other"/>
    <m/>
    <s v="Rename"/>
    <x v="0"/>
    <x v="0"/>
    <s v="EL"/>
    <m/>
    <m/>
    <s v="Eivy Denine Cruz"/>
  </r>
  <r>
    <n v="124"/>
    <s v="F1"/>
    <x v="7"/>
    <s v="P000001122"/>
    <s v="EL-OP-OM OLED Marketing Organization"/>
    <m/>
    <s v="Rename"/>
    <x v="0"/>
    <x v="0"/>
    <s v="EL"/>
    <m/>
    <m/>
    <s v="Eivy Denine Cruz"/>
  </r>
  <r>
    <n v="125"/>
    <s v="F1"/>
    <x v="7"/>
    <s v="P000001123"/>
    <s v="EL-OP-OM OLED Sales Promotion"/>
    <m/>
    <s v="Rename"/>
    <x v="0"/>
    <x v="0"/>
    <s v="EL"/>
    <m/>
    <m/>
    <s v="Eivy Denine Cruz"/>
  </r>
  <r>
    <n v="126"/>
    <s v="F1"/>
    <x v="7"/>
    <s v="P000001124"/>
    <s v="EL-OP-O OLED Royalties/Commissions"/>
    <m/>
    <s v="Rename"/>
    <x v="0"/>
    <x v="0"/>
    <s v="EL"/>
    <m/>
    <m/>
    <s v="Eivy Denine Cruz"/>
  </r>
  <r>
    <n v="127"/>
    <s v="F1"/>
    <x v="7"/>
    <s v="P000001125"/>
    <s v="EL-OP-O OLED Other"/>
    <m/>
    <s v="Rename"/>
    <x v="0"/>
    <x v="0"/>
    <s v="EL"/>
    <m/>
    <m/>
    <s v="Eivy Denine Cruz"/>
  </r>
  <r>
    <n v="128"/>
    <s v="F1"/>
    <x v="7"/>
    <s v="P000001126"/>
    <s v="EL-OP-OR OLED R&amp;D"/>
    <m/>
    <s v="Rename"/>
    <x v="0"/>
    <x v="0"/>
    <s v="EL"/>
    <m/>
    <m/>
    <s v="Eivy Denine Cruz"/>
  </r>
  <r>
    <n v="129"/>
    <s v="F1"/>
    <x v="7"/>
    <s v="P000001221"/>
    <s v="EL-OP-OR OLED R&amp;D General Expenses"/>
    <m/>
    <s v="Rename"/>
    <x v="0"/>
    <x v="0"/>
    <s v="EL"/>
    <m/>
    <m/>
    <s v="Eivy Denine Cruz"/>
  </r>
  <r>
    <n v="130"/>
    <s v="F1"/>
    <x v="7"/>
    <s v="P000001127"/>
    <s v="EL-OP-B BS&amp;S"/>
    <m/>
    <s v="Rename"/>
    <x v="0"/>
    <x v="0"/>
    <s v="EL"/>
    <m/>
    <m/>
    <s v="Eivy Denine Cruz"/>
  </r>
  <r>
    <n v="131"/>
    <s v="F1"/>
    <x v="7"/>
    <s v="P000001128"/>
    <s v="EL-OP-BF Optical Technologies"/>
    <m/>
    <s v="Rename"/>
    <x v="0"/>
    <x v="0"/>
    <s v="EL"/>
    <m/>
    <m/>
    <s v="Eivy Denine Cruz"/>
  </r>
  <r>
    <n v="132"/>
    <s v="F1"/>
    <x v="7"/>
    <s v="P000001129"/>
    <s v="EL-OP BF OT Business Development Org"/>
    <m/>
    <s v="Rename"/>
    <x v="0"/>
    <x v="0"/>
    <s v="EL"/>
    <m/>
    <m/>
    <s v="Eivy Denine Cruz"/>
  </r>
  <r>
    <n v="133"/>
    <s v="F1"/>
    <x v="7"/>
    <s v="P000001130"/>
    <s v="EL-OP BF OT R&amp;D"/>
    <m/>
    <s v="Rename"/>
    <x v="0"/>
    <x v="0"/>
    <s v="EL"/>
    <m/>
    <m/>
    <s v="Eivy Denine Cruz"/>
  </r>
  <r>
    <n v="134"/>
    <s v="F1"/>
    <x v="7"/>
    <s v="P000000593"/>
    <s v="OT Projects"/>
    <m/>
    <s v="Rename"/>
    <x v="0"/>
    <x v="0"/>
    <s v="EL"/>
    <m/>
    <m/>
    <s v="Eivy Denine Cruz"/>
  </r>
  <r>
    <n v="135"/>
    <s v="F1"/>
    <x v="7"/>
    <s v="P000001251"/>
    <s v="Antireflection Technology"/>
    <m/>
    <s v="Rename"/>
    <x v="0"/>
    <x v="0"/>
    <s v="EL"/>
    <m/>
    <m/>
    <s v="Eivy Denine Cruz"/>
  </r>
  <r>
    <n v="136"/>
    <s v="F1"/>
    <x v="7"/>
    <s v="P000001252"/>
    <s v="PVH"/>
    <m/>
    <s v="Rename"/>
    <x v="0"/>
    <x v="0"/>
    <s v="EL"/>
    <m/>
    <m/>
    <s v="Eivy Denine Cruz"/>
  </r>
  <r>
    <n v="137"/>
    <s v="F1"/>
    <x v="7"/>
    <s v="P000001243"/>
    <s v="EL-OP BF OT R&amp;D General Expenses"/>
    <m/>
    <s v="Rename"/>
    <x v="0"/>
    <x v="0"/>
    <s v="EL"/>
    <m/>
    <m/>
    <s v="Eivy Denine Cruz"/>
  </r>
  <r>
    <n v="138"/>
    <s v="F1"/>
    <x v="7"/>
    <s v="P000001131"/>
    <s v="EL-OP BF OT Sales Promotion"/>
    <m/>
    <s v="Rename"/>
    <x v="0"/>
    <x v="0"/>
    <s v="EL"/>
    <m/>
    <m/>
    <s v="Eivy Denine Cruz"/>
  </r>
  <r>
    <n v="139"/>
    <s v="F1"/>
    <x v="7"/>
    <s v="P000001132"/>
    <s v="EL-OP BF OT Royalties/Commissions"/>
    <m/>
    <s v="Rename"/>
    <x v="0"/>
    <x v="0"/>
    <s v="EL"/>
    <m/>
    <m/>
    <s v="Eivy Denine Cruz"/>
  </r>
  <r>
    <n v="140"/>
    <s v="F1"/>
    <x v="7"/>
    <s v="P000001133"/>
    <s v="EL-OP BF OT Other"/>
    <m/>
    <s v="Rename"/>
    <x v="0"/>
    <x v="0"/>
    <s v="EL"/>
    <m/>
    <m/>
    <s v="Eivy Denine Cruz"/>
  </r>
  <r>
    <n v="141"/>
    <s v="F1"/>
    <x v="7"/>
    <s v="P000001134"/>
    <s v="EL-OP-B BS&amp;S Organization"/>
    <m/>
    <s v="Rename"/>
    <x v="0"/>
    <x v="0"/>
    <s v="EL"/>
    <m/>
    <m/>
    <s v="Eivy Denine Cruz"/>
  </r>
  <r>
    <n v="142"/>
    <s v="F1"/>
    <x v="7"/>
    <s v="P000001135"/>
    <s v="EL-OP-BN Novel Tools"/>
    <m/>
    <s v="Rename"/>
    <x v="0"/>
    <x v="0"/>
    <s v="EL"/>
    <m/>
    <m/>
    <s v="Eivy Denine Cruz"/>
  </r>
  <r>
    <n v="143"/>
    <s v="F1"/>
    <x v="7"/>
    <s v="P000001136"/>
    <s v="EL-OP-B BS&amp;S MarCom"/>
    <m/>
    <s v="Rename"/>
    <x v="0"/>
    <x v="0"/>
    <s v="EL"/>
    <m/>
    <m/>
    <s v="Eivy Denine Cruz"/>
  </r>
  <r>
    <n v="144"/>
    <s v="F1"/>
    <x v="7"/>
    <s v="P000001137"/>
    <s v="EL-OP-B BS&amp;S Other"/>
    <m/>
    <s v="Rename"/>
    <x v="0"/>
    <x v="0"/>
    <s v="EL"/>
    <m/>
    <m/>
    <s v="Eivy Denine Cruz"/>
  </r>
  <r>
    <n v="145"/>
    <s v="F1"/>
    <x v="7"/>
    <s v="P000000659"/>
    <s v="BOI"/>
    <m/>
    <s v="Rename"/>
    <x v="0"/>
    <x v="0"/>
    <s v="EL"/>
    <m/>
    <m/>
    <s v="Eivy Denine Cruz"/>
  </r>
  <r>
    <n v="146"/>
    <s v="F1"/>
    <x v="7"/>
    <s v="P000000673"/>
    <s v="AR hardware"/>
    <m/>
    <s v="Rename"/>
    <x v="0"/>
    <x v="0"/>
    <s v="EL"/>
    <m/>
    <m/>
    <s v="Eivy Denine Cruz"/>
  </r>
  <r>
    <n v="147"/>
    <s v="F1"/>
    <x v="7"/>
    <s v="P000000674"/>
    <s v="EUVen MORe"/>
    <m/>
    <s v="Rename"/>
    <x v="0"/>
    <x v="0"/>
    <s v="EL"/>
    <m/>
    <m/>
    <s v="Eivy Denine Cruz"/>
  </r>
  <r>
    <n v="148"/>
    <s v="F1"/>
    <x v="7"/>
    <s v="P000000675"/>
    <s v="Mat. Info DRAM"/>
    <m/>
    <s v="Rename"/>
    <x v="0"/>
    <x v="0"/>
    <s v="EL"/>
    <m/>
    <m/>
    <s v="Eivy Denine Cruz"/>
  </r>
  <r>
    <n v="149"/>
    <s v="F1"/>
    <x v="7"/>
    <s v="P000000678"/>
    <s v="OSC"/>
    <m/>
    <s v="Rename"/>
    <x v="0"/>
    <x v="0"/>
    <s v="EL"/>
    <m/>
    <m/>
    <s v="Eivy Denine Cruz"/>
  </r>
  <r>
    <n v="150"/>
    <s v="F1"/>
    <x v="7"/>
    <s v="P000000679"/>
    <s v="Planarization Incubator"/>
    <m/>
    <s v="Rename"/>
    <x v="0"/>
    <x v="0"/>
    <s v="EL"/>
    <m/>
    <m/>
    <s v="Eivy Denine Cruz"/>
  </r>
  <r>
    <n v="151"/>
    <s v="F1"/>
    <x v="7"/>
    <s v="P000000681"/>
    <s v="HIT'M/BN"/>
    <m/>
    <s v="Rename"/>
    <x v="0"/>
    <x v="0"/>
    <s v="EL"/>
    <m/>
    <m/>
    <s v="Eivy Denine Cruz"/>
  </r>
  <r>
    <n v="152"/>
    <s v="F1"/>
    <x v="7"/>
    <s v="P000001052"/>
    <s v="AR VR Lab"/>
    <m/>
    <s v="Rename"/>
    <x v="0"/>
    <x v="0"/>
    <s v="EL"/>
    <m/>
    <m/>
    <s v="Eivy Denine Cruz"/>
  </r>
  <r>
    <n v="153"/>
    <s v="F1"/>
    <x v="7"/>
    <s v="P000001058"/>
    <s v="RM for IJP"/>
    <m/>
    <s v="Rename"/>
    <x v="0"/>
    <x v="0"/>
    <s v="EL"/>
    <m/>
    <m/>
    <s v="Eivy Denine Cruz"/>
  </r>
  <r>
    <n v="154"/>
    <s v="F1"/>
    <x v="7"/>
    <s v="P000001094"/>
    <s v="LTD-MAP"/>
    <m/>
    <s v="Rename"/>
    <x v="0"/>
    <x v="0"/>
    <s v="EL"/>
    <m/>
    <m/>
    <s v="Eivy Denine Cruz"/>
  </r>
  <r>
    <n v="155"/>
    <s v="F1"/>
    <x v="7"/>
    <s v="P000000745"/>
    <s v="CTO Organization"/>
    <m/>
    <s v="Rename"/>
    <x v="0"/>
    <x v="0"/>
    <s v="EL"/>
    <m/>
    <m/>
    <s v="Eivy Denine Cruz"/>
  </r>
  <r>
    <n v="156"/>
    <s v="F1"/>
    <x v="7"/>
    <s v="P000000645"/>
    <s v="MIP Cost Variance"/>
    <m/>
    <s v="Rename"/>
    <x v="0"/>
    <x v="0"/>
    <s v="EL"/>
    <m/>
    <m/>
    <s v="Eivy Denine Cruz"/>
  </r>
  <r>
    <n v="157"/>
    <s v="F1"/>
    <x v="7"/>
    <s v="P000000646"/>
    <s v="CTO Leadership"/>
    <m/>
    <s v="Rename"/>
    <x v="0"/>
    <x v="0"/>
    <s v="EL"/>
    <m/>
    <m/>
    <s v="Eivy Denine Cruz"/>
  </r>
  <r>
    <n v="158"/>
    <s v="F1"/>
    <x v="7"/>
    <s v="P000000648"/>
    <s v="Materials AI"/>
    <m/>
    <s v="Rename"/>
    <x v="0"/>
    <x v="0"/>
    <s v="EL"/>
    <m/>
    <m/>
    <s v="Eivy Denine Cruz"/>
  </r>
  <r>
    <n v="159"/>
    <s v="F1"/>
    <x v="7"/>
    <s v="P000000649"/>
    <s v="Business Development  AR VR"/>
    <m/>
    <s v="Rename"/>
    <x v="0"/>
    <x v="0"/>
    <s v="EL"/>
    <m/>
    <m/>
    <s v="Eivy Denine Cruz"/>
  </r>
  <r>
    <n v="160"/>
    <s v="F1"/>
    <x v="7"/>
    <s v="P000001102"/>
    <s v="Technology Strategy &amp; Roadmap"/>
    <m/>
    <s v="Rename"/>
    <x v="0"/>
    <x v="0"/>
    <s v="EL"/>
    <m/>
    <m/>
    <s v="Eivy Denine Cruz"/>
  </r>
  <r>
    <n v="161"/>
    <s v="F1"/>
    <x v="7"/>
    <s v="P000001103"/>
    <s v="CTO Labs Capex"/>
    <m/>
    <s v="Rename"/>
    <x v="0"/>
    <x v="0"/>
    <s v="EL"/>
    <m/>
    <m/>
    <s v="Eivy Denine Cruz"/>
  </r>
  <r>
    <n v="162"/>
    <s v="F1"/>
    <x v="7"/>
    <s v="P000000484"/>
    <s v="EL-SC-Q Quality &amp; Compliance Mgmt."/>
    <m/>
    <s v="Rename"/>
    <x v="0"/>
    <x v="0"/>
    <s v="EL"/>
    <m/>
    <m/>
    <s v="Eivy Denine Cruz"/>
  </r>
  <r>
    <n v="163"/>
    <s v="F1"/>
    <x v="7"/>
    <s v="P000000487"/>
    <s v="EL-SC-QS Global Supplier Quality"/>
    <m/>
    <s v="Rename"/>
    <x v="0"/>
    <x v="0"/>
    <s v="EL"/>
    <m/>
    <m/>
    <s v="Eivy Denine Cruz"/>
  </r>
  <r>
    <n v="164"/>
    <s v="F1"/>
    <x v="7"/>
    <s v="P000000490"/>
    <s v="EL-SC-QT Trade Compliance China"/>
    <m/>
    <s v="Rename"/>
    <x v="0"/>
    <x v="0"/>
    <s v="EL"/>
    <m/>
    <m/>
    <s v="Eivy Denine Cruz"/>
  </r>
  <r>
    <n v="165"/>
    <s v="F1"/>
    <x v="7"/>
    <s v="P000000497"/>
    <s v="EL-SC-DO Process Development Optronics"/>
    <m/>
    <s v="Rename"/>
    <x v="0"/>
    <x v="0"/>
    <s v="EL"/>
    <m/>
    <m/>
    <s v="Eivy Denine Cruz"/>
  </r>
  <r>
    <n v="166"/>
    <s v="F1"/>
    <x v="7"/>
    <s v="P000001071"/>
    <s v="EL-SC-DO Projects"/>
    <m/>
    <s v="Rename"/>
    <x v="0"/>
    <x v="0"/>
    <s v="EL"/>
    <m/>
    <m/>
    <s v="Eivy Denine Cruz"/>
  </r>
  <r>
    <n v="167"/>
    <s v="F1"/>
    <x v="7"/>
    <s v="P000001072"/>
    <s v="EL-SC-DO Investments"/>
    <m/>
    <s v="Rename"/>
    <x v="0"/>
    <x v="0"/>
    <s v="EL"/>
    <m/>
    <m/>
    <s v="Eivy Denine Cruz"/>
  </r>
  <r>
    <n v="168"/>
    <s v="F1"/>
    <x v="7"/>
    <s v="P000001174"/>
    <s v="EL-SC-DO Process Development OptronicsIO"/>
    <m/>
    <s v="Rename"/>
    <x v="0"/>
    <x v="0"/>
    <s v="EL"/>
    <m/>
    <m/>
    <s v="Eivy Denine Cruz"/>
  </r>
  <r>
    <n v="169"/>
    <s v="F1"/>
    <x v="7"/>
    <s v="P000001081"/>
    <s v="EL-SC-DX Projects"/>
    <m/>
    <s v="Rename"/>
    <x v="0"/>
    <x v="0"/>
    <s v="EL"/>
    <m/>
    <m/>
    <s v="Eivy Denine Cruz"/>
  </r>
  <r>
    <n v="170"/>
    <s v="F1"/>
    <x v="7"/>
    <s v="P000001082"/>
    <s v="EL-SC-DX Investments"/>
    <m/>
    <s v="Rename"/>
    <x v="0"/>
    <x v="0"/>
    <s v="EL"/>
    <m/>
    <m/>
    <s v="Eivy Denine Cruz"/>
  </r>
  <r>
    <n v="171"/>
    <s v="F1"/>
    <x v="7"/>
    <s v="P000000635"/>
    <s v="EL-SC-E Engineering"/>
    <m/>
    <s v="Rename"/>
    <x v="0"/>
    <x v="0"/>
    <s v="EL"/>
    <m/>
    <m/>
    <s v="Eivy Denine Cruz"/>
  </r>
  <r>
    <n v="172"/>
    <s v="F1"/>
    <x v="7"/>
    <s v="P000001187"/>
    <s v="EL-SC-E Engineering Head"/>
    <m/>
    <s v="Rename"/>
    <x v="0"/>
    <x v="0"/>
    <s v="EL"/>
    <m/>
    <m/>
    <s v="Eivy Denine Cruz"/>
  </r>
  <r>
    <n v="173"/>
    <s v="F1"/>
    <x v="7"/>
    <s v="P000001188"/>
    <s v="EL-SC-EC Regional Engineering China/Taiw"/>
    <m/>
    <s v="Rename"/>
    <x v="0"/>
    <x v="0"/>
    <s v="EL"/>
    <m/>
    <m/>
    <s v="Eivy Denine Cruz"/>
  </r>
  <r>
    <n v="174"/>
    <s v="F1"/>
    <x v="7"/>
    <s v="P000001189"/>
    <s v="EL-SC-EK Regional Engineering Korea"/>
    <m/>
    <s v="Rename"/>
    <x v="0"/>
    <x v="0"/>
    <s v="EL"/>
    <m/>
    <m/>
    <s v="Eivy Denine Cruz"/>
  </r>
  <r>
    <n v="175"/>
    <s v="F1"/>
    <x v="7"/>
    <s v="P000001191"/>
    <s v="EL-SC-EE Global Capital Efficiency &amp; Pro"/>
    <m/>
    <s v="Rename"/>
    <x v="0"/>
    <x v="0"/>
    <s v="EL"/>
    <m/>
    <m/>
    <s v="Eivy Denine Cruz"/>
  </r>
  <r>
    <n v="176"/>
    <s v="F1"/>
    <x v="8"/>
    <s v="G000000414 "/>
    <m/>
    <s v="G000000873"/>
    <s v="Move"/>
    <x v="0"/>
    <x v="0"/>
    <s v="MGF"/>
    <m/>
    <m/>
    <s v="Francesco Ricioppo"/>
  </r>
  <r>
    <n v="177"/>
    <s v="F1"/>
    <x v="8"/>
    <s v="G000000415"/>
    <m/>
    <s v="G000000873"/>
    <s v="Move"/>
    <x v="0"/>
    <x v="0"/>
    <s v="MGF"/>
    <m/>
    <m/>
    <s v="Francesco Ricioppo"/>
  </r>
  <r>
    <n v="178"/>
    <s v="F1"/>
    <x v="8"/>
    <s v="G000000879 "/>
    <m/>
    <s v="G000000873"/>
    <s v="Move"/>
    <x v="0"/>
    <x v="0"/>
    <s v="MGF"/>
    <m/>
    <m/>
    <s v="Francesco Ricioppo"/>
  </r>
  <r>
    <n v="179"/>
    <s v="F1"/>
    <x v="8"/>
    <s v="G000000417"/>
    <m/>
    <s v="G000000873"/>
    <s v="Move"/>
    <x v="0"/>
    <x v="0"/>
    <s v="MGF"/>
    <m/>
    <m/>
    <s v="Francesco Ricioppo"/>
  </r>
  <r>
    <n v="180"/>
    <s v="F1"/>
    <x v="8"/>
    <s v="G000000880"/>
    <m/>
    <s v="G000000873"/>
    <s v="Move"/>
    <x v="0"/>
    <x v="0"/>
    <s v="MGF"/>
    <m/>
    <m/>
    <s v="Francesco Ricioppo"/>
  </r>
  <r>
    <n v="181"/>
    <s v="F1"/>
    <x v="8"/>
    <s v="G000000881"/>
    <m/>
    <s v="G000000873"/>
    <s v="Move"/>
    <x v="0"/>
    <x v="0"/>
    <s v="MGF"/>
    <m/>
    <m/>
    <s v="Francesco Ricioppo"/>
  </r>
  <r>
    <n v="182"/>
    <s v="F1"/>
    <x v="8"/>
    <s v="G000000495 "/>
    <m/>
    <s v="G000000523"/>
    <s v="Move"/>
    <x v="0"/>
    <x v="0"/>
    <s v="MGF"/>
    <m/>
    <m/>
    <s v="Francesco Ricioppo"/>
  </r>
  <r>
    <n v="183"/>
    <s v="F1"/>
    <x v="9"/>
    <s v="P000001259"/>
    <s v="EL-PS Support Functions"/>
    <s v="P000000024"/>
    <s v="New"/>
    <x v="0"/>
    <x v="0"/>
    <s v="EL"/>
    <m/>
    <m/>
    <s v="Eivy Denine Cruz"/>
  </r>
  <r>
    <n v="184"/>
    <s v="F1"/>
    <x v="9"/>
    <s v="P000001260"/>
    <s v="EL-PSL Legal"/>
    <s v="P000001259"/>
    <s v="New"/>
    <x v="0"/>
    <x v="0"/>
    <s v="EL"/>
    <m/>
    <m/>
    <s v="Eivy Denine Cruz"/>
  </r>
  <r>
    <n v="185"/>
    <s v="F1"/>
    <x v="9"/>
    <s v="P000001261"/>
    <s v="EL-PSH HR"/>
    <s v="P000001259"/>
    <s v="New"/>
    <x v="0"/>
    <x v="0"/>
    <s v="EL"/>
    <m/>
    <m/>
    <s v="Eivy Denine Cruz"/>
  </r>
  <r>
    <n v="186"/>
    <s v="F1"/>
    <x v="9"/>
    <s v="P000001262"/>
    <s v="EL-PSF Finance"/>
    <s v="P000001259"/>
    <s v="New"/>
    <x v="0"/>
    <x v="0"/>
    <s v="EL"/>
    <m/>
    <m/>
    <s v="Eivy Denine Cruz"/>
  </r>
  <r>
    <n v="187"/>
    <s v="F1"/>
    <x v="9"/>
    <s v="P000001263"/>
    <s v="EL-PSP Procurement"/>
    <s v="P000001259"/>
    <s v="New"/>
    <x v="0"/>
    <x v="0"/>
    <s v="EL"/>
    <m/>
    <m/>
    <s v="Eivy Denine Cruz"/>
  </r>
  <r>
    <n v="188"/>
    <s v="F1"/>
    <x v="9"/>
    <s v="P000001264"/>
    <s v="EL-PSI IT"/>
    <s v="P000001259"/>
    <s v="New"/>
    <x v="0"/>
    <x v="0"/>
    <s v="EL"/>
    <m/>
    <m/>
    <s v="Eivy Denine Cruz"/>
  </r>
  <r>
    <n v="189"/>
    <s v="F1"/>
    <x v="9"/>
    <s v="P000000148"/>
    <s v="EL-PS-O Global Operations General"/>
    <m/>
    <s v="Rename"/>
    <x v="0"/>
    <x v="0"/>
    <s v="EL"/>
    <m/>
    <m/>
    <s v="Eivy Denine Cruz"/>
  </r>
  <r>
    <n v="190"/>
    <s v="F1"/>
    <x v="10"/>
    <s v="G000001023"/>
    <m/>
    <s v="G000000873"/>
    <s v="Move"/>
    <x v="0"/>
    <x v="0"/>
    <s v="MGF"/>
    <m/>
    <m/>
    <s v="Francesco Ricioppo"/>
  </r>
  <r>
    <n v="191"/>
    <s v="F1"/>
    <x v="10"/>
    <s v="G000001024"/>
    <m/>
    <s v="G000000873"/>
    <s v="Move"/>
    <x v="0"/>
    <x v="0"/>
    <s v="MGF"/>
    <m/>
    <m/>
    <s v="Francesco Ricioppo"/>
  </r>
  <r>
    <n v="192"/>
    <s v="F1"/>
    <x v="10"/>
    <s v="G000000950"/>
    <m/>
    <s v="G000000873"/>
    <s v="Move"/>
    <x v="0"/>
    <x v="0"/>
    <s v="MGF"/>
    <m/>
    <m/>
    <s v="Francesco Ricioppo"/>
  </r>
  <r>
    <n v="193"/>
    <s v="F1"/>
    <x v="10"/>
    <s v="G000000415"/>
    <m/>
    <s v="G000000873"/>
    <s v="Move"/>
    <x v="0"/>
    <x v="0"/>
    <s v="MGF"/>
    <m/>
    <m/>
    <s v="Francesco Ricioppo"/>
  </r>
  <r>
    <n v="194"/>
    <s v="F1"/>
    <x v="10"/>
    <s v="G000000414"/>
    <m/>
    <s v="G000000873"/>
    <s v="Move"/>
    <x v="0"/>
    <x v="0"/>
    <s v="MGF"/>
    <m/>
    <m/>
    <s v="Francesco Ricioppo"/>
  </r>
  <r>
    <n v="195"/>
    <s v="F1"/>
    <x v="10"/>
    <s v="G000000417"/>
    <m/>
    <s v="G000000873"/>
    <s v="Move"/>
    <x v="0"/>
    <x v="0"/>
    <s v="MGF"/>
    <m/>
    <m/>
    <s v="Francesco Ricioppo"/>
  </r>
  <r>
    <n v="196"/>
    <s v="F1"/>
    <x v="10"/>
    <s v="G000000880"/>
    <m/>
    <s v="G000000873"/>
    <s v="Move"/>
    <x v="0"/>
    <x v="0"/>
    <s v="MGF"/>
    <m/>
    <m/>
    <s v="Francesco Ricioppo"/>
  </r>
  <r>
    <n v="197"/>
    <s v="F1"/>
    <x v="10"/>
    <s v="G000000881"/>
    <m/>
    <s v="G000000873"/>
    <s v="Move"/>
    <x v="0"/>
    <x v="0"/>
    <s v="MGF"/>
    <m/>
    <m/>
    <s v="Francesco Ricioppo"/>
  </r>
  <r>
    <n v="198"/>
    <s v="F1"/>
    <x v="10"/>
    <s v="G000000363"/>
    <m/>
    <s v="G000000873"/>
    <s v="Move"/>
    <x v="0"/>
    <x v="0"/>
    <s v="MGF"/>
    <m/>
    <m/>
    <s v="Francesco Ricioppo"/>
  </r>
  <r>
    <n v="199"/>
    <s v="F1"/>
    <x v="10"/>
    <s v="G000000888"/>
    <m/>
    <s v="G000000873"/>
    <s v="Move"/>
    <x v="0"/>
    <x v="0"/>
    <s v="MGF"/>
    <m/>
    <m/>
    <s v="Francesco Ricioppo"/>
  </r>
  <r>
    <n v="200"/>
    <s v="F1"/>
    <x v="10"/>
    <s v="G000001008"/>
    <m/>
    <s v="G000000873"/>
    <s v="Move"/>
    <x v="0"/>
    <x v="0"/>
    <s v="MGF"/>
    <m/>
    <m/>
    <s v="Francesco Ricioppo"/>
  </r>
  <r>
    <n v="201"/>
    <s v="F1"/>
    <x v="10"/>
    <s v="G000000471"/>
    <m/>
    <s v="G000000873"/>
    <s v="Move"/>
    <x v="0"/>
    <x v="0"/>
    <s v="MGF"/>
    <m/>
    <m/>
    <s v="Francesco Ricioppo"/>
  </r>
  <r>
    <n v="202"/>
    <s v="F1"/>
    <x v="10"/>
    <s v="G000000467"/>
    <m/>
    <s v="G000000873"/>
    <s v="Move"/>
    <x v="0"/>
    <x v="0"/>
    <s v="MGF"/>
    <m/>
    <m/>
    <s v="Francesco Ricioppo"/>
  </r>
  <r>
    <n v="203"/>
    <s v="F1"/>
    <x v="11"/>
    <s v="P000001265"/>
    <s v="IC Cross charges"/>
    <s v="P000001209"/>
    <s v="New"/>
    <x v="0"/>
    <x v="0"/>
    <s v="EL"/>
    <m/>
    <m/>
    <s v="Eivy Denine Cruz"/>
  </r>
  <r>
    <n v="204"/>
    <s v="F1"/>
    <x v="11"/>
    <s v="P000001266"/>
    <s v="IC Cross charges"/>
    <s v="P000001243"/>
    <s v="New"/>
    <x v="0"/>
    <x v="0"/>
    <s v="EL"/>
    <m/>
    <m/>
    <s v="Eivy Denine Cruz"/>
  </r>
  <r>
    <n v="205"/>
    <s v="F1"/>
    <x v="11"/>
    <s v="P000001267"/>
    <s v="Licrivision"/>
    <s v="P000000590"/>
    <s v="New"/>
    <x v="0"/>
    <x v="0"/>
    <s v="EL"/>
    <m/>
    <m/>
    <s v="Eivy Denine Cruz"/>
  </r>
  <r>
    <n v="206"/>
    <s v="F1"/>
    <x v="12"/>
    <s v="L000013824"/>
    <s v="mRNA CDMO QAO"/>
    <s v="L000013595"/>
    <s v="New"/>
    <x v="0"/>
    <x v="0"/>
    <s v="MGF"/>
    <m/>
    <m/>
    <s v="Marvin Graef"/>
  </r>
  <r>
    <n v="207"/>
    <s v="F1"/>
    <x v="12"/>
    <s v="L000013825"/>
    <s v="mRNA CDMO Support Functions"/>
    <s v="L000013595"/>
    <s v="New"/>
    <x v="0"/>
    <x v="0"/>
    <s v="MGF"/>
    <m/>
    <m/>
    <s v="Marvin Graef"/>
  </r>
  <r>
    <n v="208"/>
    <s v="F1"/>
    <x v="13"/>
    <s v="P000000331"/>
    <s v="Quality Gernsheim"/>
    <m/>
    <s v="Rename"/>
    <x v="0"/>
    <x v="0"/>
    <s v="EL"/>
    <m/>
    <m/>
    <s v="Eivy Denine Cruz"/>
  </r>
  <r>
    <n v="209"/>
    <s v="F2"/>
    <x v="14"/>
    <s v="G000000918"/>
    <m/>
    <s v="G000000392"/>
    <s v="Move"/>
    <x v="0"/>
    <x v="0"/>
    <s v="MGF"/>
    <s v="MOVED in 1000 both KR00"/>
    <m/>
    <s v="Marcus Morowski"/>
  </r>
  <r>
    <n v="210"/>
    <s v="F2"/>
    <x v="15"/>
    <s v="G000000537"/>
    <m/>
    <s v="G000000873"/>
    <s v="Move"/>
    <x v="0"/>
    <x v="0"/>
    <s v="MGF"/>
    <s v="MOVED in 1000 both KR00"/>
    <m/>
    <s v="Francesco Ricioppo"/>
  </r>
  <r>
    <n v="211"/>
    <s v="F2"/>
    <x v="16"/>
    <s v="G000000474"/>
    <m/>
    <s v="G000000397"/>
    <s v="Move"/>
    <x v="0"/>
    <x v="0"/>
    <s v="MGF"/>
    <s v="MOVED in 1000 both KR00"/>
    <m/>
    <s v="Francesco Ricioppo"/>
  </r>
  <r>
    <n v="212"/>
    <s v="F2"/>
    <x v="16"/>
    <s v="G000000478"/>
    <m/>
    <s v="G000000397"/>
    <s v="Move"/>
    <x v="0"/>
    <x v="0"/>
    <s v="MGF"/>
    <s v="MOVED in 1000 both KR00"/>
    <m/>
    <s v="Francesco Ricioppo"/>
  </r>
  <r>
    <n v="213"/>
    <s v="F2"/>
    <x v="16"/>
    <s v="G000000443"/>
    <m/>
    <s v="G000000873"/>
    <s v="Move"/>
    <x v="0"/>
    <x v="0"/>
    <s v="MGF"/>
    <s v="MOVED in 1000 both KR00"/>
    <m/>
    <s v="Francesco Ricioppo"/>
  </r>
  <r>
    <n v="214"/>
    <s v="F2"/>
    <x v="16"/>
    <s v="G000000446"/>
    <m/>
    <s v="G000000873"/>
    <s v="Move"/>
    <x v="0"/>
    <x v="0"/>
    <s v="MGF"/>
    <s v="MOVED in 1000 both KR00"/>
    <m/>
    <s v="Francesco Ricioppo"/>
  </r>
  <r>
    <n v="215"/>
    <s v="F2"/>
    <x v="16"/>
    <s v="G000000447"/>
    <m/>
    <s v="G000000873"/>
    <s v="Move"/>
    <x v="0"/>
    <x v="0"/>
    <s v="MGF"/>
    <s v="MOVED in 1000 both KR00"/>
    <m/>
    <s v="Francesco Ricioppo"/>
  </r>
  <r>
    <n v="216"/>
    <s v="F2"/>
    <x v="17"/>
    <s v="G000000951"/>
    <s v="SC Gebaeude Electronics DA"/>
    <m/>
    <s v="Rename"/>
    <x v="0"/>
    <x v="0"/>
    <s v="MGF"/>
    <s v="Created on both 1000; name is okay"/>
    <m/>
    <s v="Francesco Ricioppo"/>
  </r>
  <r>
    <n v="217"/>
    <s v="F2"/>
    <x v="17"/>
    <s v="G000000531"/>
    <s v="Freiflaechen und allg. Infrastruktur"/>
    <m/>
    <s v="Rename"/>
    <x v="0"/>
    <x v="0"/>
    <s v="MGF"/>
    <s v="Created on both 1000; name is okay"/>
    <m/>
    <s v="Francesco Ricioppo"/>
  </r>
  <r>
    <n v="218"/>
    <s v="F2"/>
    <x v="17"/>
    <s v="G000000532"/>
    <s v="Freiflaechen und Parken"/>
    <m/>
    <s v="Rename"/>
    <x v="0"/>
    <x v="0"/>
    <s v="MGF"/>
    <s v="Created on both 1000; name is okay"/>
    <m/>
    <s v="Francesco Ricioppo"/>
  </r>
  <r>
    <n v="219"/>
    <s v="F2"/>
    <x v="17"/>
    <s v="G000000945"/>
    <s v="Allgemeine Infrastruktur"/>
    <m/>
    <s v="Rename"/>
    <x v="0"/>
    <x v="0"/>
    <s v="MGF"/>
    <s v="Created on both 1000; name is okay"/>
    <m/>
    <s v="Francesco Ricioppo"/>
  </r>
  <r>
    <n v="220"/>
    <s v="F2"/>
    <x v="18"/>
    <s v="G000000089 "/>
    <s v="SM-IE Energy Operations &amp; Management"/>
    <m/>
    <s v="Rename"/>
    <x v="0"/>
    <x v="0"/>
    <s v="MGF"/>
    <s v="Created on both 1000; name is okay"/>
    <m/>
    <s v="Francesco Ricioppo"/>
  </r>
  <r>
    <n v="221"/>
    <s v="F2"/>
    <x v="19"/>
    <s v="G000000472"/>
    <s v="SM-HI Ideenmanagement"/>
    <s v="G000000359"/>
    <s v="Rename/Move"/>
    <x v="0"/>
    <x v="0"/>
    <s v="MGF"/>
    <s v="Created on both 1000; name is okay"/>
    <m/>
    <s v="Francesco Ricioppo"/>
  </r>
  <r>
    <n v="222"/>
    <s v="F2"/>
    <x v="20"/>
    <s v="L000013826"/>
    <s v="LW - Ecommerce Specialist"/>
    <s v="L000013126"/>
    <s v="New"/>
    <x v="0"/>
    <x v="0"/>
    <s v="LS"/>
    <s v="Created on both 1000; name is okay"/>
    <m/>
    <s v="Ruby Grace Garcia"/>
  </r>
  <r>
    <n v="223"/>
    <s v="F2"/>
    <x v="20"/>
    <s v="L000013827"/>
    <s v="LW - Global Digital Camp"/>
    <s v="L000013126"/>
    <s v="New"/>
    <x v="0"/>
    <x v="0"/>
    <s v="LS"/>
    <s v="Created on both 1000; name is okay"/>
    <m/>
    <s v="Ruby Grace Garcia"/>
  </r>
  <r>
    <n v="224"/>
    <s v="F2"/>
    <x v="20"/>
    <s v="L000013828"/>
    <s v="LW - Content Manager"/>
    <s v="L000013126"/>
    <s v="New"/>
    <x v="0"/>
    <x v="0"/>
    <s v="LS"/>
    <s v="Created on both 1000; name is okay"/>
    <m/>
    <s v="Ruby Grace Garcia"/>
  </r>
  <r>
    <n v="225"/>
    <s v="F2"/>
    <x v="20"/>
    <s v="L000013829"/>
    <s v="LW - Mark&amp;Digit Comm Spe"/>
    <s v="L000013126"/>
    <s v="New"/>
    <x v="0"/>
    <x v="0"/>
    <s v="LS"/>
    <s v="Created on both 1000; name is okay"/>
    <m/>
    <s v="Ruby Grace Garcia"/>
  </r>
  <r>
    <n v="226"/>
    <s v="F2"/>
    <x v="20"/>
    <s v="L000013830"/>
    <s v="Schnelldorf DF Operations CCV"/>
    <s v="L000012340"/>
    <s v="New"/>
    <x v="0"/>
    <x v="0"/>
    <s v="LS"/>
    <s v="Created on both 1000; name is okay"/>
    <m/>
    <s v="Ruby Grace Garcia"/>
  </r>
  <r>
    <n v="227"/>
    <s v="F2"/>
    <x v="20"/>
    <s v="L000013831"/>
    <s v="LS ERP Travel"/>
    <s v="L000013799"/>
    <s v="New"/>
    <x v="0"/>
    <x v="0"/>
    <s v="LS"/>
    <s v="Created on both 1000; name is okay"/>
    <m/>
    <s v="Ruby Grace Garcia"/>
  </r>
  <r>
    <n v="228"/>
    <s v="F2"/>
    <x v="20"/>
    <s v="L000013832"/>
    <s v="Darmstadt Freight Services -G"/>
    <s v="L000009975"/>
    <s v="New"/>
    <x v="0"/>
    <x v="0"/>
    <s v="LS"/>
    <s v="Created on both 1000; name is okay"/>
    <m/>
    <s v="Ruby Grace Garcia"/>
  </r>
  <r>
    <n v="229"/>
    <s v="F2"/>
    <x v="20"/>
    <s v="L000013833"/>
    <s v="Gernsheim Operations"/>
    <s v="L000013451"/>
    <s v="New"/>
    <x v="0"/>
    <x v="0"/>
    <s v="LS"/>
    <s v="Created on both 1000; name is okay"/>
    <m/>
    <s v="Ruby Grace Garcia"/>
  </r>
  <r>
    <n v="230"/>
    <s v="F2"/>
    <x v="20"/>
    <s v="L000013834"/>
    <s v="PG-3 Production"/>
    <s v="L000013833"/>
    <s v="New"/>
    <x v="0"/>
    <x v="0"/>
    <s v="LS"/>
    <s v="Created on both 1000; name is okay"/>
    <m/>
    <s v="Ruby Grace Garcia"/>
  </r>
  <r>
    <n v="231"/>
    <s v="F2"/>
    <x v="20"/>
    <s v="L000013835"/>
    <s v="PG-8 Production"/>
    <s v="L000013833"/>
    <s v="New"/>
    <x v="0"/>
    <x v="0"/>
    <s v="LS"/>
    <s v="Created on both 1000; name is okay"/>
    <m/>
    <s v="Ruby Grace Garcia"/>
  </r>
  <r>
    <n v="232"/>
    <s v="F2"/>
    <x v="20"/>
    <s v="L000013836"/>
    <s v="LSS Digital Transformation"/>
    <s v="L000013779"/>
    <s v="New"/>
    <x v="0"/>
    <x v="0"/>
    <s v="LS"/>
    <s v="Created on both 1000; name is okay"/>
    <m/>
    <s v="Ruby Grace Garcia"/>
  </r>
  <r>
    <n v="233"/>
    <s v="F2"/>
    <x v="20"/>
    <s v="L000013837"/>
    <s v="GoGlobal Program PS Marketing Center"/>
    <s v="L000013854"/>
    <s v="New"/>
    <x v="0"/>
    <x v="0"/>
    <s v="LS"/>
    <s v="Created on both 1000; name is okay"/>
    <m/>
    <s v="Ruby Grace Garcia"/>
  </r>
  <r>
    <n v="234"/>
    <s v="F2"/>
    <x v="20"/>
    <s v="L000013838"/>
    <s v="GoGlobal Program Downstream Franchises"/>
    <s v="L000013856"/>
    <s v="New"/>
    <x v="0"/>
    <x v="0"/>
    <s v="LS"/>
    <s v="Created on both 1000; name is okay"/>
    <m/>
    <s v="Ruby Grace Garcia"/>
  </r>
  <r>
    <n v="235"/>
    <s v="F2"/>
    <x v="20"/>
    <s v="L000013839"/>
    <s v="GoGlobal Program UPM"/>
    <s v="L000013553"/>
    <s v="New"/>
    <x v="0"/>
    <x v="0"/>
    <s v="LS"/>
    <s v="Created on both 1000; name is okay"/>
    <m/>
    <s v="Ruby Grace Garcia"/>
  </r>
  <r>
    <n v="236"/>
    <s v="F2"/>
    <x v="20"/>
    <s v="L000013840"/>
    <s v="Process Liquids &amp; Buffers"/>
    <s v="L000013553"/>
    <s v="New"/>
    <x v="0"/>
    <x v="0"/>
    <s v="LS"/>
    <s v="Created on both 1000; name is okay"/>
    <m/>
    <s v="Ruby Grace Garcia"/>
  </r>
  <r>
    <n v="237"/>
    <s v="F2"/>
    <x v="20"/>
    <s v="L000013841"/>
    <s v="Cell Lines &amp; CCM"/>
    <s v="L000013553"/>
    <s v="New"/>
    <x v="0"/>
    <x v="0"/>
    <s v="LS"/>
    <s v="Created on both 1000; name is okay"/>
    <m/>
    <s v="Ruby Grace Garcia"/>
  </r>
  <r>
    <n v="238"/>
    <s v="F2"/>
    <x v="20"/>
    <s v="L000013842"/>
    <s v="UPM - Strategy &amp; Execution"/>
    <s v="L000013553"/>
    <s v="New"/>
    <x v="0"/>
    <x v="0"/>
    <s v="LS"/>
    <s v="Created on both 1000; name is okay"/>
    <m/>
    <s v="Ruby Grace Garcia"/>
  </r>
  <r>
    <n v="239"/>
    <s v="F2"/>
    <x v="20"/>
    <s v="L000013843"/>
    <s v="Solid &amp; Liquid Formulations"/>
    <s v="L000013553"/>
    <s v="New"/>
    <x v="0"/>
    <x v="0"/>
    <s v="LS"/>
    <s v="Created on both 1000; name is okay"/>
    <m/>
    <s v="Ruby Grace Garcia"/>
  </r>
  <r>
    <n v="240"/>
    <s v="F2"/>
    <x v="20"/>
    <s v="L000013844"/>
    <s v="Excipients Liquid Applications"/>
    <s v="L000013553"/>
    <s v="New"/>
    <x v="0"/>
    <x v="0"/>
    <s v="LS"/>
    <s v="Created on both 1000; name is okay"/>
    <m/>
    <s v="Ruby Grace Garcia"/>
  </r>
  <r>
    <n v="241"/>
    <s v="F2"/>
    <x v="20"/>
    <s v="L000013845"/>
    <s v="UPM Management"/>
    <s v="L000013553"/>
    <s v="New"/>
    <x v="0"/>
    <x v="0"/>
    <s v="LS"/>
    <s v="Created on both 1000; name is okay"/>
    <m/>
    <s v="Ruby Grace Garcia"/>
  </r>
  <r>
    <n v="242"/>
    <s v="F2"/>
    <x v="20"/>
    <s v="L000013846"/>
    <s v="Single Use - Hardware Services"/>
    <s v="L000013554"/>
    <s v="New"/>
    <x v="0"/>
    <x v="0"/>
    <s v="LS"/>
    <s v="Created on both 1000; name is okay"/>
    <m/>
    <s v="Ruby Grace Garcia"/>
  </r>
  <r>
    <n v="243"/>
    <s v="F2"/>
    <x v="20"/>
    <s v="L000013847"/>
    <s v="Single Use - Management"/>
    <s v="L000013554"/>
    <s v="New"/>
    <x v="0"/>
    <x v="0"/>
    <s v="LS"/>
    <s v="Created on both 1000; name is okay"/>
    <m/>
    <s v="Ruby Grace Garcia"/>
  </r>
  <r>
    <n v="244"/>
    <s v="F2"/>
    <x v="20"/>
    <s v="L000013848"/>
    <s v="Single Use - Core"/>
    <s v="L000013554"/>
    <s v="New"/>
    <x v="0"/>
    <x v="0"/>
    <s v="LS"/>
    <s v="Created on both 1000; name is okay"/>
    <m/>
    <s v="Ruby Grace Garcia"/>
  </r>
  <r>
    <n v="245"/>
    <s v="F2"/>
    <x v="20"/>
    <s v="L000013849"/>
    <s v="Single Use - Growth Segments"/>
    <s v="L000013554"/>
    <s v="New"/>
    <x v="0"/>
    <x v="0"/>
    <s v="LS"/>
    <s v="Created on both 1000; name is okay"/>
    <m/>
    <s v="Ruby Grace Garcia"/>
  </r>
  <r>
    <n v="246"/>
    <s v="F2"/>
    <x v="20"/>
    <s v="L000013850"/>
    <s v="Single Use - Integrated Platform Solut"/>
    <s v="L000013554"/>
    <s v="New"/>
    <x v="0"/>
    <x v="0"/>
    <s v="LS"/>
    <s v="Created on both 1000; name is okay"/>
    <m/>
    <s v="Ruby Grace Garcia"/>
  </r>
  <r>
    <n v="247"/>
    <s v="F2"/>
    <x v="20"/>
    <s v="L000013851"/>
    <s v="Single Use - Market Positioning"/>
    <s v="L000013554"/>
    <s v="New"/>
    <x v="0"/>
    <x v="0"/>
    <s v="LS"/>
    <s v="Created on both 1000; name is okay"/>
    <m/>
    <s v="Ruby Grace Garcia"/>
  </r>
  <r>
    <n v="248"/>
    <s v="F2"/>
    <x v="2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249"/>
    <s v="F2"/>
    <x v="20"/>
    <s v="L000013853"/>
    <s v="Single Use - Portfolio Operations"/>
    <s v="L000013554"/>
    <s v="New"/>
    <x v="0"/>
    <x v="0"/>
    <s v="LS"/>
    <s v="Created on both 1000; name is okay"/>
    <m/>
    <s v="Ruby Grace Garcia"/>
  </r>
  <r>
    <n v="250"/>
    <s v="F2"/>
    <x v="20"/>
    <s v="L000013854"/>
    <s v="PS Marketing Center"/>
    <s v="L000006294"/>
    <s v="New"/>
    <x v="0"/>
    <x v="0"/>
    <s v="LS"/>
    <s v="Created on both 1000; name is okay"/>
    <m/>
    <s v="Ruby Grace Garcia"/>
  </r>
  <r>
    <n v="251"/>
    <s v="F2"/>
    <x v="20"/>
    <s v="L000013855"/>
    <s v="Focused Modalities and BP&amp;I"/>
    <s v="L000013854"/>
    <s v="New"/>
    <x v="0"/>
    <x v="0"/>
    <s v="LS"/>
    <s v="Created on both 1000; name is okay"/>
    <m/>
    <s v="Ruby Grace Garcia"/>
  </r>
  <r>
    <n v="252"/>
    <s v="F2"/>
    <x v="2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253"/>
    <s v="F2"/>
    <x v="20"/>
    <s v="L000013857"/>
    <s v="Downstream Management"/>
    <s v="L000013856"/>
    <s v="New"/>
    <x v="0"/>
    <x v="0"/>
    <s v="LS"/>
    <s v="Created on both 1000; name is okay"/>
    <m/>
    <s v="Ruby Grace Garcia"/>
  </r>
  <r>
    <n v="254"/>
    <s v="F2"/>
    <x v="2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255"/>
    <s v="F2"/>
    <x v="20"/>
    <s v="L000013859"/>
    <s v="Downstream Strategy &amp; Execution"/>
    <s v="L000013856"/>
    <s v="New"/>
    <x v="0"/>
    <x v="0"/>
    <s v="LS"/>
    <s v="Created on both 1000; name is okay"/>
    <m/>
    <s v="Ruby Grace Garcia"/>
  </r>
  <r>
    <n v="256"/>
    <s v="F2"/>
    <x v="20"/>
    <s v="L000013860"/>
    <s v="Validation Services &amp; Quality"/>
    <s v="L000013856"/>
    <s v="New"/>
    <x v="0"/>
    <x v="0"/>
    <s v="LS"/>
    <s v="Created on both 1000; name is okay"/>
    <m/>
    <s v="Ruby Grace Garcia"/>
  </r>
  <r>
    <n v="257"/>
    <s v="F2"/>
    <x v="20"/>
    <s v="L000013861"/>
    <s v="CDMO &amp; Bioprocess Materials"/>
    <s v="L000011390"/>
    <s v="New"/>
    <x v="0"/>
    <x v="0"/>
    <s v="LS"/>
    <s v="Created on both 1000; name is okay"/>
    <m/>
    <s v="Ruby Grace Garcia"/>
  </r>
  <r>
    <n v="258"/>
    <s v="F2"/>
    <x v="20"/>
    <s v="L000013862"/>
    <s v="Reg Mgmt &amp; Trade Comp."/>
    <s v="L000011390"/>
    <s v="New"/>
    <x v="0"/>
    <x v="0"/>
    <s v="LS"/>
    <s v="Created on both 1000; name is okay"/>
    <m/>
    <s v="Ruby Grace Garcia"/>
  </r>
  <r>
    <n v="259"/>
    <s v="F2"/>
    <x v="20"/>
    <s v="L000013863"/>
    <s v="DV Validation Management"/>
    <s v="L000011357"/>
    <s v="New"/>
    <x v="0"/>
    <x v="0"/>
    <s v="LS"/>
    <s v="Created on both 1000; name is okay"/>
    <m/>
    <s v="Ruby Grace Garcia"/>
  </r>
  <r>
    <n v="260"/>
    <s v="F2"/>
    <x v="20"/>
    <s v="L000013864"/>
    <s v="LSS Engineering"/>
    <s v="L000013452"/>
    <s v="New"/>
    <x v="0"/>
    <x v="0"/>
    <s v="LS"/>
    <s v="Created on both 1000; name is okay"/>
    <m/>
    <s v="Ruby Grace Garcia"/>
  </r>
  <r>
    <n v="261"/>
    <s v="F2"/>
    <x v="20"/>
    <s v="L000013865"/>
    <s v="E&amp;T LT"/>
    <s v="L000013452"/>
    <s v="New"/>
    <x v="0"/>
    <x v="0"/>
    <s v="LS"/>
    <s v="Created on both 1000; name is okay"/>
    <m/>
    <s v="Ruby Grace Garcia"/>
  </r>
  <r>
    <n v="262"/>
    <s v="F2"/>
    <x v="20"/>
    <s v="L000013866"/>
    <s v="Proj &amp; Eng - EMEA"/>
    <s v="L000013452"/>
    <s v="New"/>
    <x v="0"/>
    <x v="0"/>
    <s v="LS"/>
    <s v="Created on both 1000; name is okay"/>
    <m/>
    <s v="Ruby Grace Garcia"/>
  </r>
  <r>
    <n v="263"/>
    <s v="F2"/>
    <x v="20"/>
    <s v="L000013867"/>
    <s v="Global Eng &amp; SMEs"/>
    <s v="L000013452"/>
    <s v="New"/>
    <x v="0"/>
    <x v="0"/>
    <s v="LS"/>
    <s v="Created on both 1000; name is okay"/>
    <m/>
    <s v="Ruby Grace Garcia"/>
  </r>
  <r>
    <n v="264"/>
    <s v="F2"/>
    <x v="20"/>
    <s v="L000013868"/>
    <s v="LS-SC-EW Global Eng &amp;SMEs"/>
    <s v="L000013867"/>
    <s v="New"/>
    <x v="0"/>
    <x v="0"/>
    <s v="LS"/>
    <s v="Created on both 1000; name is okay"/>
    <m/>
    <s v="Ruby Grace Garcia"/>
  </r>
  <r>
    <n v="265"/>
    <s v="F2"/>
    <x v="20"/>
    <s v="L000013869"/>
    <s v="LS-SC-EWA FEE&amp;D"/>
    <s v="L000013867"/>
    <s v="New"/>
    <x v="0"/>
    <x v="0"/>
    <s v="LS"/>
    <s v="Created on both 1000; name is okay"/>
    <m/>
    <s v="Ruby Grace Garcia"/>
  </r>
  <r>
    <n v="266"/>
    <s v="F2"/>
    <x v="20"/>
    <s v="L000013870"/>
    <s v="LS-SC-EWB Global Project Controls"/>
    <s v="L000013867"/>
    <s v="New"/>
    <x v="0"/>
    <x v="0"/>
    <s v="LS"/>
    <s v="Created on both 1000; name is okay"/>
    <m/>
    <s v="Ruby Grace Garcia"/>
  </r>
  <r>
    <n v="267"/>
    <s v="F2"/>
    <x v="20"/>
    <s v="L000013871"/>
    <s v="LS-SC-EWC Global CSA Engineering"/>
    <s v="L000013867"/>
    <s v="New"/>
    <x v="0"/>
    <x v="0"/>
    <s v="LS"/>
    <s v="Created on both 1000; name is okay"/>
    <m/>
    <s v="Ruby Grace Garcia"/>
  </r>
  <r>
    <n v="268"/>
    <s v="F2"/>
    <x v="20"/>
    <s v="L000013872"/>
    <s v="LS-SC-EWDBA Membrane"/>
    <s v="L000013867"/>
    <s v="New"/>
    <x v="0"/>
    <x v="0"/>
    <s v="LS"/>
    <s v="Created on both 1000; name is okay"/>
    <m/>
    <s v="Ruby Grace Garcia"/>
  </r>
  <r>
    <n v="269"/>
    <s v="F2"/>
    <x v="20"/>
    <s v="L000013873"/>
    <s v="LS-SC-EWE GA &amp; OT Eng"/>
    <s v="L000013867"/>
    <s v="New"/>
    <x v="0"/>
    <x v="0"/>
    <s v="LS"/>
    <s v="Created on both 1000; name is okay"/>
    <m/>
    <s v="Ruby Grace Garcia"/>
  </r>
  <r>
    <n v="270"/>
    <s v="F2"/>
    <x v="20"/>
    <s v="L000013874"/>
    <s v="LS-SC-EWG Global Process Engineering"/>
    <s v="L000013867"/>
    <s v="New"/>
    <x v="0"/>
    <x v="0"/>
    <s v="LS"/>
    <s v="Created on both 1000; name is okay"/>
    <m/>
    <s v="Ruby Grace Garcia"/>
  </r>
  <r>
    <n v="271"/>
    <s v="F2"/>
    <x v="20"/>
    <s v="L000013801"/>
    <s v="GES"/>
    <m/>
    <s v="Rename"/>
    <x v="0"/>
    <x v="0"/>
    <s v="LS"/>
    <s v="Created on both 1000; name is okay"/>
    <m/>
    <s v="Ruby Grace Garcia"/>
  </r>
  <r>
    <n v="272"/>
    <s v="F2"/>
    <x v="20"/>
    <s v="L000013803"/>
    <s v="STO - Mgmt, Commercial, Change &amp; Comms"/>
    <m/>
    <s v="Rename"/>
    <x v="0"/>
    <x v="0"/>
    <s v="LS"/>
    <s v="Created on both 1000; name is okay"/>
    <m/>
    <s v="Ruby Grace Garcia"/>
  </r>
  <r>
    <n v="273"/>
    <s v="F2"/>
    <x v="20"/>
    <s v="L000013519"/>
    <s v="PS Business Franchises - to be deleted"/>
    <m/>
    <s v="Rename"/>
    <x v="0"/>
    <x v="0"/>
    <s v="LS"/>
    <s v="Created on both 1000; name is okay"/>
    <m/>
    <s v="Ruby Grace Garcia"/>
  </r>
  <r>
    <n v="274"/>
    <s v="F2"/>
    <x v="20"/>
    <s v="L000007285"/>
    <s v="PSMMOR1975.5032 5032-PSC-Cust to be del"/>
    <m/>
    <s v="Rename"/>
    <x v="0"/>
    <x v="0"/>
    <s v="LS"/>
    <s v="Created on both 1000; name is okay"/>
    <m/>
    <s v="Ruby Grace Garcia"/>
  </r>
  <r>
    <n v="275"/>
    <s v="F2"/>
    <x v="20"/>
    <s v="L000007286"/>
    <s v="PS1000BE40MS1006-PGSTS-LE Lab to be del"/>
    <m/>
    <s v="Rename"/>
    <x v="0"/>
    <x v="0"/>
    <s v="LS"/>
    <s v="Created on both 1000; name is okay"/>
    <m/>
    <s v="Ruby Grace Garcia"/>
  </r>
  <r>
    <n v="276"/>
    <s v="F2"/>
    <x v="20"/>
    <s v="L000007513"/>
    <s v="PS01010000699601-TM lab &amp; ed to be del"/>
    <m/>
    <s v="Rename"/>
    <x v="0"/>
    <x v="0"/>
    <s v="LS"/>
    <s v="Created on both 1000; name is okay"/>
    <m/>
    <s v="Ruby Grace Garcia"/>
  </r>
  <r>
    <n v="277"/>
    <s v="F2"/>
    <x v="20"/>
    <s v="L000013292"/>
    <s v="Global Services Offerings to be del"/>
    <m/>
    <s v="Rename"/>
    <x v="0"/>
    <x v="0"/>
    <s v="LS"/>
    <s v="Created on both 1000; name is okay"/>
    <m/>
    <s v="Ruby Grace Garcia"/>
  </r>
  <r>
    <n v="278"/>
    <s v="F2"/>
    <x v="20"/>
    <s v="L000013557"/>
    <s v="GTM Modality Focus -to be deleted"/>
    <m/>
    <s v="Rename"/>
    <x v="0"/>
    <x v="0"/>
    <s v="LS"/>
    <s v="Created on both 1000; name is okay"/>
    <m/>
    <s v="Ruby Grace Garcia"/>
  </r>
  <r>
    <n v="279"/>
    <s v="F2"/>
    <x v="20"/>
    <s v="L000013559"/>
    <s v="Portfolio Operations - to be deleted"/>
    <m/>
    <s v="Rename"/>
    <x v="0"/>
    <x v="0"/>
    <s v="LS"/>
    <s v="Created on both 1000; name is okay"/>
    <m/>
    <s v="Ruby Grace Garcia"/>
  </r>
  <r>
    <n v="280"/>
    <s v="F2"/>
    <x v="20"/>
    <s v="L000013561"/>
    <s v="Bus Plannning &amp; Implement - to be del"/>
    <m/>
    <s v="Rename"/>
    <x v="0"/>
    <x v="0"/>
    <s v="LS"/>
    <s v="Created on both 1000; name is okay"/>
    <m/>
    <s v="Ruby Grace Garcia"/>
  </r>
  <r>
    <n v="281"/>
    <s v="F2"/>
    <x v="20"/>
    <s v="L000013529"/>
    <s v="PS Digital Experience - to be deleted"/>
    <m/>
    <s v="Rename"/>
    <x v="0"/>
    <x v="0"/>
    <s v="LS"/>
    <s v="Created on both 1000; name is okay"/>
    <m/>
    <s v="Ruby Grace Garcia"/>
  </r>
  <r>
    <n v="282"/>
    <s v="F2"/>
    <x v="20"/>
    <s v="L000011397"/>
    <s v="LS-QRP Pharma, Food Mat. &amp; Medical Dev."/>
    <m/>
    <s v="Rename"/>
    <x v="0"/>
    <x v="0"/>
    <s v="LS"/>
    <s v="Created on both 1000; name is okay"/>
    <m/>
    <s v="Ruby Grace Garcia"/>
  </r>
  <r>
    <n v="283"/>
    <s v="F2"/>
    <x v="20"/>
    <s v="L000011361"/>
    <s v="LS-QD DA Audits"/>
    <m/>
    <s v="Rename"/>
    <x v="0"/>
    <x v="0"/>
    <s v="LS"/>
    <s v="Created on both 1000; name is okay"/>
    <m/>
    <s v="Ruby Grace Garcia"/>
  </r>
  <r>
    <n v="284"/>
    <s v="F2"/>
    <x v="20"/>
    <s v="L000012190"/>
    <s v="Ext Manuf Production -G"/>
    <s v="L000013770"/>
    <s v="Rename/Move"/>
    <x v="0"/>
    <x v="0"/>
    <s v="LS"/>
    <s v="Created on both 1000; name is okay"/>
    <m/>
    <s v="Ruby Grace Garcia"/>
  </r>
  <r>
    <n v="285"/>
    <s v="F2"/>
    <x v="20"/>
    <s v="L000010054"/>
    <s v="Ext Manuf Production Applied-G"/>
    <s v="L000012190"/>
    <s v="Rename/Move"/>
    <x v="0"/>
    <x v="0"/>
    <s v="LS"/>
    <s v="Created on both 1000; name is okay"/>
    <m/>
    <s v="Ruby Grace Garcia"/>
  </r>
  <r>
    <n v="286"/>
    <s v="F2"/>
    <x v="20"/>
    <s v="L000010055"/>
    <s v="Ext Manuf Production Process-G"/>
    <s v="L000012190"/>
    <s v="Rename/Move"/>
    <x v="0"/>
    <x v="0"/>
    <s v="LS"/>
    <s v="Created on both 1000; name is okay"/>
    <m/>
    <s v="Ruby Grace Garcia"/>
  </r>
  <r>
    <n v="287"/>
    <s v="F2"/>
    <x v="2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288"/>
    <s v="F2"/>
    <x v="2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289"/>
    <s v="F2"/>
    <x v="20"/>
    <s v="L000006518"/>
    <s v="Mirus Bio Forecast"/>
    <s v="L000013154"/>
    <s v="Rename/Move"/>
    <x v="0"/>
    <x v="0"/>
    <s v="LS"/>
    <s v="Created on both 1000; name is okay"/>
    <m/>
    <s v="Ruby Grace Garcia"/>
  </r>
  <r>
    <n v="290"/>
    <s v="F2"/>
    <x v="20"/>
    <s v="L000012318"/>
    <s v="GoGlobal Program Single Use"/>
    <s v="L000013554"/>
    <s v="Rename/Move"/>
    <x v="0"/>
    <x v="0"/>
    <s v="LS"/>
    <s v="Created on both 1000; name is okay"/>
    <m/>
    <s v="Ruby Grace Garcia"/>
  </r>
  <r>
    <n v="291"/>
    <s v="F2"/>
    <x v="2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292"/>
    <s v="F2"/>
    <x v="20"/>
    <s v="L000013179"/>
    <s v="UPM Marketing Mgmt -G"/>
    <s v="L000013845"/>
    <s v="Rename/Move"/>
    <x v="0"/>
    <x v="0"/>
    <s v="LS"/>
    <s v="Created on both 1000; name is okay"/>
    <m/>
    <s v="Ruby Grace Garcia"/>
  </r>
  <r>
    <n v="293"/>
    <s v="F2"/>
    <x v="2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294"/>
    <s v="F2"/>
    <x v="20"/>
    <s v="L000013558"/>
    <s v="Marketing and Brand"/>
    <s v="L000013854"/>
    <s v="Rename/Move"/>
    <x v="0"/>
    <x v="0"/>
    <s v="LS"/>
    <s v="Created on both 1000; name is okay"/>
    <m/>
    <s v="Ruby Grace Garcia"/>
  </r>
  <r>
    <n v="295"/>
    <s v="F2"/>
    <x v="20"/>
    <s v="L000013143"/>
    <s v="UPM Portfolio Operations"/>
    <s v="L000013553"/>
    <s v="Rename/Move"/>
    <x v="0"/>
    <x v="0"/>
    <s v="LS"/>
    <s v="Created on both 1000; name is okay"/>
    <m/>
    <s v="Ruby Grace Garcia"/>
  </r>
  <r>
    <n v="296"/>
    <s v="F2"/>
    <x v="20"/>
    <s v="L000013560"/>
    <s v="Pricing and Governance"/>
    <s v="L000013854"/>
    <s v="Rename/Move"/>
    <x v="0"/>
    <x v="0"/>
    <s v="LS"/>
    <s v="Created on both 1000; name is okay"/>
    <m/>
    <s v="Ruby Grace Garcia"/>
  </r>
  <r>
    <n v="297"/>
    <s v="F2"/>
    <x v="2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298"/>
    <s v="F2"/>
    <x v="20"/>
    <s v="L000006562"/>
    <s v="UPM Royalties"/>
    <s v="L000013845"/>
    <s v="Rename/Move"/>
    <x v="0"/>
    <x v="0"/>
    <s v="LS"/>
    <s v="Created on both 1000; name is okay"/>
    <m/>
    <s v="Ruby Grace Garcia"/>
  </r>
  <r>
    <n v="299"/>
    <s v="F2"/>
    <x v="2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300"/>
    <s v="F2"/>
    <x v="20"/>
    <s v="L000013139"/>
    <s v="UPM Management"/>
    <s v="L000013845"/>
    <s v="Rename/Move"/>
    <x v="0"/>
    <x v="0"/>
    <s v="LS"/>
    <s v="Created on both 1000; name is okay"/>
    <m/>
    <s v="Ruby Grace Garcia"/>
  </r>
  <r>
    <n v="301"/>
    <s v="F2"/>
    <x v="20"/>
    <s v="L000011729"/>
    <s v="CRM Operations"/>
    <s v="L000012364"/>
    <s v="Rename/Move"/>
    <x v="0"/>
    <x v="0"/>
    <s v="LS"/>
    <s v="Created on both 1000; name is okay"/>
    <m/>
    <s v="Ruby Grace Garcia"/>
  </r>
  <r>
    <n v="302"/>
    <s v="F2"/>
    <x v="20"/>
    <s v="L000013532"/>
    <s v="eCommerce"/>
    <s v="L000013854"/>
    <s v="Rename/Move"/>
    <x v="0"/>
    <x v="0"/>
    <s v="LS"/>
    <s v="Created on both 1000; name is okay"/>
    <m/>
    <s v="Ruby Grace Garcia"/>
  </r>
  <r>
    <n v="303"/>
    <s v="F2"/>
    <x v="20"/>
    <s v="L000005965"/>
    <m/>
    <s v="L000012017"/>
    <s v="Move"/>
    <x v="0"/>
    <x v="0"/>
    <s v="LS"/>
    <s v="MOVED in 1000"/>
    <m/>
    <s v="Ruby Grace Garcia"/>
  </r>
  <r>
    <n v="304"/>
    <s v="F2"/>
    <x v="20"/>
    <s v="L000012018"/>
    <m/>
    <s v="L000012017"/>
    <s v="Move"/>
    <x v="0"/>
    <x v="0"/>
    <s v="LS"/>
    <s v="MOVED in 1000"/>
    <m/>
    <s v="Ruby Grace Garcia"/>
  </r>
  <r>
    <n v="305"/>
    <s v="F2"/>
    <x v="20"/>
    <s v="L000013177"/>
    <m/>
    <s v="L000012017"/>
    <s v="Move"/>
    <x v="0"/>
    <x v="0"/>
    <s v="LS"/>
    <s v="MOVED in 1000"/>
    <m/>
    <s v="Ruby Grace Garcia"/>
  </r>
  <r>
    <n v="306"/>
    <s v="F2"/>
    <x v="20"/>
    <s v="L000006078"/>
    <m/>
    <s v="L000013126"/>
    <s v="Move"/>
    <x v="0"/>
    <x v="0"/>
    <s v="LS"/>
    <s v="MOVED in 1000"/>
    <m/>
    <s v="Ruby Grace Garcia"/>
  </r>
  <r>
    <n v="307"/>
    <s v="F2"/>
    <x v="20"/>
    <s v="L000006079"/>
    <m/>
    <s v="L000013126"/>
    <s v="Move"/>
    <x v="0"/>
    <x v="0"/>
    <s v="LS"/>
    <s v="MOVED in 1000"/>
    <m/>
    <s v="Ruby Grace Garcia"/>
  </r>
  <r>
    <n v="308"/>
    <s v="F2"/>
    <x v="20"/>
    <s v="L000006085"/>
    <m/>
    <s v="L000013198"/>
    <s v="Move"/>
    <x v="0"/>
    <x v="0"/>
    <s v="LS"/>
    <s v="MOVED in 1000"/>
    <m/>
    <s v="Ruby Grace Garcia"/>
  </r>
  <r>
    <n v="309"/>
    <s v="F2"/>
    <x v="20"/>
    <s v="L000013312"/>
    <m/>
    <s v="L000013126"/>
    <s v="Move"/>
    <x v="0"/>
    <x v="0"/>
    <s v="LS"/>
    <s v="MOVED in 1000"/>
    <m/>
    <s v="Ruby Grace Garcia"/>
  </r>
  <r>
    <n v="310"/>
    <s v="F2"/>
    <x v="20"/>
    <s v="L000013502"/>
    <m/>
    <s v="L000012340"/>
    <s v="Move"/>
    <x v="0"/>
    <x v="0"/>
    <s v="LS"/>
    <s v="MOVED in 1000"/>
    <m/>
    <s v="Ruby Grace Garcia"/>
  </r>
  <r>
    <n v="311"/>
    <s v="F2"/>
    <x v="20"/>
    <s v="L000010074"/>
    <m/>
    <s v="L000013451"/>
    <s v="Move"/>
    <x v="0"/>
    <x v="0"/>
    <s v="LS"/>
    <s v="MOVED in 1000"/>
    <m/>
    <s v="Ruby Grace Garcia"/>
  </r>
  <r>
    <n v="312"/>
    <s v="F2"/>
    <x v="20"/>
    <s v="L000013371"/>
    <m/>
    <s v="L000013779"/>
    <s v="Move"/>
    <x v="0"/>
    <x v="0"/>
    <s v="LS"/>
    <s v="MOVED in 1000"/>
    <m/>
    <s v="Ruby Grace Garcia"/>
  </r>
  <r>
    <n v="313"/>
    <s v="F2"/>
    <x v="20"/>
    <s v="L000013372"/>
    <m/>
    <s v="L000013779"/>
    <s v="Move"/>
    <x v="0"/>
    <x v="0"/>
    <s v="LS"/>
    <s v="MOVED in 1000"/>
    <m/>
    <s v="Ruby Grace Garcia"/>
  </r>
  <r>
    <n v="314"/>
    <s v="F2"/>
    <x v="20"/>
    <s v="L000006677"/>
    <m/>
    <s v="L000013289"/>
    <s v="Move"/>
    <x v="0"/>
    <x v="0"/>
    <s v="LS"/>
    <s v="MOVED in 1000"/>
    <m/>
    <s v="Ruby Grace Garcia"/>
  </r>
  <r>
    <n v="315"/>
    <s v="F2"/>
    <x v="20"/>
    <s v="L000006678"/>
    <m/>
    <s v="L000013289"/>
    <s v="Move"/>
    <x v="0"/>
    <x v="0"/>
    <s v="LS"/>
    <s v="MOVED in 1000"/>
    <m/>
    <s v="Ruby Grace Garcia"/>
  </r>
  <r>
    <n v="316"/>
    <s v="F2"/>
    <x v="20"/>
    <s v="L000012755"/>
    <m/>
    <s v="L000012348"/>
    <s v="Move"/>
    <x v="0"/>
    <x v="0"/>
    <s v="LS"/>
    <s v="MOVED in 1000"/>
    <m/>
    <s v="Ruby Grace Garcia"/>
  </r>
  <r>
    <n v="317"/>
    <s v="F2"/>
    <x v="20"/>
    <s v="L000006557"/>
    <m/>
    <s v="L000013558"/>
    <s v="Move"/>
    <x v="0"/>
    <x v="0"/>
    <s v="LS"/>
    <s v="MOVED in 1000"/>
    <m/>
    <s v="Ruby Grace Garcia"/>
  </r>
  <r>
    <n v="318"/>
    <s v="F2"/>
    <x v="20"/>
    <s v="L000012679"/>
    <m/>
    <s v="L000013558"/>
    <s v="Move"/>
    <x v="0"/>
    <x v="0"/>
    <s v="LS"/>
    <s v="MOVED in 1000"/>
    <m/>
    <s v="Ruby Grace Garcia"/>
  </r>
  <r>
    <n v="319"/>
    <s v="F2"/>
    <x v="20"/>
    <s v="L000012606"/>
    <m/>
    <s v="L000013850"/>
    <s v="Move"/>
    <x v="0"/>
    <x v="0"/>
    <s v="LS"/>
    <s v="MOVED in 1000"/>
    <m/>
    <s v="Ruby Grace Garcia"/>
  </r>
  <r>
    <n v="320"/>
    <s v="F2"/>
    <x v="20"/>
    <s v="L000006987"/>
    <m/>
    <s v="L000013846"/>
    <s v="Move"/>
    <x v="0"/>
    <x v="0"/>
    <s v="LS"/>
    <s v="MOVED in 1000"/>
    <m/>
    <s v="Ruby Grace Garcia"/>
  </r>
  <r>
    <n v="321"/>
    <s v="F2"/>
    <x v="20"/>
    <s v="L000012357"/>
    <m/>
    <s v="L000013846"/>
    <s v="Move"/>
    <x v="0"/>
    <x v="0"/>
    <s v="LS"/>
    <s v="MOVED in 1000"/>
    <m/>
    <s v="Ruby Grace Garcia"/>
  </r>
  <r>
    <n v="322"/>
    <s v="F2"/>
    <x v="20"/>
    <s v="L000013161"/>
    <m/>
    <s v="L000013860"/>
    <s v="Move"/>
    <x v="0"/>
    <x v="0"/>
    <s v="LS"/>
    <s v="MOVED in 1000"/>
    <m/>
    <s v="Ruby Grace Garcia"/>
  </r>
  <r>
    <n v="323"/>
    <s v="F2"/>
    <x v="20"/>
    <s v="L000013635"/>
    <m/>
    <s v="L000013846"/>
    <s v="Move"/>
    <x v="0"/>
    <x v="0"/>
    <s v="LS"/>
    <s v="MOVED in 1000"/>
    <m/>
    <s v="Ruby Grace Garcia"/>
  </r>
  <r>
    <n v="324"/>
    <s v="F2"/>
    <x v="20"/>
    <s v="L000013636"/>
    <m/>
    <s v="L000013860"/>
    <s v="Move"/>
    <x v="0"/>
    <x v="0"/>
    <s v="LS"/>
    <s v="MOVED in 1000"/>
    <m/>
    <s v="Ruby Grace Garcia"/>
  </r>
  <r>
    <n v="325"/>
    <s v="F2"/>
    <x v="20"/>
    <s v="L000013637"/>
    <m/>
    <s v="L000013846"/>
    <s v="Move"/>
    <x v="0"/>
    <x v="0"/>
    <s v="LS"/>
    <s v="MOVED in 1000"/>
    <m/>
    <s v="Ruby Grace Garcia"/>
  </r>
  <r>
    <n v="326"/>
    <s v="F2"/>
    <x v="20"/>
    <s v="L000013553"/>
    <m/>
    <s v="L000006294"/>
    <s v="Move"/>
    <x v="0"/>
    <x v="0"/>
    <s v="LS"/>
    <s v="MOVED in 1000"/>
    <m/>
    <s v="Ruby Grace Garcia"/>
  </r>
  <r>
    <n v="327"/>
    <s v="F2"/>
    <x v="20"/>
    <s v="L000006593"/>
    <m/>
    <s v="L000013845"/>
    <s v="Move"/>
    <x v="0"/>
    <x v="0"/>
    <s v="LS"/>
    <s v="MOVED in 1000"/>
    <m/>
    <s v="Ruby Grace Garcia"/>
  </r>
  <r>
    <n v="328"/>
    <s v="F2"/>
    <x v="20"/>
    <s v="L000011440"/>
    <m/>
    <s v="L000013843"/>
    <s v="Move"/>
    <x v="0"/>
    <x v="0"/>
    <s v="LS"/>
    <s v="MOVED in 1000"/>
    <m/>
    <s v="Ruby Grace Garcia"/>
  </r>
  <r>
    <n v="329"/>
    <s v="F2"/>
    <x v="20"/>
    <s v="L000011442"/>
    <m/>
    <s v="L000013843"/>
    <s v="Move"/>
    <x v="0"/>
    <x v="0"/>
    <s v="LS"/>
    <s v="MOVED in 1000"/>
    <m/>
    <s v="Ruby Grace Garcia"/>
  </r>
  <r>
    <n v="330"/>
    <s v="F2"/>
    <x v="20"/>
    <s v="L000013563"/>
    <m/>
    <s v="L000013845"/>
    <s v="Move"/>
    <x v="0"/>
    <x v="0"/>
    <s v="LS"/>
    <s v="MOVED in 1000"/>
    <m/>
    <s v="Ruby Grace Garcia"/>
  </r>
  <r>
    <n v="331"/>
    <s v="F2"/>
    <x v="20"/>
    <s v="L000013555"/>
    <m/>
    <s v="L000013856"/>
    <s v="Move"/>
    <x v="0"/>
    <x v="0"/>
    <s v="LS"/>
    <s v="MOVED in 1000"/>
    <m/>
    <s v="Ruby Grace Garcia"/>
  </r>
  <r>
    <n v="332"/>
    <s v="F2"/>
    <x v="20"/>
    <s v="L000006575"/>
    <m/>
    <s v="L000013853"/>
    <s v="Move"/>
    <x v="0"/>
    <x v="0"/>
    <s v="LS"/>
    <s v="MOVED in 1000"/>
    <m/>
    <s v="Ruby Grace Garcia"/>
  </r>
  <r>
    <n v="333"/>
    <s v="F2"/>
    <x v="20"/>
    <s v="L000006578"/>
    <m/>
    <s v="L000013858"/>
    <s v="Move"/>
    <x v="0"/>
    <x v="0"/>
    <s v="LS"/>
    <s v="MOVED in 1000"/>
    <m/>
    <s v="Ruby Grace Garcia"/>
  </r>
  <r>
    <n v="334"/>
    <s v="F2"/>
    <x v="20"/>
    <s v="L000011402"/>
    <m/>
    <s v="L000013858"/>
    <s v="Move"/>
    <x v="0"/>
    <x v="0"/>
    <s v="LS"/>
    <s v="MOVED in 1000"/>
    <m/>
    <s v="Ruby Grace Garcia"/>
  </r>
  <r>
    <n v="335"/>
    <s v="F2"/>
    <x v="20"/>
    <s v="L000012682"/>
    <m/>
    <s v="L000013858"/>
    <s v="Move"/>
    <x v="0"/>
    <x v="0"/>
    <s v="LS"/>
    <s v="MOVED in 1000"/>
    <m/>
    <s v="Ruby Grace Garcia"/>
  </r>
  <r>
    <n v="336"/>
    <s v="F2"/>
    <x v="20"/>
    <s v="L000012687"/>
    <m/>
    <s v="L000013858"/>
    <s v="Move"/>
    <x v="0"/>
    <x v="0"/>
    <s v="LS"/>
    <s v="MOVED in 1000"/>
    <m/>
    <s v="Ruby Grace Garcia"/>
  </r>
  <r>
    <n v="337"/>
    <s v="F2"/>
    <x v="20"/>
    <s v="L000012722"/>
    <m/>
    <s v="L000013858"/>
    <s v="Move"/>
    <x v="0"/>
    <x v="0"/>
    <s v="LS"/>
    <s v="MOVED in 1000"/>
    <m/>
    <s v="Ruby Grace Garcia"/>
  </r>
  <r>
    <n v="338"/>
    <s v="F2"/>
    <x v="20"/>
    <s v="L000006553"/>
    <m/>
    <s v="L000013553"/>
    <s v="Move"/>
    <x v="0"/>
    <x v="0"/>
    <s v="LS"/>
    <s v="MOVED in 1000"/>
    <m/>
    <s v="Ruby Grace Garcia"/>
  </r>
  <r>
    <n v="339"/>
    <s v="F2"/>
    <x v="20"/>
    <s v="L000006555"/>
    <m/>
    <s v="L000013553"/>
    <s v="Move"/>
    <x v="0"/>
    <x v="0"/>
    <s v="LS"/>
    <s v="MOVED in 1000"/>
    <m/>
    <s v="Ruby Grace Garcia"/>
  </r>
  <r>
    <n v="340"/>
    <s v="F2"/>
    <x v="20"/>
    <s v="L000011434"/>
    <m/>
    <s v="L000013554"/>
    <s v="Move"/>
    <x v="0"/>
    <x v="0"/>
    <s v="LS"/>
    <s v="MOVED in 1000"/>
    <m/>
    <s v="Ruby Grace Garcia"/>
  </r>
  <r>
    <n v="341"/>
    <s v="F2"/>
    <x v="20"/>
    <s v="L000012688"/>
    <m/>
    <s v="L000013554"/>
    <s v="Move"/>
    <x v="0"/>
    <x v="0"/>
    <s v="LS"/>
    <s v="MOVED in 1000"/>
    <m/>
    <s v="Ruby Grace Garcia"/>
  </r>
  <r>
    <n v="342"/>
    <s v="F2"/>
    <x v="20"/>
    <s v="L000012724"/>
    <m/>
    <s v="L000013553"/>
    <s v="Move"/>
    <x v="0"/>
    <x v="0"/>
    <s v="LS"/>
    <s v="MOVED in 1000"/>
    <m/>
    <s v="Ruby Grace Garcia"/>
  </r>
  <r>
    <n v="343"/>
    <s v="F2"/>
    <x v="20"/>
    <s v="L000012732"/>
    <m/>
    <s v="L000006562"/>
    <s v="Move"/>
    <x v="0"/>
    <x v="0"/>
    <s v="LS"/>
    <s v="MOVED in 1000"/>
    <m/>
    <s v="Ruby Grace Garcia"/>
  </r>
  <r>
    <n v="344"/>
    <s v="F2"/>
    <x v="20"/>
    <s v="L000012832"/>
    <m/>
    <s v="L000013554"/>
    <s v="Move"/>
    <x v="0"/>
    <x v="0"/>
    <s v="LS"/>
    <s v="MOVED in 1000"/>
    <m/>
    <s v="Ruby Grace Garcia"/>
  </r>
  <r>
    <n v="345"/>
    <s v="F2"/>
    <x v="20"/>
    <s v="L000006558"/>
    <m/>
    <s v="L000013854"/>
    <s v="Move"/>
    <x v="0"/>
    <x v="0"/>
    <s v="LS"/>
    <s v="MOVED in 1000"/>
    <m/>
    <s v="Ruby Grace Garcia"/>
  </r>
  <r>
    <n v="346"/>
    <s v="F2"/>
    <x v="20"/>
    <s v="L000007464"/>
    <m/>
    <s v="L000013531"/>
    <s v="Move"/>
    <x v="0"/>
    <x v="0"/>
    <s v="LS"/>
    <s v="MOVED in 1000"/>
    <m/>
    <s v="Ruby Grace Garcia"/>
  </r>
  <r>
    <n v="347"/>
    <s v="F2"/>
    <x v="20"/>
    <s v="L000007467"/>
    <m/>
    <s v="L000013530"/>
    <s v="Move"/>
    <x v="0"/>
    <x v="0"/>
    <s v="LS"/>
    <s v="MOVED in 1000"/>
    <m/>
    <s v="Ruby Grace Garcia"/>
  </r>
  <r>
    <n v="348"/>
    <s v="F2"/>
    <x v="20"/>
    <s v="L000007540"/>
    <m/>
    <s v="L000013530"/>
    <s v="Move"/>
    <x v="0"/>
    <x v="0"/>
    <s v="LS"/>
    <s v="MOVED in 1000"/>
    <m/>
    <s v="Ruby Grace Garcia"/>
  </r>
  <r>
    <n v="349"/>
    <s v="F2"/>
    <x v="20"/>
    <s v="L000011730"/>
    <m/>
    <s v="L000012361"/>
    <s v="Move"/>
    <x v="0"/>
    <x v="0"/>
    <s v="LS"/>
    <s v="MOVED in 1000"/>
    <m/>
    <s v="Ruby Grace Garcia"/>
  </r>
  <r>
    <n v="350"/>
    <s v="F2"/>
    <x v="20"/>
    <s v="L000013530"/>
    <m/>
    <s v="L000011719"/>
    <s v="Move"/>
    <x v="0"/>
    <x v="0"/>
    <s v="LS"/>
    <s v="MOVED in 1000"/>
    <m/>
    <s v="Ruby Grace Garcia"/>
  </r>
  <r>
    <n v="351"/>
    <s v="F2"/>
    <x v="20"/>
    <s v="L000013531"/>
    <m/>
    <s v="L000013854"/>
    <s v="Move"/>
    <x v="0"/>
    <x v="0"/>
    <s v="LS"/>
    <s v="MOVED in 1000"/>
    <m/>
    <s v="Ruby Grace Garcia"/>
  </r>
  <r>
    <n v="352"/>
    <s v="F2"/>
    <x v="20"/>
    <s v="L000007117"/>
    <m/>
    <s v="L000013855"/>
    <s v="Move"/>
    <x v="0"/>
    <x v="0"/>
    <s v="LS"/>
    <s v="MOVED in 1000"/>
    <m/>
    <s v="Ruby Grace Garcia"/>
  </r>
  <r>
    <n v="353"/>
    <s v="F2"/>
    <x v="20"/>
    <s v="L000013550"/>
    <m/>
    <s v="L000013855"/>
    <s v="Move"/>
    <x v="0"/>
    <x v="0"/>
    <s v="LS"/>
    <s v="MOVED in 1000"/>
    <m/>
    <s v="Ruby Grace Garcia"/>
  </r>
  <r>
    <n v="354"/>
    <s v="F2"/>
    <x v="20"/>
    <s v="L000011148"/>
    <m/>
    <s v="L000013387"/>
    <s v="Move"/>
    <x v="0"/>
    <x v="0"/>
    <s v="LS"/>
    <s v="MOVED in 1000"/>
    <m/>
    <s v="Ruby Grace Garcia"/>
  </r>
  <r>
    <n v="355"/>
    <s v="F2"/>
    <x v="20"/>
    <s v="L000011152"/>
    <m/>
    <s v="L000013275"/>
    <s v="Move"/>
    <x v="0"/>
    <x v="0"/>
    <s v="LS"/>
    <s v="MOVED in 1000"/>
    <m/>
    <s v="Ruby Grace Garcia"/>
  </r>
  <r>
    <n v="356"/>
    <s v="F2"/>
    <x v="20"/>
    <s v="L000013435"/>
    <m/>
    <s v="L000010042"/>
    <s v="Move"/>
    <x v="0"/>
    <x v="0"/>
    <s v="LS"/>
    <s v="MOVED in 1000"/>
    <m/>
    <s v="Ruby Grace Garcia"/>
  </r>
  <r>
    <n v="357"/>
    <s v="F2"/>
    <x v="20"/>
    <s v="L000013732"/>
    <m/>
    <s v="L000010042"/>
    <s v="Move"/>
    <x v="0"/>
    <x v="0"/>
    <s v="LS"/>
    <s v="MOVED in 1000"/>
    <m/>
    <s v="Ruby Grace Garcia"/>
  </r>
  <r>
    <n v="358"/>
    <s v="F2"/>
    <x v="20"/>
    <s v="L000013816"/>
    <m/>
    <s v="L000013448"/>
    <s v="Move"/>
    <x v="0"/>
    <x v="0"/>
    <s v="LS"/>
    <s v="MOVED in 1000"/>
    <m/>
    <s v="Ruby Grace Garcia"/>
  </r>
  <r>
    <n v="359"/>
    <s v="F2"/>
    <x v="20"/>
    <s v="L000013618"/>
    <m/>
    <s v="L000009432"/>
    <s v="Move"/>
    <x v="0"/>
    <x v="0"/>
    <s v="LS"/>
    <s v="MOVED in 1000"/>
    <m/>
    <s v="Ruby Grace Garcia"/>
  </r>
  <r>
    <n v="360"/>
    <s v="F2"/>
    <x v="20"/>
    <s v="L000005915"/>
    <m/>
    <s v="L000013610"/>
    <s v="Move"/>
    <x v="0"/>
    <x v="0"/>
    <s v="LS"/>
    <s v="MOVED in 1000"/>
    <m/>
    <s v="Ruby Grace Garcia"/>
  </r>
  <r>
    <n v="361"/>
    <s v="F2"/>
    <x v="20"/>
    <s v="L000006676"/>
    <m/>
    <s v="L000013679"/>
    <s v="Move"/>
    <x v="0"/>
    <x v="0"/>
    <s v="LS"/>
    <s v="MOVED in 1000"/>
    <m/>
    <s v="Ruby Grace Garcia"/>
  </r>
  <r>
    <n v="362"/>
    <s v="F2"/>
    <x v="20"/>
    <s v="L000012830"/>
    <m/>
    <s v="L000013679"/>
    <s v="Move"/>
    <x v="0"/>
    <x v="0"/>
    <s v="LS"/>
    <s v="MOVED in 1000"/>
    <m/>
    <s v="Ruby Grace Garcia"/>
  </r>
  <r>
    <n v="363"/>
    <s v="F2"/>
    <x v="20"/>
    <s v="L000006956"/>
    <m/>
    <s v="L000013685"/>
    <s v="Move"/>
    <x v="0"/>
    <x v="0"/>
    <s v="LS"/>
    <s v="MOVED in 1000"/>
    <m/>
    <s v="Ruby Grace Garcia"/>
  </r>
  <r>
    <n v="364"/>
    <s v="F2"/>
    <x v="20"/>
    <s v="L000006957"/>
    <m/>
    <s v="L000013685"/>
    <s v="Move"/>
    <x v="0"/>
    <x v="0"/>
    <s v="LS"/>
    <s v="MOVED in 1000"/>
    <m/>
    <s v="Ruby Grace Garcia"/>
  </r>
  <r>
    <n v="365"/>
    <s v="F2"/>
    <x v="20"/>
    <s v="L000006960"/>
    <m/>
    <s v="L000013685"/>
    <s v="Move"/>
    <x v="0"/>
    <x v="0"/>
    <s v="LS"/>
    <s v="MOVED in 1000"/>
    <m/>
    <s v="Ruby Grace Garcia"/>
  </r>
  <r>
    <n v="366"/>
    <s v="F2"/>
    <x v="20"/>
    <s v="L000007073"/>
    <m/>
    <s v="L000013685"/>
    <s v="Move"/>
    <x v="0"/>
    <x v="0"/>
    <s v="LS"/>
    <s v="MOVED in 1000"/>
    <m/>
    <s v="Ruby Grace Garcia"/>
  </r>
  <r>
    <n v="367"/>
    <s v="F2"/>
    <x v="20"/>
    <s v="L000011517"/>
    <m/>
    <s v="L000013685"/>
    <s v="Move"/>
    <x v="0"/>
    <x v="0"/>
    <s v="LS"/>
    <s v="MOVED in 1000"/>
    <m/>
    <s v="Ruby Grace Garcia"/>
  </r>
  <r>
    <n v="368"/>
    <s v="F2"/>
    <x v="20"/>
    <s v="L000012599"/>
    <m/>
    <s v="L000013685"/>
    <s v="Move"/>
    <x v="0"/>
    <x v="0"/>
    <s v="LS"/>
    <s v="MOVED in 1000"/>
    <m/>
    <s v="Ruby Grace Garcia"/>
  </r>
  <r>
    <n v="369"/>
    <s v="F2"/>
    <x v="20"/>
    <s v="L000013359"/>
    <m/>
    <s v="L000013685"/>
    <s v="Move"/>
    <x v="0"/>
    <x v="0"/>
    <s v="LS"/>
    <s v="MOVED in 1000"/>
    <m/>
    <s v="Ruby Grace Garcia"/>
  </r>
  <r>
    <n v="370"/>
    <s v="F2"/>
    <x v="20"/>
    <s v="L000013184"/>
    <m/>
    <s v="L000013685"/>
    <s v="Move"/>
    <x v="0"/>
    <x v="0"/>
    <s v="LS"/>
    <s v="MOVED in 1000"/>
    <m/>
    <s v="Ruby Grace Garcia"/>
  </r>
  <r>
    <n v="371"/>
    <s v="F2"/>
    <x v="20"/>
    <s v="L000013366"/>
    <m/>
    <s v="L000013685"/>
    <s v="Move"/>
    <x v="0"/>
    <x v="0"/>
    <s v="LS"/>
    <s v="MOVED in 1000"/>
    <m/>
    <s v="Ruby Grace Garcia"/>
  </r>
  <r>
    <n v="372"/>
    <s v="F2"/>
    <x v="20"/>
    <s v="L000013368"/>
    <m/>
    <s v="L000013685"/>
    <s v="Move"/>
    <x v="0"/>
    <x v="0"/>
    <s v="LS"/>
    <s v="MOVED in 1000"/>
    <m/>
    <s v="Ruby Grace Garcia"/>
  </r>
  <r>
    <n v="373"/>
    <s v="F2"/>
    <x v="20"/>
    <s v="L000013369"/>
    <m/>
    <s v="L000013685"/>
    <s v="Move"/>
    <x v="0"/>
    <x v="0"/>
    <s v="LS"/>
    <s v="MOVED in 1000"/>
    <m/>
    <s v="Ruby Grace Garcia"/>
  </r>
  <r>
    <n v="374"/>
    <s v="F2"/>
    <x v="20"/>
    <s v="L000006951"/>
    <m/>
    <s v="L000013685"/>
    <s v="Move"/>
    <x v="0"/>
    <x v="0"/>
    <s v="LS"/>
    <s v="MOVED in 1000"/>
    <m/>
    <s v="Ruby Grace Garcia"/>
  </r>
  <r>
    <n v="375"/>
    <s v="F2"/>
    <x v="20"/>
    <s v="L000006170"/>
    <m/>
    <s v="L000013680"/>
    <s v="Move"/>
    <x v="0"/>
    <x v="0"/>
    <s v="LS"/>
    <s v="MOVED in 1000"/>
    <m/>
    <s v="Ruby Grace Garcia"/>
  </r>
  <r>
    <n v="376"/>
    <s v="F2"/>
    <x v="20"/>
    <s v="L000012443"/>
    <m/>
    <s v="L000013680"/>
    <s v="Move"/>
    <x v="0"/>
    <x v="0"/>
    <s v="LS"/>
    <s v="MOVED in 1000"/>
    <m/>
    <s v="Ruby Grace Garcia"/>
  </r>
  <r>
    <n v="377"/>
    <s v="F2"/>
    <x v="20"/>
    <s v="L000012917"/>
    <m/>
    <s v="L000013680"/>
    <s v="Move"/>
    <x v="0"/>
    <x v="0"/>
    <s v="LS"/>
    <s v="MOVED in 1000"/>
    <m/>
    <s v="Ruby Grace Garcia"/>
  </r>
  <r>
    <n v="378"/>
    <s v="F2"/>
    <x v="20"/>
    <s v="L000011350"/>
    <m/>
    <s v="L000013687"/>
    <s v="Move"/>
    <x v="0"/>
    <x v="0"/>
    <s v="LS"/>
    <s v="MOVED in 1000"/>
    <m/>
    <s v="Ruby Grace Garcia"/>
  </r>
  <r>
    <n v="379"/>
    <s v="F2"/>
    <x v="20"/>
    <s v="L000012849"/>
    <m/>
    <s v="L000013687"/>
    <s v="Move"/>
    <x v="0"/>
    <x v="0"/>
    <s v="LS"/>
    <s v="MOVED in 1000"/>
    <m/>
    <s v="Ruby Grace Garcia"/>
  </r>
  <r>
    <n v="380"/>
    <s v="F2"/>
    <x v="20"/>
    <s v="L000012850"/>
    <m/>
    <s v="L000013687"/>
    <s v="Move"/>
    <x v="0"/>
    <x v="0"/>
    <s v="LS"/>
    <s v="MOVED in 1000"/>
    <m/>
    <s v="Ruby Grace Garcia"/>
  </r>
  <r>
    <n v="381"/>
    <s v="F2"/>
    <x v="20"/>
    <s v="L000012852"/>
    <m/>
    <s v="L000013687"/>
    <s v="Move"/>
    <x v="0"/>
    <x v="0"/>
    <s v="LS"/>
    <s v="MOVED in 1000"/>
    <m/>
    <s v="Ruby Grace Garcia"/>
  </r>
  <r>
    <n v="382"/>
    <s v="F2"/>
    <x v="20"/>
    <s v="L000012853"/>
    <m/>
    <s v="L000013687"/>
    <s v="Move"/>
    <x v="0"/>
    <x v="0"/>
    <s v="LS"/>
    <s v="MOVED in 1000"/>
    <m/>
    <s v="Ruby Grace Garcia"/>
  </r>
  <r>
    <n v="383"/>
    <s v="F2"/>
    <x v="20"/>
    <s v="L000012854"/>
    <m/>
    <s v="L000013687"/>
    <s v="Move"/>
    <x v="0"/>
    <x v="0"/>
    <s v="LS"/>
    <s v="MOVED in 1000"/>
    <m/>
    <s v="Ruby Grace Garcia"/>
  </r>
  <r>
    <n v="384"/>
    <s v="F2"/>
    <x v="20"/>
    <s v="L000012855"/>
    <m/>
    <s v="L000013687"/>
    <s v="Move"/>
    <x v="0"/>
    <x v="0"/>
    <s v="LS"/>
    <s v="MOVED in 1000"/>
    <m/>
    <s v="Ruby Grace Garcia"/>
  </r>
  <r>
    <n v="385"/>
    <s v="F2"/>
    <x v="20"/>
    <s v="L000012856"/>
    <m/>
    <s v="L000013687"/>
    <s v="Move"/>
    <x v="0"/>
    <x v="0"/>
    <s v="LS"/>
    <s v="MOVED in 1000"/>
    <m/>
    <s v="Ruby Grace Garcia"/>
  </r>
  <r>
    <n v="386"/>
    <s v="F2"/>
    <x v="20"/>
    <s v="L000012857"/>
    <m/>
    <s v="L000013687"/>
    <s v="Move"/>
    <x v="0"/>
    <x v="0"/>
    <s v="LS"/>
    <s v="MOVED in 1000"/>
    <m/>
    <s v="Ruby Grace Garcia"/>
  </r>
  <r>
    <n v="387"/>
    <s v="F2"/>
    <x v="20"/>
    <s v="L000012858"/>
    <m/>
    <s v="L000013687"/>
    <s v="Move"/>
    <x v="0"/>
    <x v="0"/>
    <s v="LS"/>
    <s v="MOVED in 1000"/>
    <m/>
    <s v="Ruby Grace Garcia"/>
  </r>
  <r>
    <n v="388"/>
    <s v="F2"/>
    <x v="20"/>
    <s v="L000012911"/>
    <m/>
    <s v="L000013687"/>
    <s v="Move"/>
    <x v="0"/>
    <x v="0"/>
    <s v="LS"/>
    <s v="MOVED in 1000"/>
    <m/>
    <s v="Ruby Grace Garcia"/>
  </r>
  <r>
    <n v="389"/>
    <s v="F2"/>
    <x v="20"/>
    <s v="L000013075"/>
    <m/>
    <s v="L000013687"/>
    <s v="Move"/>
    <x v="0"/>
    <x v="0"/>
    <s v="LS"/>
    <s v="MOVED in 1000"/>
    <m/>
    <s v="Ruby Grace Garcia"/>
  </r>
  <r>
    <n v="390"/>
    <s v="F2"/>
    <x v="20"/>
    <s v="L000013076"/>
    <m/>
    <s v="L000013687"/>
    <s v="Move"/>
    <x v="0"/>
    <x v="0"/>
    <s v="LS"/>
    <s v="MOVED in 1000"/>
    <m/>
    <s v="Ruby Grace Garcia"/>
  </r>
  <r>
    <n v="391"/>
    <s v="F2"/>
    <x v="20"/>
    <s v="L000013077"/>
    <m/>
    <s v="L000013687"/>
    <s v="Move"/>
    <x v="0"/>
    <x v="0"/>
    <s v="LS"/>
    <s v="MOVED in 1000"/>
    <m/>
    <s v="Ruby Grace Garcia"/>
  </r>
  <r>
    <n v="392"/>
    <s v="F2"/>
    <x v="20"/>
    <s v="L000013085"/>
    <m/>
    <s v="L000013687"/>
    <s v="Move"/>
    <x v="0"/>
    <x v="0"/>
    <s v="LS"/>
    <s v="MOVED in 1000"/>
    <m/>
    <s v="Ruby Grace Garcia"/>
  </r>
  <r>
    <n v="393"/>
    <s v="F2"/>
    <x v="20"/>
    <s v="L000013086"/>
    <m/>
    <s v="L000013687"/>
    <s v="Move"/>
    <x v="0"/>
    <x v="0"/>
    <s v="LS"/>
    <s v="MOVED in 1000"/>
    <m/>
    <s v="Ruby Grace Garcia"/>
  </r>
  <r>
    <n v="394"/>
    <s v="F2"/>
    <x v="20"/>
    <s v="L000011049"/>
    <m/>
    <s v="L000013687"/>
    <s v="Move"/>
    <x v="0"/>
    <x v="0"/>
    <s v="LS"/>
    <s v="MOVED in 1000"/>
    <m/>
    <s v="Ruby Grace Garcia"/>
  </r>
  <r>
    <n v="395"/>
    <s v="F2"/>
    <x v="20"/>
    <s v="L000011050"/>
    <m/>
    <s v="L000013687"/>
    <s v="Move"/>
    <x v="0"/>
    <x v="0"/>
    <s v="LS"/>
    <s v="MOVED in 1000"/>
    <m/>
    <s v="Ruby Grace Garcia"/>
  </r>
  <r>
    <n v="396"/>
    <s v="F2"/>
    <x v="20"/>
    <s v="L000011051"/>
    <m/>
    <s v="L000013687"/>
    <s v="Move"/>
    <x v="0"/>
    <x v="0"/>
    <s v="LS"/>
    <s v="MOVED in 1000"/>
    <m/>
    <s v="Ruby Grace Garcia"/>
  </r>
  <r>
    <n v="397"/>
    <s v="F2"/>
    <x v="20"/>
    <s v="L000011052"/>
    <m/>
    <s v="L000013687"/>
    <s v="Move"/>
    <x v="0"/>
    <x v="0"/>
    <s v="LS"/>
    <s v="MOVED in 1000"/>
    <m/>
    <s v="Ruby Grace Garcia"/>
  </r>
  <r>
    <n v="398"/>
    <s v="F2"/>
    <x v="20"/>
    <s v="L000011053"/>
    <m/>
    <s v="L000013687"/>
    <s v="Move"/>
    <x v="0"/>
    <x v="0"/>
    <s v="LS"/>
    <s v="MOVED in 1000"/>
    <m/>
    <s v="Ruby Grace Garcia"/>
  </r>
  <r>
    <n v="399"/>
    <s v="F2"/>
    <x v="20"/>
    <s v="L000011054"/>
    <m/>
    <s v="L000013687"/>
    <s v="Move"/>
    <x v="0"/>
    <x v="0"/>
    <s v="LS"/>
    <s v="MOVED in 1000"/>
    <m/>
    <s v="Ruby Grace Garcia"/>
  </r>
  <r>
    <n v="400"/>
    <s v="F2"/>
    <x v="20"/>
    <s v="L000011055"/>
    <m/>
    <s v="L000013687"/>
    <s v="Move"/>
    <x v="0"/>
    <x v="0"/>
    <s v="LS"/>
    <s v="MOVED in 1000"/>
    <m/>
    <s v="Ruby Grace Garcia"/>
  </r>
  <r>
    <n v="401"/>
    <s v="F2"/>
    <x v="20"/>
    <s v="L000011056"/>
    <m/>
    <s v="L000013687"/>
    <s v="Move"/>
    <x v="0"/>
    <x v="0"/>
    <s v="LS"/>
    <s v="MOVED in 1000"/>
    <m/>
    <s v="Ruby Grace Garcia"/>
  </r>
  <r>
    <n v="402"/>
    <s v="F2"/>
    <x v="20"/>
    <s v="L000011057"/>
    <m/>
    <s v="L000013687"/>
    <s v="Move"/>
    <x v="0"/>
    <x v="0"/>
    <s v="LS"/>
    <s v="MOVED in 1000"/>
    <m/>
    <s v="Ruby Grace Garcia"/>
  </r>
  <r>
    <n v="403"/>
    <s v="F2"/>
    <x v="20"/>
    <s v="L000011058"/>
    <m/>
    <s v="L000013687"/>
    <s v="Move"/>
    <x v="0"/>
    <x v="0"/>
    <s v="LS"/>
    <s v="MOVED in 1000"/>
    <m/>
    <s v="Ruby Grace Garcia"/>
  </r>
  <r>
    <n v="404"/>
    <s v="F2"/>
    <x v="20"/>
    <s v="L000011059"/>
    <m/>
    <s v="L000013687"/>
    <s v="Move"/>
    <x v="0"/>
    <x v="0"/>
    <s v="LS"/>
    <s v="MOVED in 1000"/>
    <m/>
    <s v="Ruby Grace Garcia"/>
  </r>
  <r>
    <n v="405"/>
    <s v="F2"/>
    <x v="20"/>
    <s v="L000011060"/>
    <m/>
    <s v="L000013687"/>
    <s v="Move"/>
    <x v="0"/>
    <x v="0"/>
    <s v="LS"/>
    <s v="MOVED in 1000"/>
    <m/>
    <s v="Ruby Grace Garcia"/>
  </r>
  <r>
    <n v="406"/>
    <s v="F2"/>
    <x v="20"/>
    <s v="L000011061"/>
    <m/>
    <s v="L000013687"/>
    <s v="Move"/>
    <x v="0"/>
    <x v="0"/>
    <s v="LS"/>
    <s v="MOVED in 1000"/>
    <m/>
    <s v="Ruby Grace Garcia"/>
  </r>
  <r>
    <n v="407"/>
    <s v="F2"/>
    <x v="20"/>
    <s v="L000011062"/>
    <m/>
    <s v="L000013687"/>
    <s v="Move"/>
    <x v="0"/>
    <x v="0"/>
    <s v="LS"/>
    <s v="MOVED in 1000"/>
    <m/>
    <s v="Ruby Grace Garcia"/>
  </r>
  <r>
    <n v="408"/>
    <s v="F2"/>
    <x v="20"/>
    <s v="L000011063"/>
    <m/>
    <s v="L000013687"/>
    <s v="Move"/>
    <x v="0"/>
    <x v="0"/>
    <s v="LS"/>
    <s v="MOVED in 1000"/>
    <m/>
    <s v="Ruby Grace Garcia"/>
  </r>
  <r>
    <n v="409"/>
    <s v="F2"/>
    <x v="20"/>
    <s v="L000012973"/>
    <m/>
    <s v="L000013687"/>
    <s v="Move"/>
    <x v="0"/>
    <x v="0"/>
    <s v="LS"/>
    <s v="MOVED in 1000"/>
    <m/>
    <s v="Ruby Grace Garcia"/>
  </r>
  <r>
    <n v="410"/>
    <s v="F2"/>
    <x v="20"/>
    <s v="L000013741"/>
    <m/>
    <s v="L000013687"/>
    <s v="Move"/>
    <x v="0"/>
    <x v="0"/>
    <s v="LS"/>
    <s v="MOVED in 1000"/>
    <m/>
    <s v="Ruby Grace Garcia"/>
  </r>
  <r>
    <n v="411"/>
    <s v="F2"/>
    <x v="20"/>
    <s v="L000013742"/>
    <m/>
    <s v="L000013687"/>
    <s v="Move"/>
    <x v="0"/>
    <x v="0"/>
    <s v="LS"/>
    <s v="MOVED in 1000"/>
    <m/>
    <s v="Ruby Grace Garcia"/>
  </r>
  <r>
    <n v="412"/>
    <s v="F2"/>
    <x v="20"/>
    <s v="L000013743"/>
    <m/>
    <s v="L000013687"/>
    <s v="Move"/>
    <x v="0"/>
    <x v="0"/>
    <s v="LS"/>
    <s v="MOVED in 1000"/>
    <m/>
    <s v="Ruby Grace Garcia"/>
  </r>
  <r>
    <n v="413"/>
    <s v="F2"/>
    <x v="20"/>
    <s v="L000013744"/>
    <m/>
    <s v="L000013687"/>
    <s v="Move"/>
    <x v="0"/>
    <x v="0"/>
    <s v="LS"/>
    <s v="MOVED in 1000"/>
    <m/>
    <s v="Ruby Grace Garcia"/>
  </r>
  <r>
    <n v="414"/>
    <s v="F2"/>
    <x v="20"/>
    <s v="L000013745"/>
    <m/>
    <s v="L000013687"/>
    <s v="Move"/>
    <x v="0"/>
    <x v="0"/>
    <s v="LS"/>
    <s v="MOVED in 1000"/>
    <m/>
    <s v="Ruby Grace Garcia"/>
  </r>
  <r>
    <n v="415"/>
    <s v="F2"/>
    <x v="20"/>
    <s v="L000013746"/>
    <m/>
    <s v="L000013687"/>
    <s v="Move"/>
    <x v="0"/>
    <x v="0"/>
    <s v="LS"/>
    <s v="MOVED in 1000"/>
    <m/>
    <s v="Ruby Grace Garcia"/>
  </r>
  <r>
    <n v="416"/>
    <s v="F2"/>
    <x v="20"/>
    <s v="L000013747"/>
    <m/>
    <s v="L000013687"/>
    <s v="Move"/>
    <x v="0"/>
    <x v="0"/>
    <s v="LS"/>
    <s v="MOVED in 1000"/>
    <m/>
    <s v="Ruby Grace Garcia"/>
  </r>
  <r>
    <n v="417"/>
    <s v="F2"/>
    <x v="20"/>
    <s v="L000013748"/>
    <m/>
    <s v="L000013687"/>
    <s v="Move"/>
    <x v="0"/>
    <x v="0"/>
    <s v="LS"/>
    <s v="MOVED in 1000"/>
    <m/>
    <s v="Ruby Grace Garcia"/>
  </r>
  <r>
    <n v="418"/>
    <s v="F2"/>
    <x v="20"/>
    <s v="L000013749"/>
    <m/>
    <s v="L000013687"/>
    <s v="Move"/>
    <x v="0"/>
    <x v="0"/>
    <s v="LS"/>
    <s v="MOVED in 1000"/>
    <m/>
    <s v="Ruby Grace Garcia"/>
  </r>
  <r>
    <n v="419"/>
    <s v="F2"/>
    <x v="20"/>
    <s v="L000013750"/>
    <m/>
    <s v="L000013687"/>
    <s v="Move"/>
    <x v="0"/>
    <x v="0"/>
    <s v="LS"/>
    <s v="MOVED in 1000"/>
    <m/>
    <s v="Ruby Grace Garcia"/>
  </r>
  <r>
    <n v="420"/>
    <s v="F2"/>
    <x v="20"/>
    <s v="L000013751"/>
    <m/>
    <s v="L000013687"/>
    <s v="Move"/>
    <x v="0"/>
    <x v="0"/>
    <s v="LS"/>
    <s v="MOVED in 1000"/>
    <m/>
    <s v="Ruby Grace Garcia"/>
  </r>
  <r>
    <n v="421"/>
    <s v="F2"/>
    <x v="20"/>
    <s v="L000013752"/>
    <m/>
    <s v="L000013687"/>
    <s v="Move"/>
    <x v="0"/>
    <x v="0"/>
    <s v="LS"/>
    <s v="MOVED in 1000"/>
    <m/>
    <s v="Ruby Grace Garcia"/>
  </r>
  <r>
    <n v="422"/>
    <s v="F2"/>
    <x v="20"/>
    <s v="L000013753"/>
    <m/>
    <s v="L000013687"/>
    <s v="Move"/>
    <x v="0"/>
    <x v="0"/>
    <s v="LS"/>
    <s v="MOVED in 1000"/>
    <m/>
    <s v="Ruby Grace Garcia"/>
  </r>
  <r>
    <n v="423"/>
    <s v="F2"/>
    <x v="20"/>
    <s v="L000013755"/>
    <m/>
    <s v="L000013687"/>
    <s v="Move"/>
    <x v="0"/>
    <x v="0"/>
    <s v="LS"/>
    <s v="MOVED in 1000"/>
    <m/>
    <s v="Ruby Grace Garcia"/>
  </r>
  <r>
    <n v="424"/>
    <s v="F2"/>
    <x v="20"/>
    <s v="L000013757"/>
    <m/>
    <s v="L000013687"/>
    <s v="Move"/>
    <x v="0"/>
    <x v="0"/>
    <s v="LS"/>
    <s v="MOVED in 1000"/>
    <m/>
    <s v="Ruby Grace Garcia"/>
  </r>
  <r>
    <n v="425"/>
    <s v="F2"/>
    <x v="20"/>
    <s v="L000013758"/>
    <m/>
    <s v="L000013687"/>
    <s v="Move"/>
    <x v="0"/>
    <x v="0"/>
    <s v="LS"/>
    <s v="MOVED in 1000"/>
    <m/>
    <s v="Ruby Grace Garcia"/>
  </r>
  <r>
    <n v="426"/>
    <s v="F2"/>
    <x v="20"/>
    <s v="L000013759"/>
    <m/>
    <s v="L000013687"/>
    <s v="Move"/>
    <x v="0"/>
    <x v="0"/>
    <s v="LS"/>
    <s v="MOVED in 1000"/>
    <m/>
    <s v="Ruby Grace Garcia"/>
  </r>
  <r>
    <n v="427"/>
    <s v="F2"/>
    <x v="20"/>
    <s v="L000013760"/>
    <m/>
    <s v="L000013687"/>
    <s v="Move"/>
    <x v="0"/>
    <x v="0"/>
    <s v="LS"/>
    <s v="MOVED in 1000"/>
    <m/>
    <s v="Ruby Grace Garcia"/>
  </r>
  <r>
    <n v="428"/>
    <s v="F2"/>
    <x v="20"/>
    <s v="L000013776"/>
    <m/>
    <s v="L000013687"/>
    <s v="Move"/>
    <x v="0"/>
    <x v="0"/>
    <s v="LS"/>
    <s v="MOVED in 1000"/>
    <m/>
    <s v="Ruby Grace Garcia"/>
  </r>
  <r>
    <n v="429"/>
    <s v="F2"/>
    <x v="20"/>
    <s v="L000013777"/>
    <m/>
    <s v="L000013687"/>
    <s v="Move"/>
    <x v="0"/>
    <x v="0"/>
    <s v="LS"/>
    <s v="MOVED in 1000"/>
    <m/>
    <s v="Ruby Grace Garcia"/>
  </r>
  <r>
    <n v="430"/>
    <s v="F2"/>
    <x v="20"/>
    <s v="L000013778"/>
    <m/>
    <s v="L000013687"/>
    <s v="Move"/>
    <x v="0"/>
    <x v="0"/>
    <s v="LS"/>
    <s v="MOVED in 1000"/>
    <m/>
    <s v="Ruby Grace Garcia"/>
  </r>
  <r>
    <n v="431"/>
    <s v="F2"/>
    <x v="20"/>
    <s v="L000013761"/>
    <m/>
    <s v="L000013687"/>
    <s v="Move"/>
    <x v="0"/>
    <x v="0"/>
    <s v="LS"/>
    <s v="MOVED in 1000"/>
    <m/>
    <s v="Ruby Grace Garcia"/>
  </r>
  <r>
    <n v="432"/>
    <s v="F2"/>
    <x v="20"/>
    <s v="L000011127"/>
    <m/>
    <s v="L000013687"/>
    <s v="Move"/>
    <x v="0"/>
    <x v="0"/>
    <s v="LS"/>
    <s v="MOVED in 1000"/>
    <m/>
    <s v="Ruby Grace Garcia"/>
  </r>
  <r>
    <n v="433"/>
    <s v="F2"/>
    <x v="20"/>
    <s v="L000011352"/>
    <m/>
    <s v="L000013687"/>
    <s v="Move"/>
    <x v="0"/>
    <x v="0"/>
    <s v="LS"/>
    <s v="MOVED in 1000"/>
    <m/>
    <s v="Ruby Grace Garcia"/>
  </r>
  <r>
    <n v="434"/>
    <s v="F2"/>
    <x v="20"/>
    <s v="L000013762"/>
    <m/>
    <s v="L000013687"/>
    <s v="Move"/>
    <x v="0"/>
    <x v="0"/>
    <s v="LS"/>
    <s v="MOVED in 1000"/>
    <m/>
    <s v="Ruby Grace Garcia"/>
  </r>
  <r>
    <n v="435"/>
    <s v="F2"/>
    <x v="20"/>
    <s v="L000013763"/>
    <m/>
    <s v="L000013687"/>
    <s v="Move"/>
    <x v="0"/>
    <x v="0"/>
    <s v="LS"/>
    <s v="MOVED in 1000"/>
    <m/>
    <s v="Ruby Grace Garcia"/>
  </r>
  <r>
    <n v="436"/>
    <s v="F2"/>
    <x v="20"/>
    <s v="L000013764"/>
    <m/>
    <s v="L000013687"/>
    <s v="Move"/>
    <x v="0"/>
    <x v="0"/>
    <s v="LS"/>
    <s v="MOVED in 1000"/>
    <m/>
    <s v="Ruby Grace Garcia"/>
  </r>
  <r>
    <n v="437"/>
    <s v="F2"/>
    <x v="20"/>
    <s v="L000013765"/>
    <m/>
    <s v="L000013687"/>
    <s v="Move"/>
    <x v="0"/>
    <x v="0"/>
    <s v="LS"/>
    <s v="MOVED in 1000"/>
    <m/>
    <s v="Ruby Grace Garcia"/>
  </r>
  <r>
    <n v="438"/>
    <s v="F2"/>
    <x v="20"/>
    <s v="L000013766"/>
    <m/>
    <s v="L000013687"/>
    <s v="Move"/>
    <x v="0"/>
    <x v="0"/>
    <s v="LS"/>
    <s v="MOVED in 1000"/>
    <m/>
    <s v="Ruby Grace Garcia"/>
  </r>
  <r>
    <n v="439"/>
    <s v="F2"/>
    <x v="20"/>
    <s v="L000013767"/>
    <m/>
    <s v="L000013687"/>
    <s v="Move"/>
    <x v="0"/>
    <x v="0"/>
    <s v="LS"/>
    <s v="MOVED in 1000"/>
    <m/>
    <s v="Ruby Grace Garcia"/>
  </r>
  <r>
    <n v="440"/>
    <s v="F2"/>
    <x v="20"/>
    <s v="L000013768"/>
    <m/>
    <s v="L000013687"/>
    <s v="Move"/>
    <x v="0"/>
    <x v="0"/>
    <s v="LS"/>
    <s v="MOVED in 1000"/>
    <m/>
    <s v="Ruby Grace Garcia"/>
  </r>
  <r>
    <n v="441"/>
    <s v="F2"/>
    <x v="20"/>
    <s v="L000013769"/>
    <m/>
    <s v="L000013687"/>
    <s v="Move"/>
    <x v="0"/>
    <x v="0"/>
    <s v="LS"/>
    <s v="MOVED in 1000"/>
    <m/>
    <s v="Ruby Grace Garcia"/>
  </r>
  <r>
    <n v="442"/>
    <s v="F2"/>
    <x v="21"/>
    <s v="G000001265"/>
    <s v="GMR MBS Innovation &amp; Data-Int.Automation"/>
    <m/>
    <s v="Rename"/>
    <x v="0"/>
    <x v="0"/>
    <s v="MGF"/>
    <s v="Created on both 1000; name is okay"/>
    <m/>
    <s v="Jojeff Tagnong"/>
  </r>
  <r>
    <n v="443"/>
    <s v="F2"/>
    <x v="21"/>
    <s v="G000001211"/>
    <s v="GLW MBS FS&amp;P PO-Perform.Mgmt &amp;Compl. PO"/>
    <m/>
    <s v="Rename"/>
    <x v="0"/>
    <x v="0"/>
    <s v="MGF"/>
    <s v="Created on both 1000; name is okay"/>
    <m/>
    <s v="Jojeff Tagnong"/>
  </r>
  <r>
    <n v="444"/>
    <s v="F2"/>
    <x v="21"/>
    <s v="G000001219"/>
    <s v="GMG MBS FS&amp;P Ent.S.-Communication Serv."/>
    <m/>
    <s v="Rename"/>
    <x v="0"/>
    <x v="0"/>
    <s v="MGF"/>
    <s v="Created on both 1000; name is okay"/>
    <m/>
    <s v="Jojeff Tagnong"/>
  </r>
  <r>
    <n v="445"/>
    <s v="F2"/>
    <x v="21"/>
    <s v="G000000006"/>
    <s v="F79 CO - Group Controlling"/>
    <m/>
    <s v="Rename"/>
    <x v="0"/>
    <x v="0"/>
    <s v="MGF"/>
    <s v="Created on both 1000; name is okay"/>
    <m/>
    <s v="Jojeff Tagnong"/>
  </r>
  <r>
    <n v="446"/>
    <s v="F2"/>
    <x v="21"/>
    <s v="G000000008"/>
    <s v="GK3 CO - Group Controlling (L2)"/>
    <m/>
    <s v="Rename"/>
    <x v="0"/>
    <x v="0"/>
    <s v="MGF"/>
    <s v="Created on both 1000; name is okay"/>
    <m/>
    <s v="Jojeff Tagnong"/>
  </r>
  <r>
    <n v="447"/>
    <s v="F2"/>
    <x v="21"/>
    <s v="G000001287"/>
    <s v="GYG MBS Hub Bangalore - SLS Buss Operati"/>
    <m/>
    <s v="Rename"/>
    <x v="0"/>
    <x v="0"/>
    <s v="MGF"/>
    <s v="Created on both 1000; name is okay"/>
    <m/>
    <s v="Jojeff Tagnong"/>
  </r>
  <r>
    <n v="448"/>
    <s v="F2"/>
    <x v="21"/>
    <s v="G000001288"/>
    <s v="GYG MBS Hub Bangalore - SLS Biomonitor"/>
    <m/>
    <s v="Rename"/>
    <x v="0"/>
    <x v="0"/>
    <s v="MGF"/>
    <s v="Created on both 1000; name is okay"/>
    <m/>
    <s v="Jojeff Tagnong"/>
  </r>
  <r>
    <n v="449"/>
    <s v="F2"/>
    <x v="21"/>
    <s v="G000001289"/>
    <s v="GYG MBS Hub Bangalore - SLS Diagnistics"/>
    <m/>
    <s v="Rename"/>
    <x v="0"/>
    <x v="0"/>
    <s v="MGF"/>
    <s v="Created on both 1000; name is okay"/>
    <m/>
    <s v="Jojeff Tagnong"/>
  </r>
  <r>
    <n v="450"/>
    <s v="F2"/>
    <x v="21"/>
    <s v="G000001290"/>
    <s v="GYG MBS Hub Bangalore - SLS Lab Water"/>
    <m/>
    <s v="Rename"/>
    <x v="0"/>
    <x v="0"/>
    <s v="MGF"/>
    <s v="Created on both 1000; name is okay"/>
    <m/>
    <s v="Jojeff Tagnong"/>
  </r>
  <r>
    <n v="451"/>
    <s v="F2"/>
    <x v="21"/>
    <s v="G000001291"/>
    <s v="GYG MBS Hub Bangalore - SLS eCommerce"/>
    <m/>
    <s v="Rename"/>
    <x v="0"/>
    <x v="0"/>
    <s v="MGF"/>
    <s v="Created on both 1000; name is okay"/>
    <m/>
    <s v="Jojeff Tagnong"/>
  </r>
  <r>
    <n v="452"/>
    <s v="F2"/>
    <x v="21"/>
    <s v="G000001292"/>
    <s v="GYG MBS Hub Bangalore - SLS  Chemistry"/>
    <m/>
    <s v="Rename"/>
    <x v="0"/>
    <x v="0"/>
    <s v="MGF"/>
    <s v="Created on both 1000; name is okay"/>
    <m/>
    <s v="Jojeff Tagnong"/>
  </r>
  <r>
    <n v="453"/>
    <s v="F2"/>
    <x v="21"/>
    <s v="G000001293"/>
    <s v="GYG MBS Hub Bangalore - SLS Comm America"/>
    <m/>
    <s v="Rename"/>
    <x v="0"/>
    <x v="0"/>
    <s v="MGF"/>
    <s v="Created on both 1000; name is okay"/>
    <m/>
    <s v="Jojeff Tagnong"/>
  </r>
  <r>
    <n v="454"/>
    <s v="F2"/>
    <x v="21"/>
    <s v="G000001294"/>
    <s v="GYG MBS Hub Bangalore - SLS Comm APAC"/>
    <m/>
    <s v="Rename"/>
    <x v="0"/>
    <x v="0"/>
    <s v="MGF"/>
    <s v="Created on both 1000; name is okay"/>
    <m/>
    <s v="Jojeff Tagnong"/>
  </r>
  <r>
    <n v="455"/>
    <s v="F2"/>
    <x v="21"/>
    <s v="G000001295"/>
    <s v="GYG MBS Hub Bangalore - SLS Comm EMEA"/>
    <m/>
    <s v="Rename"/>
    <x v="0"/>
    <x v="0"/>
    <s v="MGF"/>
    <s v="Created on both 1000; name is okay"/>
    <m/>
    <s v="Jojeff Tagnong"/>
  </r>
  <r>
    <n v="456"/>
    <s v="F2"/>
    <x v="21"/>
    <s v="G000001296"/>
    <s v="GYG MBS Hub Bangalore - SLS Biology"/>
    <m/>
    <s v="Rename"/>
    <x v="0"/>
    <x v="0"/>
    <s v="MGF"/>
    <s v="Created on both 1000; name is okay"/>
    <m/>
    <s v="Jojeff Tagnong"/>
  </r>
  <r>
    <n v="457"/>
    <s v="F2"/>
    <x v="21"/>
    <s v="G000001299"/>
    <s v="GYH MBS Hub Bangalore - LSS ContractTest"/>
    <m/>
    <s v="Rename"/>
    <x v="0"/>
    <x v="0"/>
    <s v="MGF"/>
    <s v="Created on both 1000; name is okay"/>
    <m/>
    <s v="Jojeff Tagnong"/>
  </r>
  <r>
    <n v="458"/>
    <s v="F2"/>
    <x v="21"/>
    <s v="G000001302"/>
    <s v="GYI MBS Hub Bangalore - PS Global Strat"/>
    <m/>
    <s v="Rename"/>
    <x v="0"/>
    <x v="0"/>
    <s v="MGF"/>
    <s v="Created on both 1000; name is okay"/>
    <m/>
    <s v="Jojeff Tagnong"/>
  </r>
  <r>
    <n v="459"/>
    <s v="F2"/>
    <x v="21"/>
    <s v="G000001303"/>
    <s v="GYI MBS Hub Bangalore - PS Buss Franch"/>
    <m/>
    <s v="Rename"/>
    <x v="0"/>
    <x v="0"/>
    <s v="MGF"/>
    <s v="Created on both 1000; name is okay"/>
    <m/>
    <s v="Jojeff Tagnong"/>
  </r>
  <r>
    <n v="460"/>
    <s v="F2"/>
    <x v="21"/>
    <s v="G000001306"/>
    <s v="GYJ MBS Hub Bangalore - ISCO Supp Chain"/>
    <m/>
    <s v="Rename"/>
    <x v="0"/>
    <x v="0"/>
    <s v="MGF"/>
    <s v="Created on both 1000; name is okay"/>
    <m/>
    <s v="Jojeff Tagnong"/>
  </r>
  <r>
    <n v="461"/>
    <s v="F2"/>
    <x v="21"/>
    <s v="G000001307"/>
    <s v="GYJ MBS Hub Bangalore - ISCO Glob Plant"/>
    <m/>
    <s v="Rename"/>
    <x v="0"/>
    <x v="0"/>
    <s v="MGF"/>
    <s v="Created on both 1000; name is okay"/>
    <m/>
    <s v="Jojeff Tagnong"/>
  </r>
  <r>
    <n v="462"/>
    <s v="F2"/>
    <x v="21"/>
    <s v="G000001308"/>
    <s v="GYJ MBS Hub Bangalore - ISCO WH &amp; Dis"/>
    <m/>
    <s v="Rename"/>
    <x v="0"/>
    <x v="0"/>
    <s v="MGF"/>
    <s v="Created on both 1000; name is okay"/>
    <m/>
    <s v="Jojeff Tagnong"/>
  </r>
  <r>
    <n v="463"/>
    <s v="F2"/>
    <x v="21"/>
    <s v="G000001309"/>
    <s v="GYJ MBS Hub Bangalore - ISCO Val Stream"/>
    <m/>
    <s v="Rename"/>
    <x v="0"/>
    <x v="0"/>
    <s v="MGF"/>
    <s v="Created on both 1000; name is okay"/>
    <m/>
    <s v="Jojeff Tagnong"/>
  </r>
  <r>
    <n v="464"/>
    <s v="F2"/>
    <x v="21"/>
    <s v="G000001310"/>
    <s v="GYJ MBS Hub Bangalore - ISCO WCOGS"/>
    <m/>
    <s v="Rename"/>
    <x v="0"/>
    <x v="0"/>
    <s v="MGF"/>
    <s v="Created on both 1000; name is okay"/>
    <m/>
    <s v="Jojeff Tagnong"/>
  </r>
  <r>
    <n v="465"/>
    <s v="F2"/>
    <x v="21"/>
    <s v="G000001311"/>
    <s v="GYJ MBS Hub Bangalore - ISCO Tech &amp; Eng."/>
    <m/>
    <s v="Rename"/>
    <x v="0"/>
    <x v="0"/>
    <s v="MGF"/>
    <s v="Created on both 1000; name is okay"/>
    <m/>
    <s v="Jojeff Tagnong"/>
  </r>
  <r>
    <n v="466"/>
    <s v="F2"/>
    <x v="21"/>
    <s v="G000001314"/>
    <s v="GYK MBS Hub Bangalore - EF GSS COE Buss"/>
    <m/>
    <s v="Rename"/>
    <x v="0"/>
    <x v="0"/>
    <s v="MGF"/>
    <s v="Created on both 1000; name is okay"/>
    <m/>
    <s v="Jojeff Tagnong"/>
  </r>
  <r>
    <n v="467"/>
    <s v="F2"/>
    <x v="21"/>
    <s v="G000001315"/>
    <s v="GYK MBS Hub Bangalore - EF GSS COE STO"/>
    <m/>
    <s v="Rename"/>
    <x v="0"/>
    <x v="0"/>
    <s v="MGF"/>
    <s v="Created on both 1000; name is okay"/>
    <m/>
    <s v="Jojeff Tagnong"/>
  </r>
  <r>
    <n v="468"/>
    <s v="F2"/>
    <x v="21"/>
    <s v="G000001316"/>
    <s v="GYK MBS Hub Bangalore - EF GSS COE Tech"/>
    <m/>
    <s v="Rename"/>
    <x v="0"/>
    <x v="0"/>
    <s v="MGF"/>
    <s v="Created on both 1000; name is okay"/>
    <m/>
    <s v="Jojeff Tagnong"/>
  </r>
  <r>
    <n v="469"/>
    <s v="F2"/>
    <x v="21"/>
    <s v="G000001317"/>
    <s v="GYK MBS Hub Bangalore - EF GSS COE QRM"/>
    <m/>
    <s v="Rename"/>
    <x v="0"/>
    <x v="0"/>
    <s v="MGF"/>
    <s v="Created on both 1000; name is okay"/>
    <m/>
    <s v="Jojeff Tagnong"/>
  </r>
  <r>
    <n v="470"/>
    <s v="F2"/>
    <x v="21"/>
    <s v="G000001318"/>
    <s v="GYK MBS Hub Bangalore - EF GSS COE Sour."/>
    <m/>
    <s v="Rename"/>
    <x v="0"/>
    <x v="0"/>
    <s v="MGF"/>
    <s v="Created on both 1000; name is okay"/>
    <m/>
    <s v="Jojeff Tagnong"/>
  </r>
  <r>
    <n v="471"/>
    <s v="F2"/>
    <x v="21"/>
    <s v="G000001319"/>
    <s v="GYK MBS Hub Bangalore - EF GSS COE Admin"/>
    <m/>
    <s v="Rename"/>
    <x v="0"/>
    <x v="0"/>
    <s v="MGF"/>
    <s v="Created on both 1000; name is okay"/>
    <m/>
    <s v="Jojeff Tagnong"/>
  </r>
  <r>
    <n v="472"/>
    <s v="F2"/>
    <x v="21"/>
    <s v="G000001322"/>
    <s v="GYL MBS I&amp;D - SLS Business Operation"/>
    <m/>
    <s v="Rename"/>
    <x v="0"/>
    <x v="0"/>
    <s v="MGF"/>
    <s v="Created on both 1000; name is okay"/>
    <m/>
    <s v="Jojeff Tagnong"/>
  </r>
  <r>
    <n v="473"/>
    <s v="F2"/>
    <x v="21"/>
    <s v="G000001323"/>
    <s v="GYL MBS I&amp;D - SLS Biomonitoring"/>
    <m/>
    <s v="Rename"/>
    <x v="0"/>
    <x v="0"/>
    <s v="MGF"/>
    <s v="Created on both 1000; name is okay"/>
    <m/>
    <s v="Jojeff Tagnong"/>
  </r>
  <r>
    <n v="474"/>
    <s v="F2"/>
    <x v="21"/>
    <s v="G000001324"/>
    <s v="GYL MBS I&amp;D - SLS Diagnistics &amp; Reg. Ma"/>
    <m/>
    <s v="Rename"/>
    <x v="0"/>
    <x v="0"/>
    <s v="MGF"/>
    <s v="Created on both 1000; name is okay"/>
    <m/>
    <s v="Jojeff Tagnong"/>
  </r>
  <r>
    <n v="475"/>
    <s v="F2"/>
    <x v="21"/>
    <s v="G000001325"/>
    <s v="GYL MBS I&amp;D - SLS Lab Water"/>
    <m/>
    <s v="Rename"/>
    <x v="0"/>
    <x v="0"/>
    <s v="MGF"/>
    <s v="Created on both 1000; name is okay"/>
    <m/>
    <s v="Jojeff Tagnong"/>
  </r>
  <r>
    <n v="476"/>
    <s v="F2"/>
    <x v="21"/>
    <s v="G000001326"/>
    <s v="GYL MBS I&amp;D - SLS eCommerce"/>
    <m/>
    <s v="Rename"/>
    <x v="0"/>
    <x v="0"/>
    <s v="MGF"/>
    <s v="Created on both 1000; name is okay"/>
    <m/>
    <s v="Jojeff Tagnong"/>
  </r>
  <r>
    <n v="477"/>
    <s v="F2"/>
    <x v="21"/>
    <s v="G000001327"/>
    <s v="GYL MBS I&amp;D - SLS  Chemistry"/>
    <m/>
    <s v="Rename"/>
    <x v="0"/>
    <x v="0"/>
    <s v="MGF"/>
    <s v="Created on both 1000; name is okay"/>
    <m/>
    <s v="Jojeff Tagnong"/>
  </r>
  <r>
    <n v="478"/>
    <s v="F2"/>
    <x v="21"/>
    <s v="G000001328"/>
    <s v="GYL MBS I&amp;D - SLS Comm Americas"/>
    <m/>
    <s v="Rename"/>
    <x v="0"/>
    <x v="0"/>
    <s v="MGF"/>
    <s v="Created on both 1000; name is okay"/>
    <m/>
    <s v="Jojeff Tagnong"/>
  </r>
  <r>
    <n v="479"/>
    <s v="F2"/>
    <x v="21"/>
    <s v="G000001329"/>
    <s v="GYL MBS I&amp;D - SLS SLS Commercial APAC"/>
    <m/>
    <s v="Rename"/>
    <x v="0"/>
    <x v="0"/>
    <s v="MGF"/>
    <s v="Created on both 1000; name is okay"/>
    <m/>
    <s v="Jojeff Tagnong"/>
  </r>
  <r>
    <n v="480"/>
    <s v="F2"/>
    <x v="21"/>
    <s v="G000001330"/>
    <s v="GYL MBS I&amp;D - SLS SLS Commercial EMEA"/>
    <m/>
    <s v="Rename"/>
    <x v="0"/>
    <x v="0"/>
    <s v="MGF"/>
    <s v="Created on both 1000; name is okay"/>
    <m/>
    <s v="Jojeff Tagnong"/>
  </r>
  <r>
    <n v="481"/>
    <s v="F2"/>
    <x v="21"/>
    <s v="G000001331"/>
    <s v="GYL MBS I&amp;D - SLS Biology"/>
    <m/>
    <s v="Rename"/>
    <x v="0"/>
    <x v="0"/>
    <s v="MGF"/>
    <s v="Created on both 1000; name is okay"/>
    <m/>
    <s v="Jojeff Tagnong"/>
  </r>
  <r>
    <n v="482"/>
    <s v="F2"/>
    <x v="21"/>
    <s v="G000001334"/>
    <s v="GYM MBS I&amp;D - LSS Contract Testing Serv"/>
    <m/>
    <s v="Rename"/>
    <x v="0"/>
    <x v="0"/>
    <s v="MGF"/>
    <s v="Created on both 1000; name is okay"/>
    <m/>
    <s v="Jojeff Tagnong"/>
  </r>
  <r>
    <n v="483"/>
    <s v="F2"/>
    <x v="21"/>
    <s v="G000001337"/>
    <s v="GYN MBS I&amp;D - PS Global Strat Accounts &amp;"/>
    <m/>
    <s v="Rename"/>
    <x v="0"/>
    <x v="0"/>
    <s v="MGF"/>
    <s v="Created on both 1000; name is okay"/>
    <m/>
    <s v="Jojeff Tagnong"/>
  </r>
  <r>
    <n v="484"/>
    <s v="F2"/>
    <x v="21"/>
    <s v="G000001338"/>
    <s v="GYN MBS I&amp;D - PS Business Franchises"/>
    <m/>
    <s v="Rename"/>
    <x v="0"/>
    <x v="0"/>
    <s v="MGF"/>
    <s v="Created on both 1000; name is okay"/>
    <m/>
    <s v="Jojeff Tagnong"/>
  </r>
  <r>
    <n v="485"/>
    <s v="F2"/>
    <x v="21"/>
    <s v="G000001341"/>
    <s v="GYO MBS I&amp;D - ISCO Supply Chain &amp; Distri"/>
    <m/>
    <s v="Rename"/>
    <x v="0"/>
    <x v="0"/>
    <s v="MGF"/>
    <s v="Created on both 1000; name is okay"/>
    <m/>
    <s v="Jojeff Tagnong"/>
  </r>
  <r>
    <n v="486"/>
    <s v="F2"/>
    <x v="21"/>
    <s v="G000001342"/>
    <s v="GYO MBS I&amp;D - ISCO Global Plant Op"/>
    <m/>
    <s v="Rename"/>
    <x v="0"/>
    <x v="0"/>
    <s v="MGF"/>
    <s v="Created on both 1000; name is okay"/>
    <m/>
    <s v="Jojeff Tagnong"/>
  </r>
  <r>
    <n v="487"/>
    <s v="F2"/>
    <x v="21"/>
    <s v="G000001343"/>
    <s v="GYO MBS I&amp;D - ISCO Warehouse &amp; Distri"/>
    <m/>
    <s v="Rename"/>
    <x v="0"/>
    <x v="0"/>
    <s v="MGF"/>
    <s v="Created on both 1000; name is okay"/>
    <m/>
    <s v="Jojeff Tagnong"/>
  </r>
  <r>
    <n v="488"/>
    <s v="F2"/>
    <x v="21"/>
    <s v="G000001344"/>
    <s v="GYO MBS I&amp;D - ISCO PS Value Stream"/>
    <m/>
    <s v="Rename"/>
    <x v="0"/>
    <x v="0"/>
    <s v="MGF"/>
    <s v="Created on both 1000; name is okay"/>
    <m/>
    <s v="Jojeff Tagnong"/>
  </r>
  <r>
    <n v="489"/>
    <s v="F2"/>
    <x v="21"/>
    <s v="G000001345"/>
    <s v="GYO MBS I&amp;D - ISCO WCOGS"/>
    <m/>
    <s v="Rename"/>
    <x v="0"/>
    <x v="0"/>
    <s v="MGF"/>
    <s v="Created on both 1000; name is okay"/>
    <m/>
    <s v="Jojeff Tagnong"/>
  </r>
  <r>
    <n v="490"/>
    <s v="F2"/>
    <x v="21"/>
    <s v="G000001346"/>
    <s v="GYO MBS I&amp;D - ISCO Tech &amp; Eng."/>
    <m/>
    <s v="Rename"/>
    <x v="0"/>
    <x v="0"/>
    <s v="MGF"/>
    <s v="Created on both 1000; name is okay"/>
    <m/>
    <s v="Jojeff Tagnong"/>
  </r>
  <r>
    <n v="491"/>
    <s v="F2"/>
    <x v="21"/>
    <s v="G000001349"/>
    <s v="GYP MBS I&amp;D - EF GSS COE Buss &amp; Market S"/>
    <m/>
    <s v="Rename"/>
    <x v="0"/>
    <x v="0"/>
    <s v="MGF"/>
    <s v="Created on both 1000; name is okay"/>
    <m/>
    <s v="Jojeff Tagnong"/>
  </r>
  <r>
    <n v="492"/>
    <s v="F2"/>
    <x v="21"/>
    <s v="G000001350"/>
    <s v="GYP MBS I&amp;D - EF GSS COE STO"/>
    <m/>
    <s v="Rename"/>
    <x v="0"/>
    <x v="0"/>
    <s v="MGF"/>
    <s v="Created on both 1000; name is okay"/>
    <m/>
    <s v="Jojeff Tagnong"/>
  </r>
  <r>
    <n v="493"/>
    <s v="F2"/>
    <x v="21"/>
    <s v="G000001351"/>
    <s v="GYP MBS I&amp;D - EF GSS COE Tech Office"/>
    <m/>
    <s v="Rename"/>
    <x v="0"/>
    <x v="0"/>
    <s v="MGF"/>
    <s v="Created on both 1000; name is okay"/>
    <m/>
    <s v="Jojeff Tagnong"/>
  </r>
  <r>
    <n v="494"/>
    <s v="F2"/>
    <x v="21"/>
    <s v="G000001352"/>
    <s v="GYP MBS I&amp;D - EF GSS COE LS QRM"/>
    <m/>
    <s v="Rename"/>
    <x v="0"/>
    <x v="0"/>
    <s v="MGF"/>
    <s v="Created on both 1000; name is okay"/>
    <m/>
    <s v="Jojeff Tagnong"/>
  </r>
  <r>
    <n v="495"/>
    <s v="F2"/>
    <x v="21"/>
    <s v="G000001353"/>
    <s v="GYP MBS I&amp;D - EF GSS COE EF Sourcing"/>
    <m/>
    <s v="Rename"/>
    <x v="0"/>
    <x v="0"/>
    <s v="MGF"/>
    <s v="Created on both 1000; name is okay"/>
    <m/>
    <s v="Jojeff Tagnong"/>
  </r>
  <r>
    <n v="496"/>
    <s v="F2"/>
    <x v="21"/>
    <s v="G000001354"/>
    <s v="GYP MBS I&amp;D - EF GSS COE Administration"/>
    <m/>
    <s v="Rename"/>
    <x v="0"/>
    <x v="0"/>
    <s v="MGF"/>
    <s v="Created on both 1000; name is okay"/>
    <m/>
    <s v="Jojeff Tagnong"/>
  </r>
  <r>
    <n v="497"/>
    <s v="F2"/>
    <x v="21"/>
    <s v="G000001359"/>
    <s v="FK6 BX-P - Re-Allocatable External Costs"/>
    <s v="G000000613"/>
    <s v="New"/>
    <x v="0"/>
    <x v="0"/>
    <s v="MGF"/>
    <s v="Created on both 1000; name is okay"/>
    <m/>
    <s v="Jojeff Tagnong"/>
  </r>
  <r>
    <n v="498"/>
    <s v="F2"/>
    <x v="21"/>
    <s v="G000001360"/>
    <s v="G7J Lumina FTO &amp; FTOM"/>
    <s v="G000000622"/>
    <s v="New"/>
    <x v="0"/>
    <x v="0"/>
    <s v="MGF"/>
    <s v="Created on both 1000; name is okay"/>
    <m/>
    <s v="Jojeff Tagnong"/>
  </r>
  <r>
    <n v="499"/>
    <s v="F2"/>
    <x v="21"/>
    <s v="G000001361"/>
    <s v="G7K Lumina Planning &amp; Reporting"/>
    <s v="G000000622"/>
    <s v="New"/>
    <x v="0"/>
    <x v="0"/>
    <s v="MGF"/>
    <s v="Created on both 1000; name is okay"/>
    <m/>
    <s v="Jojeff Tagnong"/>
  </r>
  <r>
    <n v="500"/>
    <s v="F2"/>
    <x v="21"/>
    <s v="G000001362"/>
    <s v="G7L Lumina Reporting &amp; GP Processes"/>
    <s v="G000000622"/>
    <s v="New"/>
    <x v="0"/>
    <x v="0"/>
    <s v="MGF"/>
    <s v="Created on both 1000; name is okay"/>
    <m/>
    <s v="Jojeff Tagnong"/>
  </r>
  <r>
    <n v="501"/>
    <s v="F2"/>
    <x v="2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502"/>
    <s v="F2"/>
    <x v="21"/>
    <s v="G000001364"/>
    <s v="G7N Lumina Regulatory Requirements"/>
    <s v="G000000622"/>
    <s v="New"/>
    <x v="0"/>
    <x v="0"/>
    <s v="MGF"/>
    <s v="Created on both 1000; name is okay"/>
    <m/>
    <s v="Jojeff Tagnong"/>
  </r>
  <r>
    <n v="503"/>
    <s v="F2"/>
    <x v="21"/>
    <s v="G000001365"/>
    <s v="G7O Process Excellence"/>
    <s v="G000000622"/>
    <s v="New"/>
    <x v="0"/>
    <x v="0"/>
    <s v="MGF"/>
    <s v="Created on both 1000; name is okay"/>
    <m/>
    <s v="Jojeff Tagnong"/>
  </r>
  <r>
    <n v="504"/>
    <s v="F2"/>
    <x v="21"/>
    <s v="G000001366"/>
    <s v="G7P LEAP"/>
    <s v="G000000622"/>
    <s v="New"/>
    <x v="0"/>
    <x v="0"/>
    <s v="MGF"/>
    <s v="Created on both 1000; name is okay"/>
    <m/>
    <s v="Jojeff Tagnong"/>
  </r>
  <r>
    <n v="505"/>
    <s v="F2"/>
    <x v="21"/>
    <s v="G000001367"/>
    <s v="FAX MBS Invoice to Cash"/>
    <s v="G000000184"/>
    <s v="New"/>
    <x v="0"/>
    <x v="0"/>
    <s v="MGF"/>
    <s v="Created on both 1000; name is okay"/>
    <m/>
    <s v="Jojeff Tagnong"/>
  </r>
  <r>
    <n v="506"/>
    <s v="F2"/>
    <x v="21"/>
    <s v="G000001368"/>
    <s v="FAX - MGF Reporting"/>
    <s v="G000001367"/>
    <s v="New"/>
    <x v="0"/>
    <x v="0"/>
    <s v="MGF"/>
    <s v="Created on both 1000; name is okay"/>
    <m/>
    <s v="Jojeff Tagnong"/>
  </r>
  <r>
    <n v="507"/>
    <s v="F2"/>
    <x v="21"/>
    <s v="G000001369"/>
    <s v="FAX - non-MGF Reporting"/>
    <s v="G000001367"/>
    <s v="New"/>
    <x v="0"/>
    <x v="0"/>
    <s v="MGF"/>
    <s v="Created on both 1000; name is okay"/>
    <m/>
    <s v="Jojeff Tagnong"/>
  </r>
  <r>
    <n v="508"/>
    <s v="F2"/>
    <x v="21"/>
    <s v="G000001370"/>
    <s v="GMW MBS Invoice to Cash"/>
    <s v="G000001368"/>
    <s v="New"/>
    <x v="0"/>
    <x v="0"/>
    <s v="MGF"/>
    <s v="Created on both 1000; name is okay"/>
    <m/>
    <s v="Jojeff Tagnong"/>
  </r>
  <r>
    <n v="509"/>
    <s v="F2"/>
    <x v="21"/>
    <s v="G000001371"/>
    <s v="FAX MBS - Intercompany Charges"/>
    <s v="G000001369"/>
    <s v="New"/>
    <x v="0"/>
    <x v="0"/>
    <s v="MGF"/>
    <s v="Created on both 1000; name is okay"/>
    <m/>
    <s v="Jojeff Tagnong"/>
  </r>
  <r>
    <n v="510"/>
    <s v="F2"/>
    <x v="21"/>
    <s v="G000001372"/>
    <s v="FAX MBS - Exceptionals"/>
    <s v="G000001369"/>
    <s v="New"/>
    <x v="0"/>
    <x v="0"/>
    <s v="MGF"/>
    <s v="Created on both 1000; name is okay"/>
    <m/>
    <s v="Jojeff Tagnong"/>
  </r>
  <r>
    <n v="511"/>
    <s v="F2"/>
    <x v="21"/>
    <s v="G000001373"/>
    <s v="GMX MBS Hub Manila - ABP"/>
    <s v="G000001142"/>
    <s v="New"/>
    <x v="0"/>
    <x v="0"/>
    <s v="MGF"/>
    <s v="Created on both 1000; name is okay"/>
    <m/>
    <s v="Jojeff Tagnong"/>
  </r>
  <r>
    <n v="512"/>
    <s v="F2"/>
    <x v="21"/>
    <s v="G000001374"/>
    <s v="GMY MBS Hub Bangalore - ABP"/>
    <s v="G000001144"/>
    <s v="New"/>
    <x v="0"/>
    <x v="0"/>
    <s v="MGF"/>
    <s v="Created on both 1000; name is okay"/>
    <m/>
    <s v="Jojeff Tagnong"/>
  </r>
  <r>
    <n v="513"/>
    <s v="F2"/>
    <x v="21"/>
    <s v="G000000563"/>
    <m/>
    <s v="O000000009"/>
    <s v="Delete"/>
    <x v="0"/>
    <x v="0"/>
    <s v="MGF"/>
    <s v="Created on both 1000; name is okay"/>
    <m/>
    <s v="Jojeff Tagnong"/>
  </r>
  <r>
    <n v="514"/>
    <s v="F2"/>
    <x v="22"/>
    <s v="P000001268"/>
    <s v="Brand Development"/>
    <s v="P000001200"/>
    <s v="New"/>
    <x v="0"/>
    <x v="0"/>
    <s v="EL"/>
    <s v="Created on both 1000; name is okay"/>
    <m/>
    <s v="Eivy Denine Cruz"/>
  </r>
  <r>
    <n v="515"/>
    <s v="F2"/>
    <x v="22"/>
    <s v="P000001269"/>
    <s v="Books &amp; Records"/>
    <s v="P000001200"/>
    <s v="New"/>
    <x v="0"/>
    <x v="0"/>
    <s v="EL"/>
    <s v="Created on both 1000; name is okay"/>
    <m/>
    <s v="Eivy Denine Cruz"/>
  </r>
  <r>
    <n v="516"/>
    <s v="F2"/>
    <x v="22"/>
    <s v="P000001270"/>
    <s v="Functional built-ups"/>
    <s v="P000001200"/>
    <s v="New"/>
    <x v="0"/>
    <x v="0"/>
    <s v="EL"/>
    <s v="Created on both 1000; name is okay"/>
    <m/>
    <s v="Eivy Denine Cruz"/>
  </r>
  <r>
    <n v="517"/>
    <s v="F2"/>
    <x v="22"/>
    <s v="P000001271"/>
    <s v="SPICE HR"/>
    <s v="P000001208"/>
    <s v="New"/>
    <x v="0"/>
    <x v="0"/>
    <s v="EL"/>
    <s v="Created on both 1000; name is okay"/>
    <m/>
    <s v="Eivy Denine Cruz"/>
  </r>
  <r>
    <n v="518"/>
    <s v="F2"/>
    <x v="22"/>
    <s v="P000001272"/>
    <s v="EL-SC-ED ELDP"/>
    <s v="P000000635"/>
    <s v="New"/>
    <x v="0"/>
    <x v="0"/>
    <s v="EL"/>
    <s v="Created on both 1000; name is okay"/>
    <m/>
    <s v="Eivy Denine Cruz"/>
  </r>
  <r>
    <n v="519"/>
    <s v="F2"/>
    <x v="22"/>
    <s v="P000001273"/>
    <s v="Non-transferring assets"/>
    <s v="P000001208"/>
    <s v="New"/>
    <x v="0"/>
    <x v="0"/>
    <s v="EL"/>
    <s v="Created on both 1000; name is okay"/>
    <m/>
    <s v="Eivy Denine Cruz"/>
  </r>
  <r>
    <n v="520"/>
    <s v="F2"/>
    <x v="22"/>
    <s v="P000001274"/>
    <s v="EL-ND BU Head &amp; Other"/>
    <s v="P000000554"/>
    <s v="New"/>
    <x v="0"/>
    <x v="0"/>
    <s v="EL"/>
    <s v="Created on both 1000; name is okay"/>
    <m/>
    <s v="Eivy Denine Cruz"/>
  </r>
  <r>
    <n v="521"/>
    <s v="F2"/>
    <x v="22"/>
    <s v="P000001275"/>
    <s v="EL-ND DSS Global ISC"/>
    <s v="P000000554"/>
    <s v="New"/>
    <x v="0"/>
    <x v="0"/>
    <s v="EL"/>
    <s v="Created on both 1000; name is okay"/>
    <m/>
    <s v="Eivy Denine Cruz"/>
  </r>
  <r>
    <n v="522"/>
    <s v="F2"/>
    <x v="22"/>
    <s v="P000001276"/>
    <s v="EL-ND DSS Global Head"/>
    <s v="P000000554"/>
    <s v="New"/>
    <x v="0"/>
    <x v="0"/>
    <s v="EL"/>
    <s v="Created on both 1000; name is okay"/>
    <m/>
    <s v="Eivy Denine Cruz"/>
  </r>
  <r>
    <n v="523"/>
    <s v="F2"/>
    <x v="2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524"/>
    <s v="F2"/>
    <x v="22"/>
    <s v="P000001278"/>
    <s v="DSS Global Production"/>
    <s v="P000001275"/>
    <s v="New"/>
    <x v="0"/>
    <x v="0"/>
    <s v="EL"/>
    <s v="Created on both 1000; name is okay"/>
    <m/>
    <s v="Eivy Denine Cruz"/>
  </r>
  <r>
    <n v="525"/>
    <s v="F2"/>
    <x v="22"/>
    <s v="P000001279"/>
    <s v="DSS Global Services"/>
    <s v="P000001275"/>
    <s v="New"/>
    <x v="0"/>
    <x v="0"/>
    <s v="EL"/>
    <s v="Created on both 1000; name is okay"/>
    <m/>
    <s v="Eivy Denine Cruz"/>
  </r>
  <r>
    <n v="526"/>
    <s v="F2"/>
    <x v="22"/>
    <s v="P000001280"/>
    <s v="DSS Global S&amp;OP / Fulfill"/>
    <s v="P000001275"/>
    <s v="New"/>
    <x v="0"/>
    <x v="0"/>
    <s v="EL"/>
    <s v="Created on both 1000; name is okay"/>
    <m/>
    <s v="Eivy Denine Cruz"/>
  </r>
  <r>
    <n v="527"/>
    <s v="F2"/>
    <x v="22"/>
    <s v="P000001281"/>
    <s v="DSS Global Mfg. &amp; Sus. Eng."/>
    <s v="P000001275"/>
    <s v="New"/>
    <x v="0"/>
    <x v="0"/>
    <s v="EL"/>
    <s v="Created on both 1000; name is okay"/>
    <m/>
    <s v="Eivy Denine Cruz"/>
  </r>
  <r>
    <n v="528"/>
    <s v="F2"/>
    <x v="22"/>
    <s v="P000001282"/>
    <s v="DSS Data &amp; Digital"/>
    <s v="P000001275"/>
    <s v="New"/>
    <x v="0"/>
    <x v="0"/>
    <s v="EL"/>
    <s v="Created on both 1000; name is okay"/>
    <m/>
    <s v="Eivy Denine Cruz"/>
  </r>
  <r>
    <n v="529"/>
    <s v="F2"/>
    <x v="22"/>
    <s v="P000001283"/>
    <s v="DSS Global Quality"/>
    <s v="P000001276"/>
    <s v="New"/>
    <x v="0"/>
    <x v="0"/>
    <s v="EL"/>
    <s v="Created on both 1000; name is okay"/>
    <m/>
    <s v="Eivy Denine Cruz"/>
  </r>
  <r>
    <n v="530"/>
    <s v="F2"/>
    <x v="22"/>
    <s v="P000001284"/>
    <s v="DSS Global Product Mgmt"/>
    <s v="P000001276"/>
    <s v="New"/>
    <x v="0"/>
    <x v="0"/>
    <s v="EL"/>
    <s v="Created on both 1000; name is okay"/>
    <m/>
    <s v="Eivy Denine Cruz"/>
  </r>
  <r>
    <n v="531"/>
    <s v="F2"/>
    <x v="22"/>
    <s v="P000001285"/>
    <s v="DSS Global Prj Ex. &amp; Port. Mgmt"/>
    <s v="P000001276"/>
    <s v="New"/>
    <x v="0"/>
    <x v="0"/>
    <s v="EL"/>
    <s v="Created on both 1000; name is okay"/>
    <m/>
    <s v="Eivy Denine Cruz"/>
  </r>
  <r>
    <n v="532"/>
    <s v="F2"/>
    <x v="22"/>
    <s v="P000001286"/>
    <s v="DSS Global Commercial"/>
    <s v="P000001276"/>
    <s v="New"/>
    <x v="0"/>
    <x v="0"/>
    <s v="EL"/>
    <s v="Created on both 1000; name is okay"/>
    <m/>
    <s v="Eivy Denine Cruz"/>
  </r>
  <r>
    <n v="533"/>
    <s v="F2"/>
    <x v="22"/>
    <s v="P000001287"/>
    <s v="DSS Global Business Excellence"/>
    <s v="P000001276"/>
    <s v="New"/>
    <x v="0"/>
    <x v="0"/>
    <s v="EL"/>
    <s v="Created on both 1000; name is okay"/>
    <m/>
    <s v="Eivy Denine Cruz"/>
  </r>
  <r>
    <n v="534"/>
    <s v="F2"/>
    <x v="22"/>
    <s v="P000001288"/>
    <s v="Sales Projects"/>
    <s v="P000001277"/>
    <s v="New"/>
    <x v="0"/>
    <x v="0"/>
    <s v="EL"/>
    <s v="Created on both 1000; name is okay"/>
    <m/>
    <s v="Eivy Denine Cruz"/>
  </r>
  <r>
    <n v="535"/>
    <s v="F2"/>
    <x v="22"/>
    <s v="P000001289"/>
    <s v="Production - Vultee"/>
    <s v="P000001278"/>
    <s v="New"/>
    <x v="0"/>
    <x v="0"/>
    <s v="EL"/>
    <s v="Created on both 1000; name is okay"/>
    <m/>
    <s v="Eivy Denine Cruz"/>
  </r>
  <r>
    <n v="536"/>
    <s v="F2"/>
    <x v="22"/>
    <s v="P000001290"/>
    <s v="Production - Chandler"/>
    <s v="P000001278"/>
    <s v="New"/>
    <x v="0"/>
    <x v="0"/>
    <s v="EL"/>
    <s v="Created on both 1000; name is okay"/>
    <m/>
    <s v="Eivy Denine Cruz"/>
  </r>
  <r>
    <n v="537"/>
    <s v="F2"/>
    <x v="22"/>
    <s v="P000001291"/>
    <s v="Production - Ansan"/>
    <s v="P000001278"/>
    <s v="New"/>
    <x v="0"/>
    <x v="0"/>
    <s v="EL"/>
    <s v="Created on both 1000; name is okay"/>
    <m/>
    <s v="Eivy Denine Cruz"/>
  </r>
  <r>
    <n v="538"/>
    <s v="F2"/>
    <x v="22"/>
    <s v="P000001292"/>
    <s v="Production - Kaoshiung"/>
    <s v="P000001278"/>
    <s v="New"/>
    <x v="0"/>
    <x v="0"/>
    <s v="EL"/>
    <s v="Created on both 1000; name is okay"/>
    <m/>
    <s v="Eivy Denine Cruz"/>
  </r>
  <r>
    <n v="539"/>
    <s v="F2"/>
    <x v="22"/>
    <s v="P000001293"/>
    <s v="Production - Waigaoqiao"/>
    <s v="P000001278"/>
    <s v="New"/>
    <x v="0"/>
    <x v="0"/>
    <s v="EL"/>
    <s v="Created on both 1000; name is okay"/>
    <m/>
    <s v="Eivy Denine Cruz"/>
  </r>
  <r>
    <n v="540"/>
    <s v="F2"/>
    <x v="22"/>
    <s v="P000001294"/>
    <s v="Services - NA/EUR"/>
    <s v="P000001279"/>
    <s v="New"/>
    <x v="0"/>
    <x v="0"/>
    <s v="EL"/>
    <s v="Created on both 1000; name is okay"/>
    <m/>
    <s v="Eivy Denine Cruz"/>
  </r>
  <r>
    <n v="541"/>
    <s v="F2"/>
    <x v="22"/>
    <s v="P000001295"/>
    <s v="Services - Asia exKR"/>
    <s v="P000001279"/>
    <s v="New"/>
    <x v="0"/>
    <x v="0"/>
    <s v="EL"/>
    <s v="Created on both 1000; name is okay"/>
    <m/>
    <s v="Eivy Denine Cruz"/>
  </r>
  <r>
    <n v="542"/>
    <s v="F2"/>
    <x v="22"/>
    <s v="P000001296"/>
    <s v="Services - KR"/>
    <s v="P000001279"/>
    <s v="New"/>
    <x v="0"/>
    <x v="0"/>
    <s v="EL"/>
    <s v="Created on both 1000; name is okay"/>
    <m/>
    <s v="Eivy Denine Cruz"/>
  </r>
  <r>
    <n v="543"/>
    <s v="F2"/>
    <x v="22"/>
    <s v="P000001297"/>
    <s v="S&amp;OP - NA/EUR"/>
    <s v="P000001280"/>
    <s v="New"/>
    <x v="0"/>
    <x v="0"/>
    <s v="EL"/>
    <s v="Created on both 1000; name is okay"/>
    <m/>
    <s v="Eivy Denine Cruz"/>
  </r>
  <r>
    <n v="544"/>
    <s v="F2"/>
    <x v="22"/>
    <s v="P000001298"/>
    <s v="S&amp;OP - Asia exKR"/>
    <s v="P000001280"/>
    <s v="New"/>
    <x v="0"/>
    <x v="0"/>
    <s v="EL"/>
    <s v="Created on both 1000; name is okay"/>
    <m/>
    <s v="Eivy Denine Cruz"/>
  </r>
  <r>
    <n v="545"/>
    <s v="F2"/>
    <x v="22"/>
    <s v="P000001299"/>
    <s v="S&amp;OP - KR"/>
    <s v="P000001280"/>
    <s v="New"/>
    <x v="0"/>
    <x v="0"/>
    <s v="EL"/>
    <s v="Created on both 1000; name is okay"/>
    <m/>
    <s v="Eivy Denine Cruz"/>
  </r>
  <r>
    <n v="546"/>
    <s v="F2"/>
    <x v="22"/>
    <s v="P000001300"/>
    <s v="Mfg. &amp; Sus. Eng. -  NA/EUR"/>
    <s v="P000001281"/>
    <s v="New"/>
    <x v="0"/>
    <x v="0"/>
    <s v="EL"/>
    <s v="Created on both 1000; name is okay"/>
    <m/>
    <s v="Eivy Denine Cruz"/>
  </r>
  <r>
    <n v="547"/>
    <s v="F2"/>
    <x v="22"/>
    <s v="P000001301"/>
    <s v="Mfg. &amp; Sus. Eng. -  Asia exKR"/>
    <s v="P000001281"/>
    <s v="New"/>
    <x v="0"/>
    <x v="0"/>
    <s v="EL"/>
    <s v="Created on both 1000; name is okay"/>
    <m/>
    <s v="Eivy Denine Cruz"/>
  </r>
  <r>
    <n v="548"/>
    <s v="F2"/>
    <x v="22"/>
    <s v="P000001302"/>
    <s v="Mfg. &amp; Sus. Eng. -  KR"/>
    <s v="P000001281"/>
    <s v="New"/>
    <x v="0"/>
    <x v="0"/>
    <s v="EL"/>
    <s v="Created on both 1000; name is okay"/>
    <m/>
    <s v="Eivy Denine Cruz"/>
  </r>
  <r>
    <n v="549"/>
    <s v="F2"/>
    <x v="22"/>
    <s v="P000001303"/>
    <s v="Quality - NA/EUR"/>
    <s v="P000001283"/>
    <s v="New"/>
    <x v="0"/>
    <x v="0"/>
    <s v="EL"/>
    <s v="Created on both 1000; name is okay"/>
    <m/>
    <s v="Eivy Denine Cruz"/>
  </r>
  <r>
    <n v="550"/>
    <s v="F2"/>
    <x v="22"/>
    <s v="P000001304"/>
    <s v="Quality - Asia exKR"/>
    <s v="P000001283"/>
    <s v="New"/>
    <x v="0"/>
    <x v="0"/>
    <s v="EL"/>
    <s v="Created on both 1000; name is okay"/>
    <m/>
    <s v="Eivy Denine Cruz"/>
  </r>
  <r>
    <n v="551"/>
    <s v="F2"/>
    <x v="22"/>
    <s v="P000001305"/>
    <s v="Quality - KR"/>
    <s v="P000001283"/>
    <s v="New"/>
    <x v="0"/>
    <x v="0"/>
    <s v="EL"/>
    <s v="Created on both 1000; name is okay"/>
    <m/>
    <s v="Eivy Denine Cruz"/>
  </r>
  <r>
    <n v="552"/>
    <s v="F2"/>
    <x v="22"/>
    <s v="P000001306"/>
    <s v="Product Mgmt - NA/EUR"/>
    <s v="P000001284"/>
    <s v="New"/>
    <x v="0"/>
    <x v="0"/>
    <s v="EL"/>
    <s v="Created on both 1000; name is okay"/>
    <m/>
    <s v="Eivy Denine Cruz"/>
  </r>
  <r>
    <n v="553"/>
    <s v="F2"/>
    <x v="22"/>
    <s v="P000001307"/>
    <s v="Product Mgmt - Asia exKR"/>
    <s v="P000001284"/>
    <s v="New"/>
    <x v="0"/>
    <x v="0"/>
    <s v="EL"/>
    <s v="Created on both 1000; name is okay"/>
    <m/>
    <s v="Eivy Denine Cruz"/>
  </r>
  <r>
    <n v="554"/>
    <s v="F2"/>
    <x v="22"/>
    <s v="P000001308"/>
    <s v="Product Mgmt - KR"/>
    <s v="P000001284"/>
    <s v="New"/>
    <x v="0"/>
    <x v="0"/>
    <s v="EL"/>
    <s v="Created on both 1000; name is okay"/>
    <m/>
    <s v="Eivy Denine Cruz"/>
  </r>
  <r>
    <n v="555"/>
    <s v="F2"/>
    <x v="22"/>
    <s v="P000001309"/>
    <s v="Prj. Ex. &amp; Port. Mgmt – NA/EUR"/>
    <s v="P000001285"/>
    <s v="New"/>
    <x v="0"/>
    <x v="0"/>
    <s v="EL"/>
    <s v="Created on both 1000; name is okay"/>
    <m/>
    <s v="Eivy Denine Cruz"/>
  </r>
  <r>
    <n v="556"/>
    <s v="F2"/>
    <x v="22"/>
    <s v="P000001310"/>
    <s v="Prj. Ex. &amp; Port. Mgmt – Asia exKR"/>
    <s v="P000001285"/>
    <s v="New"/>
    <x v="0"/>
    <x v="0"/>
    <s v="EL"/>
    <s v="Created on both 1000; name is okay"/>
    <m/>
    <s v="Eivy Denine Cruz"/>
  </r>
  <r>
    <n v="557"/>
    <s v="F2"/>
    <x v="2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558"/>
    <s v="F2"/>
    <x v="22"/>
    <s v="P000001312"/>
    <s v="Commercial - NA/EUR"/>
    <s v="P000001286"/>
    <s v="New"/>
    <x v="0"/>
    <x v="0"/>
    <s v="EL"/>
    <s v="Created on both 1000; name is okay"/>
    <m/>
    <s v="Eivy Denine Cruz"/>
  </r>
  <r>
    <n v="559"/>
    <s v="F2"/>
    <x v="22"/>
    <s v="P000001313"/>
    <s v="Commercial - Asia ex KR"/>
    <s v="P000001286"/>
    <s v="New"/>
    <x v="0"/>
    <x v="0"/>
    <s v="EL"/>
    <s v="Created on both 1000; name is okay"/>
    <m/>
    <s v="Eivy Denine Cruz"/>
  </r>
  <r>
    <n v="560"/>
    <s v="F2"/>
    <x v="22"/>
    <s v="P000001314"/>
    <s v="Commercial - Korea"/>
    <s v="P000001286"/>
    <s v="New"/>
    <x v="0"/>
    <x v="0"/>
    <s v="EL"/>
    <s v="Created on both 1000; name is okay"/>
    <m/>
    <s v="Eivy Denine Cruz"/>
  </r>
  <r>
    <n v="561"/>
    <s v="F2"/>
    <x v="22"/>
    <s v="P000001315"/>
    <s v="Business Excellence - NA/EUR"/>
    <s v="P000001287"/>
    <s v="New"/>
    <x v="0"/>
    <x v="0"/>
    <s v="EL"/>
    <s v="Created on both 1000; name is okay"/>
    <m/>
    <s v="Eivy Denine Cruz"/>
  </r>
  <r>
    <n v="562"/>
    <s v="F2"/>
    <x v="22"/>
    <s v="P000001316"/>
    <s v="Business Excellence - Asia ex KR"/>
    <s v="P000001287"/>
    <s v="New"/>
    <x v="0"/>
    <x v="0"/>
    <s v="EL"/>
    <s v="Created on both 1000; name is okay"/>
    <m/>
    <s v="Eivy Denine Cruz"/>
  </r>
  <r>
    <n v="563"/>
    <s v="F2"/>
    <x v="22"/>
    <s v="P000001317"/>
    <s v="Business Excellence - Korea"/>
    <s v="P000001287"/>
    <s v="New"/>
    <x v="0"/>
    <x v="0"/>
    <s v="EL"/>
    <s v="Created on both 1000; name is okay"/>
    <m/>
    <s v="Eivy Denine Cruz"/>
  </r>
  <r>
    <n v="564"/>
    <s v="F2"/>
    <x v="22"/>
    <s v="P000001318"/>
    <s v="EL-BP-Q Sourcing Surface Solutions"/>
    <s v="P000000748"/>
    <s v="New"/>
    <x v="0"/>
    <x v="0"/>
    <s v="EL"/>
    <s v="Created on both 1000; name is okay"/>
    <m/>
    <s v="Eivy Denine Cruz"/>
  </r>
  <r>
    <n v="565"/>
    <s v="F2"/>
    <x v="22"/>
    <s v="P000001319"/>
    <s v="Classic IT"/>
    <s v="P000000758"/>
    <s v="New"/>
    <x v="0"/>
    <x v="0"/>
    <s v="EL"/>
    <s v="Created on both 1000; name is okay"/>
    <m/>
    <s v="Eivy Denine Cruz"/>
  </r>
  <r>
    <n v="566"/>
    <s v="F2"/>
    <x v="22"/>
    <s v="P000001320"/>
    <s v="IT Projects"/>
    <s v="P000000758"/>
    <s v="New"/>
    <x v="0"/>
    <x v="0"/>
    <s v="EL"/>
    <s v="Created on both 1000; name is okay"/>
    <m/>
    <s v="Eivy Denine Cruz"/>
  </r>
  <r>
    <n v="567"/>
    <s v="F2"/>
    <x v="22"/>
    <s v="P000001321"/>
    <s v="Cyber Security"/>
    <s v="P000000758"/>
    <s v="New"/>
    <x v="0"/>
    <x v="0"/>
    <s v="EL"/>
    <s v="Created on both 1000; name is okay"/>
    <m/>
    <s v="Eivy Denine Cruz"/>
  </r>
  <r>
    <n v="568"/>
    <s v="F2"/>
    <x v="2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569"/>
    <s v="F2"/>
    <x v="22"/>
    <s v="P000001323"/>
    <s v="BP Digital &amp; Data"/>
    <s v="P000000758"/>
    <s v="New"/>
    <x v="0"/>
    <x v="0"/>
    <s v="EL"/>
    <s v="Created on both 1000; name is okay"/>
    <m/>
    <s v="Eivy Denine Cruz"/>
  </r>
  <r>
    <n v="570"/>
    <s v="F2"/>
    <x v="22"/>
    <s v="P000001324"/>
    <s v="EL-BP Go Globals"/>
    <s v="P000000748"/>
    <s v="New"/>
    <x v="0"/>
    <x v="0"/>
    <s v="EL"/>
    <s v="Created on both 1000; name is okay"/>
    <m/>
    <s v="Eivy Denine Cruz"/>
  </r>
  <r>
    <n v="571"/>
    <s v="F2"/>
    <x v="22"/>
    <s v="P000000594"/>
    <s v="EL-OP Patents"/>
    <m/>
    <s v="Rename"/>
    <x v="0"/>
    <x v="0"/>
    <s v="EL"/>
    <s v="Created on both 1000; name is okay"/>
    <m/>
    <s v="Eivy Denine Cruz"/>
  </r>
  <r>
    <n v="572"/>
    <s v="F2"/>
    <x v="22"/>
    <s v="P000001199"/>
    <s v="EL-OP Historical cost objects"/>
    <m/>
    <s v="Rename"/>
    <x v="0"/>
    <x v="0"/>
    <s v="EL"/>
    <s v="Created on both 1000; name is okay"/>
    <m/>
    <s v="Eivy Denine Cruz"/>
  </r>
  <r>
    <n v="573"/>
    <s v="F2"/>
    <x v="22"/>
    <s v="P000000417"/>
    <s v="EL Local Functions"/>
    <m/>
    <s v="Rename"/>
    <x v="0"/>
    <x v="0"/>
    <s v="EL"/>
    <s v="Created on both 1000; name is okay"/>
    <m/>
    <s v="Eivy Denine Cruz"/>
  </r>
  <r>
    <n v="574"/>
    <s v="F2"/>
    <x v="22"/>
    <s v="P000000425"/>
    <s v="EL Other DivCO"/>
    <m/>
    <s v="Rename"/>
    <x v="0"/>
    <x v="0"/>
    <s v="EL"/>
    <s v="Created on both 1000; name is okay"/>
    <m/>
    <s v="Eivy Denine Cruz"/>
  </r>
  <r>
    <n v="575"/>
    <s v="F2"/>
    <x v="22"/>
    <s v="P000000965"/>
    <s v="EL Overarching"/>
    <m/>
    <s v="Rename"/>
    <x v="0"/>
    <x v="0"/>
    <s v="EL"/>
    <s v="Created on both 1000; name is okay"/>
    <m/>
    <s v="Eivy Denine Cruz"/>
  </r>
  <r>
    <n v="576"/>
    <s v="F2"/>
    <x v="22"/>
    <s v="P000000426"/>
    <s v="EL Exceptionals"/>
    <m/>
    <s v="Rename"/>
    <x v="0"/>
    <x v="0"/>
    <s v="EL"/>
    <s v="Created on both 1000; name is okay"/>
    <m/>
    <s v="Eivy Denine Cruz"/>
  </r>
  <r>
    <n v="577"/>
    <s v="F2"/>
    <x v="22"/>
    <s v="P000001204"/>
    <s v="Legal C/O of POG-8 &amp; POG-3"/>
    <m/>
    <s v="Rename"/>
    <x v="0"/>
    <x v="0"/>
    <s v="EL"/>
    <s v="Created on both 1000; name is okay"/>
    <m/>
    <s v="Eivy Denine Cruz"/>
  </r>
  <r>
    <n v="578"/>
    <s v="F2"/>
    <x v="22"/>
    <s v="P000001207"/>
    <s v="GES Backfills &amp; support"/>
    <m/>
    <s v="Rename"/>
    <x v="0"/>
    <x v="0"/>
    <s v="EL"/>
    <s v="Created on both 1000; name is okay"/>
    <m/>
    <s v="Eivy Denine Cruz"/>
  </r>
  <r>
    <n v="579"/>
    <s v="F2"/>
    <x v="22"/>
    <s v="P000000428"/>
    <s v="EL Technical Cost Center"/>
    <m/>
    <s v="Rename"/>
    <x v="0"/>
    <x v="0"/>
    <s v="EL"/>
    <s v="Created on both 1000; name is okay"/>
    <m/>
    <s v="Eivy Denine Cruz"/>
  </r>
  <r>
    <n v="580"/>
    <s v="F2"/>
    <x v="22"/>
    <s v="P000000575"/>
    <s v="EL Non-Active Cost Objects"/>
    <m/>
    <s v="Rename"/>
    <x v="0"/>
    <x v="0"/>
    <s v="EL"/>
    <s v="Created on both 1000; name is okay"/>
    <m/>
    <s v="Eivy Denine Cruz"/>
  </r>
  <r>
    <n v="581"/>
    <s v="F2"/>
    <x v="22"/>
    <s v="P000000577"/>
    <s v="EL Other Overarching"/>
    <m/>
    <s v="Rename"/>
    <x v="0"/>
    <x v="0"/>
    <s v="EL"/>
    <s v="Created on both 1000; name is okay"/>
    <m/>
    <s v="Eivy Denine Cruz"/>
  </r>
  <r>
    <n v="582"/>
    <s v="F2"/>
    <x v="22"/>
    <s v="P000000520"/>
    <s v="EL-FO-P Patterning ISC &amp; Quality"/>
    <m/>
    <s v="Rename"/>
    <x v="0"/>
    <x v="0"/>
    <s v="EL"/>
    <s v="Created on both 1000; name is okay"/>
    <m/>
    <s v="Eivy Denine Cruz"/>
  </r>
  <r>
    <n v="583"/>
    <s v="F2"/>
    <x v="22"/>
    <s v="P000000534"/>
    <s v="EL-FO-P Patterning Commercial"/>
    <m/>
    <s v="Rename"/>
    <x v="0"/>
    <x v="0"/>
    <s v="EL"/>
    <s v="Created on both 1000; name is okay"/>
    <m/>
    <s v="Eivy Denine Cruz"/>
  </r>
  <r>
    <n v="584"/>
    <s v="F2"/>
    <x v="22"/>
    <s v="P000000545"/>
    <s v="EL-FO-PR Patterning R&amp;D"/>
    <m/>
    <s v="Rename"/>
    <x v="0"/>
    <x v="0"/>
    <s v="EL"/>
    <s v="Created on both 1000; name is okay"/>
    <m/>
    <s v="Eivy Denine Cruz"/>
  </r>
  <r>
    <n v="585"/>
    <s v="F2"/>
    <x v="22"/>
    <s v="P000001165"/>
    <s v="EL-FO-P Patterning Silica"/>
    <m/>
    <s v="Rename"/>
    <x v="0"/>
    <x v="0"/>
    <s v="EL"/>
    <s v="Created on both 1000; name is okay"/>
    <m/>
    <s v="Eivy Denine Cruz"/>
  </r>
  <r>
    <n v="586"/>
    <s v="F2"/>
    <x v="22"/>
    <s v="P000000526"/>
    <s v="EL-TF-D  ISC &amp; Quality"/>
    <m/>
    <s v="Rename"/>
    <x v="0"/>
    <x v="0"/>
    <s v="EL"/>
    <s v="Created on both 1000; name is okay"/>
    <m/>
    <s v="Eivy Denine Cruz"/>
  </r>
  <r>
    <n v="587"/>
    <s v="F2"/>
    <x v="22"/>
    <s v="P000000533"/>
    <s v="EL-TF Thin Film Commercial"/>
    <m/>
    <s v="Rename"/>
    <x v="0"/>
    <x v="0"/>
    <s v="EL"/>
    <s v="Created on both 1000; name is okay"/>
    <m/>
    <s v="Eivy Denine Cruz"/>
  </r>
  <r>
    <n v="588"/>
    <s v="F2"/>
    <x v="23"/>
    <s v="H000004394"/>
    <s v="Global Health"/>
    <s v="H000000172"/>
    <s v="New"/>
    <x v="0"/>
    <x v="0"/>
    <s v="HC"/>
    <s v="Created on both 1000; name is okay"/>
    <m/>
    <s v="Henry Ifurung Jr."/>
  </r>
  <r>
    <n v="589"/>
    <s v="F2"/>
    <x v="23"/>
    <s v="H000004395"/>
    <s v="IF-China &amp; International exc GH"/>
    <s v="H000000172"/>
    <s v="New"/>
    <x v="0"/>
    <x v="0"/>
    <s v="HC"/>
    <s v="Created on both 1000; name is okay"/>
    <m/>
    <s v="Henry Ifurung Jr."/>
  </r>
  <r>
    <n v="590"/>
    <s v="F2"/>
    <x v="23"/>
    <s v="H000000173"/>
    <m/>
    <s v="H000004395"/>
    <s v="Move"/>
    <x v="0"/>
    <x v="0"/>
    <s v="HC"/>
    <s v="MOVED in 1000"/>
    <m/>
    <s v="Henry Ifurung Jr."/>
  </r>
  <r>
    <n v="591"/>
    <s v="F2"/>
    <x v="23"/>
    <s v="H000000175"/>
    <m/>
    <s v="H000004395"/>
    <s v="Move"/>
    <x v="0"/>
    <x v="0"/>
    <s v="HC"/>
    <s v="MOVED in 1000"/>
    <m/>
    <s v="Henry Ifurung Jr."/>
  </r>
  <r>
    <n v="592"/>
    <s v="F2"/>
    <x v="23"/>
    <s v="H000000177"/>
    <m/>
    <s v="H000004395"/>
    <s v="Move"/>
    <x v="0"/>
    <x v="0"/>
    <s v="HC"/>
    <s v="MOVED in 1000"/>
    <m/>
    <s v="Henry Ifurung Jr."/>
  </r>
  <r>
    <n v="593"/>
    <s v="F2"/>
    <x v="23"/>
    <s v="H000000387"/>
    <m/>
    <s v="H000004395"/>
    <s v="Move"/>
    <x v="0"/>
    <x v="0"/>
    <s v="HC"/>
    <s v="MOVED in 1000"/>
    <m/>
    <s v="Henry Ifurung Jr."/>
  </r>
  <r>
    <n v="594"/>
    <s v="F2"/>
    <x v="23"/>
    <s v="H000000448"/>
    <m/>
    <s v="H000004395"/>
    <s v="Move"/>
    <x v="0"/>
    <x v="0"/>
    <s v="HC"/>
    <s v="MOVED in 1000"/>
    <m/>
    <s v="Henry Ifurung Jr."/>
  </r>
  <r>
    <n v="595"/>
    <s v="F2"/>
    <x v="24"/>
    <s v="G000000400"/>
    <s v="SM-G MRE Total"/>
    <s v="G000000846"/>
    <s v="Rename/Move"/>
    <x v="0"/>
    <x v="0"/>
    <s v="MGF"/>
    <m/>
    <m/>
    <s v="Francesco Ricioppo"/>
  </r>
  <r>
    <n v="596"/>
    <s v="F2"/>
    <x v="24"/>
    <s v="G000000404"/>
    <s v="MRE GHM"/>
    <s v="G000000400"/>
    <s v="Rename/Move"/>
    <x v="0"/>
    <x v="0"/>
    <s v="MGF"/>
    <m/>
    <m/>
    <s v="Francesco Ricioppo"/>
  </r>
  <r>
    <n v="597"/>
    <s v="F2"/>
    <x v="24"/>
    <s v="G000000414"/>
    <s v="MRE all Buildings GHM"/>
    <s v="G000000404"/>
    <s v="Rename/Move"/>
    <x v="0"/>
    <x v="0"/>
    <s v="MGF"/>
    <m/>
    <m/>
    <s v="Francesco Ricioppo"/>
  </r>
  <r>
    <n v="598"/>
    <s v="F2"/>
    <x v="24"/>
    <s v="G000000415"/>
    <s v="MSM Buildings GHM"/>
    <s v="G000000414"/>
    <s v="Rename/Move"/>
    <x v="0"/>
    <x v="0"/>
    <s v="MGF"/>
    <m/>
    <m/>
    <s v="Francesco Ricioppo"/>
  </r>
  <r>
    <n v="599"/>
    <s v="F2"/>
    <x v="24"/>
    <s v="G000000417"/>
    <s v="Full Service"/>
    <s v="G000000415"/>
    <s v="Rename/Move"/>
    <x v="0"/>
    <x v="0"/>
    <s v="MGF"/>
    <m/>
    <m/>
    <s v="Francesco Ricioppo"/>
  </r>
  <r>
    <n v="600"/>
    <s v="F2"/>
    <x v="24"/>
    <s v="G000000443"/>
    <s v="Shell &amp; Core"/>
    <s v="G000000415"/>
    <s v="Rename/Move"/>
    <x v="0"/>
    <x v="0"/>
    <s v="MGF"/>
    <m/>
    <m/>
    <s v="Francesco Ricioppo"/>
  </r>
  <r>
    <n v="601"/>
    <s v="F2"/>
    <x v="24"/>
    <s v="G000000446"/>
    <s v="Lease &amp; Hold"/>
    <s v="G000000415"/>
    <s v="Rename/Move"/>
    <x v="0"/>
    <x v="0"/>
    <s v="MGF"/>
    <m/>
    <m/>
    <s v="Francesco Ricioppo"/>
  </r>
  <r>
    <n v="602"/>
    <s v="F2"/>
    <x v="24"/>
    <s v="G000000463"/>
    <s v="LS Buildings GHM"/>
    <s v="G000000414"/>
    <s v="Rename/Move"/>
    <x v="0"/>
    <x v="0"/>
    <s v="MGF"/>
    <m/>
    <m/>
    <s v="Francesco Ricioppo"/>
  </r>
  <r>
    <n v="603"/>
    <s v="F2"/>
    <x v="24"/>
    <s v="G000000464"/>
    <s v="Full Service"/>
    <s v="G000000463"/>
    <s v="Rename/Move"/>
    <x v="0"/>
    <x v="0"/>
    <s v="MGF"/>
    <m/>
    <m/>
    <s v="Francesco Ricioppo"/>
  </r>
  <r>
    <n v="604"/>
    <s v="F2"/>
    <x v="24"/>
    <s v="G000000467"/>
    <s v="Shell &amp; Core"/>
    <s v="G000000463"/>
    <s v="Rename/Move"/>
    <x v="0"/>
    <x v="0"/>
    <s v="MGF"/>
    <m/>
    <m/>
    <s v="Francesco Ricioppo"/>
  </r>
  <r>
    <n v="605"/>
    <s v="F2"/>
    <x v="24"/>
    <s v="G000000468"/>
    <s v="Lease &amp; Hold"/>
    <s v="G000000463"/>
    <s v="Rename/Move"/>
    <x v="0"/>
    <x v="0"/>
    <s v="MGF"/>
    <m/>
    <m/>
    <s v="Francesco Ricioppo"/>
  </r>
  <r>
    <n v="606"/>
    <s v="F2"/>
    <x v="24"/>
    <s v="G000000471"/>
    <s v="Susonity Buildings GHM"/>
    <s v="G000000414"/>
    <s v="Rename/Move"/>
    <x v="0"/>
    <x v="0"/>
    <s v="MGF"/>
    <m/>
    <m/>
    <s v="Francesco Ricioppo"/>
  </r>
  <r>
    <n v="607"/>
    <s v="F2"/>
    <x v="24"/>
    <s v="G000000511"/>
    <s v="Full Service"/>
    <s v="G000000471"/>
    <s v="Rename/Move"/>
    <x v="0"/>
    <x v="0"/>
    <s v="MGF"/>
    <m/>
    <m/>
    <s v="Francesco Ricioppo"/>
  </r>
  <r>
    <n v="608"/>
    <s v="F2"/>
    <x v="24"/>
    <s v="G000000512"/>
    <s v="Shell &amp; Core"/>
    <s v="G000000471"/>
    <s v="Rename/Move"/>
    <x v="0"/>
    <x v="0"/>
    <s v="MGF"/>
    <m/>
    <m/>
    <s v="Francesco Ricioppo"/>
  </r>
  <r>
    <n v="609"/>
    <s v="F2"/>
    <x v="24"/>
    <s v="G000000513"/>
    <s v="Lease &amp; Hold"/>
    <s v="G000000471"/>
    <s v="Rename/Move"/>
    <x v="0"/>
    <x v="0"/>
    <s v="MGF"/>
    <m/>
    <m/>
    <s v="Francesco Ricioppo"/>
  </r>
  <r>
    <n v="610"/>
    <s v="F2"/>
    <x v="24"/>
    <s v="G000000514"/>
    <s v="Open Areas GHM"/>
    <s v="G000000404"/>
    <s v="Rename/Move"/>
    <x v="0"/>
    <x v="0"/>
    <s v="MGF"/>
    <m/>
    <m/>
    <s v="Francesco Ricioppo"/>
  </r>
  <r>
    <n v="611"/>
    <s v="F2"/>
    <x v="24"/>
    <s v="G000000537"/>
    <s v="Allocation Cost Centers GHM"/>
    <s v="G000000404"/>
    <s v="Rename/Move"/>
    <x v="0"/>
    <x v="0"/>
    <s v="MGF"/>
    <m/>
    <m/>
    <s v="Francesco Ricioppo"/>
  </r>
  <r>
    <n v="612"/>
    <s v="F2"/>
    <x v="24"/>
    <s v="G000000869"/>
    <s v="KGaA GHM"/>
    <s v="G000000400"/>
    <s v="Rename/Move"/>
    <x v="0"/>
    <x v="0"/>
    <s v="MGF"/>
    <m/>
    <m/>
    <s v="Francesco Ricioppo"/>
  </r>
  <r>
    <n v="613"/>
    <s v="F2"/>
    <x v="24"/>
    <s v="G000000870"/>
    <s v="KGaA all Buildings GHM"/>
    <s v="G000000869"/>
    <s v="Rename/Move"/>
    <x v="0"/>
    <x v="0"/>
    <s v="MGF"/>
    <m/>
    <m/>
    <s v="Francesco Ricioppo"/>
  </r>
  <r>
    <n v="614"/>
    <s v="F2"/>
    <x v="24"/>
    <s v="G000000871"/>
    <s v="MSM Buildings GHM"/>
    <s v="G000000870"/>
    <s v="Rename/Move"/>
    <x v="0"/>
    <x v="0"/>
    <s v="MGF"/>
    <m/>
    <m/>
    <s v="Francesco Ricioppo"/>
  </r>
  <r>
    <n v="615"/>
    <s v="F2"/>
    <x v="24"/>
    <s v="G000000872"/>
    <s v="Full Service"/>
    <s v="G000000871"/>
    <s v="Rename/Move"/>
    <x v="0"/>
    <x v="0"/>
    <s v="MGF"/>
    <m/>
    <m/>
    <s v="Francesco Ricioppo"/>
  </r>
  <r>
    <n v="616"/>
    <s v="F2"/>
    <x v="24"/>
    <s v="G000000879"/>
    <s v="Shell &amp; Core"/>
    <s v="G000000871"/>
    <s v="Rename/Move"/>
    <x v="0"/>
    <x v="0"/>
    <s v="MGF"/>
    <m/>
    <m/>
    <s v="Francesco Ricioppo"/>
  </r>
  <r>
    <n v="617"/>
    <s v="F2"/>
    <x v="24"/>
    <s v="G000000880"/>
    <s v="Lease &amp; Hold"/>
    <s v="G000000871"/>
    <s v="Rename/Move"/>
    <x v="0"/>
    <x v="0"/>
    <s v="MGF"/>
    <m/>
    <m/>
    <s v="Francesco Ricioppo"/>
  </r>
  <r>
    <n v="618"/>
    <s v="F2"/>
    <x v="24"/>
    <s v="G000000881"/>
    <s v="LS Buildings GHM"/>
    <s v="G000000870"/>
    <s v="Rename/Move"/>
    <x v="0"/>
    <x v="0"/>
    <s v="MGF"/>
    <m/>
    <m/>
    <s v="Francesco Ricioppo"/>
  </r>
  <r>
    <n v="619"/>
    <s v="F2"/>
    <x v="24"/>
    <s v="G000000887"/>
    <s v="Full Service"/>
    <s v="G000000881"/>
    <s v="Rename/Move"/>
    <x v="0"/>
    <x v="0"/>
    <s v="MGF"/>
    <m/>
    <m/>
    <s v="Francesco Ricioppo"/>
  </r>
  <r>
    <n v="620"/>
    <s v="F2"/>
    <x v="24"/>
    <s v="G000000888"/>
    <s v="Shell &amp; Core"/>
    <s v="G000000881"/>
    <s v="Rename/Move"/>
    <x v="0"/>
    <x v="0"/>
    <s v="MGF"/>
    <m/>
    <m/>
    <s v="Francesco Ricioppo"/>
  </r>
  <r>
    <n v="621"/>
    <s v="F2"/>
    <x v="24"/>
    <s v="G000000915"/>
    <s v="Lease &amp; Hold"/>
    <s v="G000000881"/>
    <s v="Rename/Move"/>
    <x v="0"/>
    <x v="0"/>
    <s v="MGF"/>
    <m/>
    <m/>
    <s v="Francesco Ricioppo"/>
  </r>
  <r>
    <n v="622"/>
    <s v="F2"/>
    <x v="24"/>
    <s v="G000000949"/>
    <s v="Susonity Buildings GHM"/>
    <s v="G000000870"/>
    <s v="Rename/Move"/>
    <x v="0"/>
    <x v="0"/>
    <s v="MGF"/>
    <m/>
    <m/>
    <s v="Francesco Ricioppo"/>
  </r>
  <r>
    <n v="623"/>
    <s v="F2"/>
    <x v="24"/>
    <s v="G000000950"/>
    <s v="Full Service"/>
    <s v="G000000949"/>
    <s v="Rename/Move"/>
    <x v="0"/>
    <x v="0"/>
    <s v="MGF"/>
    <m/>
    <m/>
    <s v="Francesco Ricioppo"/>
  </r>
  <r>
    <n v="624"/>
    <s v="F2"/>
    <x v="24"/>
    <s v="G000000993"/>
    <s v="Shell &amp; Core"/>
    <s v="G000000949"/>
    <s v="Rename/Move"/>
    <x v="0"/>
    <x v="0"/>
    <s v="MGF"/>
    <m/>
    <m/>
    <s v="Francesco Ricioppo"/>
  </r>
  <r>
    <n v="625"/>
    <s v="F2"/>
    <x v="24"/>
    <s v="G000000996"/>
    <s v="Lease &amp; Hold"/>
    <s v="G000000949"/>
    <s v="Rename/Move"/>
    <x v="0"/>
    <x v="0"/>
    <s v="MGF"/>
    <m/>
    <m/>
    <s v="Francesco Ricioppo"/>
  </r>
  <r>
    <n v="626"/>
    <s v="F2"/>
    <x v="24"/>
    <s v="G000000997"/>
    <s v="Open Areas GHM"/>
    <s v="G000000869"/>
    <s v="Rename/Move"/>
    <x v="0"/>
    <x v="0"/>
    <s v="MGF"/>
    <m/>
    <m/>
    <s v="Francesco Ricioppo"/>
  </r>
  <r>
    <n v="627"/>
    <s v="F2"/>
    <x v="24"/>
    <s v="G000000998"/>
    <s v="KGaA Deconstruction"/>
    <s v="G000000869"/>
    <s v="Rename/Move"/>
    <x v="0"/>
    <x v="0"/>
    <s v="MGF"/>
    <m/>
    <m/>
    <s v="Francesco Ricioppo"/>
  </r>
  <r>
    <n v="628"/>
    <s v="F2"/>
    <x v="25"/>
    <s v="RDC0000138"/>
    <s v="NBE DMPK"/>
    <s v="RDC0000130"/>
    <s v="New"/>
    <x v="0"/>
    <x v="0"/>
    <s v="MGF"/>
    <m/>
    <m/>
    <s v="Erjo Miguel Tagle"/>
  </r>
  <r>
    <n v="629"/>
    <s v="F2"/>
    <x v="25"/>
    <s v="RDC0000139"/>
    <s v="NCE DMPK "/>
    <s v="RDC0000130"/>
    <s v="New"/>
    <x v="0"/>
    <x v="0"/>
    <s v="MGF"/>
    <m/>
    <m/>
    <s v="Erjo Miguel Tagle"/>
  </r>
  <r>
    <n v="630"/>
    <s v="F2"/>
    <x v="25"/>
    <s v="RDC0000141"/>
    <s v="ADC Technologies"/>
    <s v="RDC0000130"/>
    <s v="New"/>
    <x v="0"/>
    <x v="0"/>
    <s v="MGF"/>
    <m/>
    <m/>
    <s v="Erjo Miguel Tagle"/>
  </r>
  <r>
    <n v="631"/>
    <s v="F2"/>
    <x v="26"/>
    <s v="G000001375"/>
    <s v="FIT DS - DES DDIT"/>
    <s v="G000000001"/>
    <s v="New"/>
    <x v="0"/>
    <x v="0"/>
    <s v="MGF"/>
    <m/>
    <m/>
    <s v="Jojeff Tagnong"/>
  </r>
  <r>
    <n v="632"/>
    <s v="F2"/>
    <x v="26"/>
    <s v="G000001376"/>
    <s v="DS - MGF Reporting"/>
    <s v="G000001375"/>
    <s v="New"/>
    <x v="0"/>
    <x v="0"/>
    <s v="MGF"/>
    <m/>
    <m/>
    <s v="Jojeff Tagnong"/>
  </r>
  <r>
    <n v="633"/>
    <s v="F2"/>
    <x v="26"/>
    <s v="G000001377"/>
    <s v="DS - non-MGF Reporting"/>
    <s v="G000001375"/>
    <s v="New"/>
    <x v="0"/>
    <x v="0"/>
    <s v="MGF"/>
    <m/>
    <m/>
    <s v="Jojeff Tagnong"/>
  </r>
  <r>
    <n v="634"/>
    <s v="F2"/>
    <x v="26"/>
    <s v="G000001378"/>
    <s v="GWD DS - DES DDIT (L2)"/>
    <s v="G000001376"/>
    <s v="New"/>
    <x v="0"/>
    <x v="0"/>
    <s v="MGF"/>
    <m/>
    <m/>
    <s v="Jojeff Tagnong"/>
  </r>
  <r>
    <n v="635"/>
    <s v="F2"/>
    <x v="26"/>
    <s v="G000001379"/>
    <s v="FIT DS - Intercompany Charges"/>
    <s v="G000001377"/>
    <s v="New"/>
    <x v="0"/>
    <x v="0"/>
    <s v="MGF"/>
    <m/>
    <m/>
    <s v="Jojeff Tagnong"/>
  </r>
  <r>
    <n v="636"/>
    <s v="F2"/>
    <x v="26"/>
    <s v="G000001380"/>
    <s v="FIT DS - Exceptionals"/>
    <s v="G000001377"/>
    <s v="New"/>
    <x v="0"/>
    <x v="0"/>
    <s v="MGF"/>
    <m/>
    <m/>
    <s v="Jojeff Tagnong"/>
  </r>
  <r>
    <n v="637"/>
    <s v="F2"/>
    <x v="26"/>
    <s v="G000001381"/>
    <s v="GWE DS - DES Gov. and Transf. Office"/>
    <s v="G000001376"/>
    <s v="New"/>
    <x v="0"/>
    <x v="0"/>
    <s v="MGF"/>
    <m/>
    <m/>
    <s v="Jojeff Tagnong"/>
  </r>
  <r>
    <n v="638"/>
    <s v="F2"/>
    <x v="27"/>
    <s v="H000004364_x000a_"/>
    <m/>
    <s v="H000000562_x000a_"/>
    <s v="Move"/>
    <x v="0"/>
    <x v="0"/>
    <s v="HC"/>
    <m/>
    <m/>
    <s v="Julia Reifschneider"/>
  </r>
  <r>
    <n v="639"/>
    <s v="F3"/>
    <x v="28"/>
    <s v="H000004396"/>
    <s v="Rare Tumors"/>
    <s v="H000000000"/>
    <s v="New"/>
    <x v="0"/>
    <x v="0"/>
    <s v="HC"/>
    <m/>
    <m/>
    <s v="Henry Ifurung Jr."/>
  </r>
  <r>
    <n v="640"/>
    <s v="F3"/>
    <x v="29"/>
    <s v="P000000188"/>
    <m/>
    <s v="L000013447"/>
    <s v="Move"/>
    <x v="0"/>
    <x v="0"/>
    <s v="LS"/>
    <s v="renamed/moved"/>
    <m/>
    <s v="Roselle Delos Angeles"/>
  </r>
  <r>
    <n v="641"/>
    <s v="F3"/>
    <x v="29"/>
    <s v="P000000333"/>
    <m/>
    <s v="L000013447"/>
    <s v="Move"/>
    <x v="0"/>
    <x v="0"/>
    <s v="LS"/>
    <s v="renamed/moved"/>
    <m/>
    <s v="Roselle Delos Angeles"/>
  </r>
  <r>
    <n v="642"/>
    <s v="F3"/>
    <x v="30"/>
    <s v="H000004397"/>
    <s v="1954 AU Start-up Helvetia"/>
    <s v="H000000488"/>
    <s v="New"/>
    <x v="0"/>
    <x v="0"/>
    <s v="HC"/>
    <m/>
    <m/>
    <s v="Maria Victoria Reynoso Rodriguez"/>
  </r>
  <r>
    <n v="643"/>
    <s v="F3"/>
    <x v="31"/>
    <s v="G000000944"/>
    <m/>
    <s v="G000000873"/>
    <s v="Move"/>
    <x v="0"/>
    <x v="0"/>
    <s v="MGF"/>
    <s v="renamed/moved"/>
    <m/>
    <s v="John Mark Sandoy"/>
  </r>
  <r>
    <n v="644"/>
    <s v="F3"/>
    <x v="32"/>
    <s v="H000000729"/>
    <s v="Regulatory Affairs EU&amp;SIC"/>
    <m/>
    <s v="Rename"/>
    <x v="0"/>
    <x v="0"/>
    <s v="HC"/>
    <s v="renamed"/>
    <m/>
    <s v="Gay Geanuza del Mundo"/>
  </r>
  <r>
    <n v="645"/>
    <s v="F3"/>
    <x v="33"/>
    <s v="H000004398"/>
    <s v="SCALA_1022 RDO"/>
    <s v="H000000772"/>
    <s v="New"/>
    <x v="0"/>
    <x v="0"/>
    <s v="MGF"/>
    <s v="named and assigned"/>
    <m/>
    <s v="Erjo Miguel Tagle"/>
  </r>
  <r>
    <n v="646"/>
    <s v="F3"/>
    <x v="33"/>
    <s v="H000004399"/>
    <s v="SCALA_1820 Q319"/>
    <s v="H000000772"/>
    <s v="New"/>
    <x v="0"/>
    <x v="0"/>
    <s v="MGF"/>
    <s v="named and assigned"/>
    <m/>
    <s v="Erjo Miguel Tagle"/>
  </r>
  <r>
    <n v="647"/>
    <s v="F3"/>
    <x v="33"/>
    <s v="H000004400"/>
    <s v="SCALA_1820 Q326"/>
    <s v="H000000773"/>
    <s v="New"/>
    <x v="0"/>
    <x v="0"/>
    <s v="MGF"/>
    <s v="named and assigned"/>
    <m/>
    <s v="Erjo Miguel Tagle"/>
  </r>
  <r>
    <n v="648"/>
    <s v="F3"/>
    <x v="33"/>
    <s v="H000004401"/>
    <s v="SCALA_1248 VR00"/>
    <s v="H000000773"/>
    <s v="New"/>
    <x v="0"/>
    <x v="0"/>
    <s v="MGF"/>
    <s v="named and assigned"/>
    <m/>
    <s v="Erjo Miguel Tagle"/>
  </r>
  <r>
    <n v="649"/>
    <s v="F3"/>
    <x v="33"/>
    <s v="H000004402"/>
    <s v="SCALA_1826 450"/>
    <s v="H000004379"/>
    <s v="New"/>
    <x v="0"/>
    <x v="0"/>
    <s v="MGF"/>
    <s v="named and assigned"/>
    <m/>
    <s v="Erjo Miguel Tagle"/>
  </r>
  <r>
    <n v="650"/>
    <s v="F3"/>
    <x v="34"/>
    <s v="G000001387"/>
    <s v="EF-DS-TAI Intelligent Automation"/>
    <s v="G000000246"/>
    <s v="New"/>
    <x v="0"/>
    <x v="0"/>
    <s v="MGF"/>
    <s v="named and assigned"/>
    <m/>
    <s v="Jojeff Tagnong"/>
  </r>
  <r>
    <n v="651"/>
    <s v="F3"/>
    <x v="34"/>
    <s v="G000001388"/>
    <s v="EF-DS-TPR Global ERP GES BP"/>
    <s v="G000000340"/>
    <s v="New"/>
    <x v="0"/>
    <x v="0"/>
    <s v="MGF"/>
    <s v="named and assigned"/>
    <m/>
    <s v="Jojeff Tagnong"/>
  </r>
  <r>
    <n v="652"/>
    <s v="F3"/>
    <x v="34"/>
    <s v="G000001389"/>
    <s v="EF-DS-DD Data Science &amp; AI"/>
    <s v="G000001118"/>
    <s v="New"/>
    <x v="0"/>
    <x v="0"/>
    <s v="MGF"/>
    <s v="named and assigned"/>
    <m/>
    <s v="Jojeff Tagnong"/>
  </r>
  <r>
    <n v="653"/>
    <s v="F3"/>
    <x v="34"/>
    <s v="G000001390"/>
    <s v="EF-DS-DDC SBS-SLS CPI"/>
    <s v="G000001389"/>
    <s v="New"/>
    <x v="0"/>
    <x v="0"/>
    <s v="MGF"/>
    <s v="named and assigned"/>
    <m/>
    <s v="Jojeff Tagnong"/>
  </r>
  <r>
    <n v="654"/>
    <s v="F3"/>
    <x v="34"/>
    <s v="G000001391"/>
    <s v="EF-DS-DDD SBS-SLS Pricing Ops"/>
    <s v="G000001389"/>
    <s v="New"/>
    <x v="0"/>
    <x v="0"/>
    <s v="MGF"/>
    <s v="named and assigned"/>
    <m/>
    <s v="Jojeff Tagnong"/>
  </r>
  <r>
    <n v="655"/>
    <s v="F3"/>
    <x v="34"/>
    <s v="G000001392"/>
    <s v="EF-DS-DM Master Data Management"/>
    <s v="G000001118"/>
    <s v="New"/>
    <x v="0"/>
    <x v="0"/>
    <s v="MGF"/>
    <s v="named and assigned"/>
    <m/>
    <s v="Jojeff Tagnong"/>
  </r>
  <r>
    <n v="656"/>
    <s v="F3"/>
    <x v="34"/>
    <s v="G000001393"/>
    <s v="EF-DS-DME Master Data Excellence"/>
    <s v="G000001392"/>
    <s v="New"/>
    <x v="0"/>
    <x v="0"/>
    <s v="MGF"/>
    <s v="named and assigned"/>
    <m/>
    <s v="Jojeff Tagnong"/>
  </r>
  <r>
    <n v="657"/>
    <s v="F3"/>
    <x v="34"/>
    <s v="G000001394"/>
    <s v="EF-DS-DMF Finance Master Data &amp; Ref Data"/>
    <s v="G000001392"/>
    <s v="New"/>
    <x v="0"/>
    <x v="0"/>
    <s v="MGF"/>
    <s v="named and assigned"/>
    <m/>
    <s v="Jojeff Tagnong"/>
  </r>
  <r>
    <n v="658"/>
    <s v="F3"/>
    <x v="34"/>
    <s v="G000001395"/>
    <s v="EF-DS-DMG Global Material Master Data"/>
    <s v="G000001392"/>
    <s v="New"/>
    <x v="0"/>
    <x v="0"/>
    <s v="MGF"/>
    <s v="named and assigned"/>
    <m/>
    <s v="Jojeff Tagnong"/>
  </r>
  <r>
    <n v="659"/>
    <s v="F3"/>
    <x v="34"/>
    <s v="G000001396"/>
    <s v="EF-DS-DC Data &amp; AI Practices"/>
    <s v="G000001118"/>
    <s v="New"/>
    <x v="0"/>
    <x v="0"/>
    <s v="MGF"/>
    <s v="named and assigned"/>
    <m/>
    <s v="Jojeff Tagnong"/>
  </r>
  <r>
    <n v="660"/>
    <s v="F3"/>
    <x v="34"/>
    <s v="G000001397"/>
    <s v="EF-DS-DCA Agile Practice"/>
    <s v="G000001396"/>
    <s v="New"/>
    <x v="0"/>
    <x v="0"/>
    <s v="MGF"/>
    <s v="named and assigned"/>
    <m/>
    <s v="Jojeff Tagnong"/>
  </r>
  <r>
    <n v="661"/>
    <s v="F3"/>
    <x v="34"/>
    <s v="G000001398"/>
    <s v="EF-DS-DCD Data Warehouse Engr Practice"/>
    <s v="G000001396"/>
    <s v="New"/>
    <x v="0"/>
    <x v="0"/>
    <s v="MGF"/>
    <s v="named and assigned"/>
    <m/>
    <s v="Jojeff Tagnong"/>
  </r>
  <r>
    <n v="662"/>
    <s v="F3"/>
    <x v="34"/>
    <s v="G000001399"/>
    <s v="EF-DS-DCE Data Engineering Practice"/>
    <s v="G000001396"/>
    <s v="New"/>
    <x v="0"/>
    <x v="0"/>
    <s v="MGF"/>
    <s v="named and assigned"/>
    <m/>
    <s v="Jojeff Tagnong"/>
  </r>
  <r>
    <n v="663"/>
    <s v="F3"/>
    <x v="34"/>
    <s v="G000001400"/>
    <s v="EF-DS-DCI Insights Engineering Practice"/>
    <s v="G000001396"/>
    <s v="New"/>
    <x v="0"/>
    <x v="0"/>
    <s v="MGF"/>
    <s v="named and assigned"/>
    <m/>
    <s v="Jojeff Tagnong"/>
  </r>
  <r>
    <n v="664"/>
    <s v="F3"/>
    <x v="34"/>
    <s v="G000001401"/>
    <s v="EF-DS-DCM AI &amp; Machine Learning Practice"/>
    <s v="G000001396"/>
    <s v="New"/>
    <x v="0"/>
    <x v="0"/>
    <s v="MGF"/>
    <s v="named and assigned"/>
    <m/>
    <s v="Jojeff Tagnong"/>
  </r>
  <r>
    <n v="665"/>
    <s v="F3"/>
    <x v="34"/>
    <s v="G000001402"/>
    <s v="EF-DS-DCP Process Intelligence Practice"/>
    <s v="G000001396"/>
    <s v="New"/>
    <x v="0"/>
    <x v="0"/>
    <s v="MGF"/>
    <s v="named and assigned"/>
    <m/>
    <s v="Jojeff Tagnong"/>
  </r>
  <r>
    <n v="666"/>
    <s v="F3"/>
    <x v="34"/>
    <s v="G000001403"/>
    <s v="EF-DS-DCU UPTIMIZE Platf. Engr Practice"/>
    <s v="G000001396"/>
    <s v="New"/>
    <x v="0"/>
    <x v="0"/>
    <s v="MGF"/>
    <s v="named and assigned"/>
    <m/>
    <s v="Jojeff Tagnong"/>
  </r>
  <r>
    <n v="667"/>
    <s v="F3"/>
    <x v="34"/>
    <s v="G000001404"/>
    <s v="EF-DS-DG Data &amp; AI Governance"/>
    <s v="G000001118"/>
    <s v="New"/>
    <x v="0"/>
    <x v="0"/>
    <s v="MGF"/>
    <s v="named and assigned"/>
    <m/>
    <s v="Jojeff Tagnong"/>
  </r>
  <r>
    <n v="668"/>
    <s v="F3"/>
    <x v="34"/>
    <s v="G000001405"/>
    <s v="EF-DS-DI Data Culture"/>
    <s v="G000001118"/>
    <s v="New"/>
    <x v="0"/>
    <x v="0"/>
    <s v="MGF"/>
    <s v="named and assigned"/>
    <m/>
    <s v="Jojeff Tagnong"/>
  </r>
  <r>
    <n v="669"/>
    <s v="F3"/>
    <x v="34"/>
    <s v="G000001406"/>
    <s v="EF-DS-DIT"/>
    <s v="G000001405"/>
    <s v="New"/>
    <x v="0"/>
    <x v="0"/>
    <s v="MGF"/>
    <s v="named and assigned"/>
    <m/>
    <s v="Jojeff Tagnong"/>
  </r>
  <r>
    <n v="670"/>
    <s v="F3"/>
    <x v="34"/>
    <s v="G000001407"/>
    <s v="EF-DS-DP Data &amp; AI Products"/>
    <s v="G000001118"/>
    <s v="New"/>
    <x v="0"/>
    <x v="0"/>
    <s v="MGF"/>
    <s v="named and assigned"/>
    <m/>
    <s v="Jojeff Tagnong"/>
  </r>
  <r>
    <n v="671"/>
    <s v="F3"/>
    <x v="34"/>
    <s v="G000001408"/>
    <s v="EF-DS-DPA Data Analytics &amp; AI Portfolio"/>
    <s v="G000001407"/>
    <s v="New"/>
    <x v="0"/>
    <x v="0"/>
    <s v="MGF"/>
    <s v="named and assigned"/>
    <m/>
    <s v="Jojeff Tagnong"/>
  </r>
  <r>
    <n v="672"/>
    <s v="F3"/>
    <x v="34"/>
    <s v="G000001409"/>
    <s v="EF-DS-DPD Data Products Portfolio"/>
    <s v="G000001407"/>
    <s v="New"/>
    <x v="0"/>
    <x v="0"/>
    <s v="MGF"/>
    <s v="named and assigned"/>
    <m/>
    <s v="Jojeff Tagnong"/>
  </r>
  <r>
    <n v="673"/>
    <s v="F3"/>
    <x v="34"/>
    <s v="G000001410"/>
    <s v="EF-DS-DPE Data &amp; AI Archi. &amp; Excellence?"/>
    <s v="G000001407"/>
    <s v="New"/>
    <x v="0"/>
    <x v="0"/>
    <s v="MGF"/>
    <s v="named and assigned"/>
    <m/>
    <s v="Jojeff Tagnong"/>
  </r>
  <r>
    <n v="674"/>
    <s v="F3"/>
    <x v="34"/>
    <s v="G000001411"/>
    <s v="EF-DS-DPF Data &amp; AI Financial Management"/>
    <s v="G000001407"/>
    <s v="New"/>
    <x v="0"/>
    <x v="0"/>
    <s v="MGF"/>
    <s v="named and assigned"/>
    <m/>
    <s v="Jojeff Tagnong"/>
  </r>
  <r>
    <n v="675"/>
    <s v="F3"/>
    <x v="34"/>
    <s v="G000001412"/>
    <s v="EF-DS-DPL Data Platform Portfolio"/>
    <s v="G000001407"/>
    <s v="New"/>
    <x v="0"/>
    <x v="0"/>
    <s v="MGF"/>
    <s v="named and assigned"/>
    <m/>
    <s v="Jojeff Tagnong"/>
  </r>
  <r>
    <n v="676"/>
    <s v="F3"/>
    <x v="34"/>
    <s v="G000001413"/>
    <s v="EF-DS-DS Data &amp; AI Strategy"/>
    <s v="G000001118"/>
    <s v="New"/>
    <x v="0"/>
    <x v="0"/>
    <s v="MGF"/>
    <s v="named and assigned"/>
    <m/>
    <s v="Jojeff Tagnong"/>
  </r>
  <r>
    <n v="677"/>
    <s v="F3"/>
    <x v="34"/>
    <s v="G000001414"/>
    <s v="EF-DS-DT Data &amp; AI Tech Innovation"/>
    <s v="G000001118"/>
    <s v="New"/>
    <x v="0"/>
    <x v="0"/>
    <s v="MGF"/>
    <s v="named and assigned"/>
    <m/>
    <s v="Jojeff Tagnong"/>
  </r>
  <r>
    <n v="678"/>
    <s v="F3"/>
    <x v="34"/>
    <s v="G000001415"/>
    <s v="EF-DS-DTA Data &amp; AI Tech Innovation A"/>
    <s v="G000001414"/>
    <s v="New"/>
    <x v="0"/>
    <x v="0"/>
    <s v="MGF"/>
    <s v="named and assigned"/>
    <m/>
    <s v="Jojeff Tagnong"/>
  </r>
  <r>
    <n v="679"/>
    <s v="F3"/>
    <x v="34"/>
    <s v="G000001416"/>
    <s v="EF-DS-SE Integrated Process Excellence"/>
    <s v="G000001381"/>
    <s v="New"/>
    <x v="0"/>
    <x v="0"/>
    <s v="MGF"/>
    <s v="named and assigned"/>
    <m/>
    <s v="Jojeff Tagnong"/>
  </r>
  <r>
    <n v="680"/>
    <s v="F3"/>
    <x v="34"/>
    <s v="G000001417"/>
    <s v="EF-DS-SGB DDIT Sustainability Management"/>
    <s v="G000000726"/>
    <s v="New"/>
    <x v="0"/>
    <x v="0"/>
    <s v="MGF"/>
    <s v="named and assigned"/>
    <m/>
    <s v="Jojeff Tagnong"/>
  </r>
  <r>
    <n v="681"/>
    <s v="F3"/>
    <x v="34"/>
    <s v="G000001418"/>
    <s v="EF-DS-SGM IT Mergers &amp; Acquisition"/>
    <s v="G000000726"/>
    <s v="New"/>
    <x v="0"/>
    <x v="0"/>
    <s v="MGF"/>
    <s v="named and assigned"/>
    <m/>
    <s v="Jojeff Tagnong"/>
  </r>
  <r>
    <n v="682"/>
    <s v="F3"/>
    <x v="34"/>
    <s v="G000001419"/>
    <s v="EF-DS-SI Integr &amp; Transformation Project"/>
    <s v="G000001381"/>
    <s v="New"/>
    <x v="0"/>
    <x v="0"/>
    <s v="MGF"/>
    <s v="named and assigned"/>
    <m/>
    <s v="Jojeff Tagnong"/>
  </r>
  <r>
    <n v="683"/>
    <s v="F3"/>
    <x v="34"/>
    <s v="G000001420"/>
    <s v="EF-DS-SIY Program &amp; Proj Portfolio Mgmt."/>
    <s v="G000001419"/>
    <s v="New"/>
    <x v="0"/>
    <x v="0"/>
    <s v="MGF"/>
    <s v="named and assigned"/>
    <m/>
    <s v="Jojeff Tagnong"/>
  </r>
  <r>
    <n v="684"/>
    <s v="F3"/>
    <x v="34"/>
    <s v="G000001421"/>
    <s v="EF-DS-SOY Strategy Activation"/>
    <s v="G000000789"/>
    <s v="New"/>
    <x v="0"/>
    <x v="0"/>
    <s v="MGF"/>
    <s v="named and assigned"/>
    <m/>
    <s v="Jojeff Tagnong"/>
  </r>
  <r>
    <n v="685"/>
    <s v="F3"/>
    <x v="34"/>
    <s v="G000001422"/>
    <s v="EF-DS-SV Strategic Intel &amp; ValueCreation"/>
    <s v="G000001381"/>
    <s v="New"/>
    <x v="0"/>
    <x v="0"/>
    <s v="MGF"/>
    <s v="named and assigned"/>
    <m/>
    <s v="Jojeff Tagnong"/>
  </r>
  <r>
    <n v="686"/>
    <s v="F3"/>
    <x v="34"/>
    <s v="IT06021800"/>
    <s v="EF-DS-TAI Intelligent Automation"/>
    <s v="G000001387"/>
    <s v="New"/>
    <x v="0"/>
    <x v="0"/>
    <s v="MGF"/>
    <s v="named and assigned"/>
    <m/>
    <s v="Jojeff Tagnong"/>
  </r>
  <r>
    <n v="687"/>
    <s v="F3"/>
    <x v="34"/>
    <s v="IT06101000"/>
    <s v="EF-DS-TPR Global ERP GES BP"/>
    <s v="G000001388"/>
    <s v="New"/>
    <x v="0"/>
    <x v="0"/>
    <s v="MGF"/>
    <s v="named and assigned"/>
    <m/>
    <s v="Jojeff Tagnong"/>
  </r>
  <r>
    <n v="688"/>
    <s v="F3"/>
    <x v="34"/>
    <s v="IT07020000"/>
    <s v="EF-DS-DD Data Science &amp; AI"/>
    <s v="G000001389"/>
    <s v="New"/>
    <x v="0"/>
    <x v="0"/>
    <s v="MGF"/>
    <s v="named and assigned"/>
    <m/>
    <s v="Jojeff Tagnong"/>
  </r>
  <r>
    <n v="689"/>
    <s v="F3"/>
    <x v="34"/>
    <s v="IT07020100"/>
    <s v="EF-DS-DDC SBS-SLS CPI"/>
    <s v="G000001390"/>
    <s v="New"/>
    <x v="0"/>
    <x v="0"/>
    <s v="MGF"/>
    <s v="named and assigned"/>
    <m/>
    <s v="Jojeff Tagnong"/>
  </r>
  <r>
    <n v="690"/>
    <s v="F3"/>
    <x v="34"/>
    <s v="IT07020200"/>
    <s v="EF-DS-DDD SBS-SLS Pricing Ops"/>
    <s v="G000001391"/>
    <s v="New"/>
    <x v="0"/>
    <x v="0"/>
    <s v="MGF"/>
    <s v="named and assigned"/>
    <m/>
    <s v="Jojeff Tagnong"/>
  </r>
  <r>
    <n v="691"/>
    <s v="F3"/>
    <x v="34"/>
    <s v="IT07030000"/>
    <s v="EF-DS-DM Master Data Management"/>
    <s v="G000001392"/>
    <s v="New"/>
    <x v="0"/>
    <x v="0"/>
    <s v="MGF"/>
    <s v="named and assigned"/>
    <m/>
    <s v="Jojeff Tagnong"/>
  </r>
  <r>
    <n v="692"/>
    <s v="F3"/>
    <x v="34"/>
    <s v="IT07030100"/>
    <s v="EF-DS-DME Master Data Excellence"/>
    <s v="G000001393"/>
    <s v="New"/>
    <x v="0"/>
    <x v="0"/>
    <s v="MGF"/>
    <s v="named and assigned"/>
    <m/>
    <s v="Jojeff Tagnong"/>
  </r>
  <r>
    <n v="693"/>
    <s v="F3"/>
    <x v="34"/>
    <s v="IT07030200"/>
    <s v="EF-DS-DMF Finance Master Data &amp; Ref Data"/>
    <s v="G000001394"/>
    <s v="New"/>
    <x v="0"/>
    <x v="0"/>
    <s v="MGF"/>
    <s v="named and assigned"/>
    <m/>
    <s v="Jojeff Tagnong"/>
  </r>
  <r>
    <n v="694"/>
    <s v="F3"/>
    <x v="34"/>
    <s v="IT07030300"/>
    <s v="EF-DS-DMG Global Material Master Data"/>
    <s v="G000001395"/>
    <s v="New"/>
    <x v="0"/>
    <x v="0"/>
    <s v="MGF"/>
    <s v="named and assigned"/>
    <m/>
    <s v="Jojeff Tagnong"/>
  </r>
  <r>
    <n v="695"/>
    <s v="F3"/>
    <x v="34"/>
    <s v="IT07040000"/>
    <s v="EF-DS-DC Data &amp; AI Practices"/>
    <s v="G000001396"/>
    <s v="New"/>
    <x v="0"/>
    <x v="0"/>
    <s v="MGF"/>
    <s v="named and assigned"/>
    <m/>
    <s v="Jojeff Tagnong"/>
  </r>
  <r>
    <n v="696"/>
    <s v="F3"/>
    <x v="34"/>
    <s v="IT07040100"/>
    <s v="EF-DS-DCA Agile Practice"/>
    <s v="G000001397"/>
    <s v="New"/>
    <x v="0"/>
    <x v="0"/>
    <s v="MGF"/>
    <s v="named and assigned"/>
    <m/>
    <s v="Jojeff Tagnong"/>
  </r>
  <r>
    <n v="697"/>
    <s v="F3"/>
    <x v="34"/>
    <s v="IT07040200"/>
    <s v="EF-DS-DCD Data Warehouse Engr Practice"/>
    <s v="G000001398"/>
    <s v="New"/>
    <x v="0"/>
    <x v="0"/>
    <s v="MGF"/>
    <s v="named and assigned"/>
    <m/>
    <s v="Jojeff Tagnong"/>
  </r>
  <r>
    <n v="698"/>
    <s v="F3"/>
    <x v="34"/>
    <s v="IT07040300"/>
    <s v="EF-DS-DCE Data Engineering Practice"/>
    <s v="G000001399"/>
    <s v="New"/>
    <x v="0"/>
    <x v="0"/>
    <s v="MGF"/>
    <s v="named and assigned"/>
    <m/>
    <s v="Jojeff Tagnong"/>
  </r>
  <r>
    <n v="699"/>
    <s v="F3"/>
    <x v="34"/>
    <s v="IT07040400"/>
    <s v="EF-DS-DCI Insights Engineering Practice"/>
    <s v="G000001400"/>
    <s v="New"/>
    <x v="0"/>
    <x v="0"/>
    <s v="MGF"/>
    <s v="named and assigned"/>
    <m/>
    <s v="Jojeff Tagnong"/>
  </r>
  <r>
    <n v="700"/>
    <s v="F3"/>
    <x v="34"/>
    <s v="IT07040500"/>
    <s v="EF-DS-DCM AI &amp; Machine Learning Practice"/>
    <s v="G000001401"/>
    <s v="New"/>
    <x v="0"/>
    <x v="0"/>
    <s v="MGF"/>
    <s v="named and assigned"/>
    <m/>
    <s v="Jojeff Tagnong"/>
  </r>
  <r>
    <n v="701"/>
    <s v="F3"/>
    <x v="34"/>
    <s v="IT07040600"/>
    <s v="EF-DS-DCP Process Intelligence Practice"/>
    <s v="G000001402"/>
    <s v="New"/>
    <x v="0"/>
    <x v="0"/>
    <s v="MGF"/>
    <s v="named and assigned"/>
    <m/>
    <s v="Jojeff Tagnong"/>
  </r>
  <r>
    <n v="702"/>
    <s v="F3"/>
    <x v="34"/>
    <s v="IT07040700"/>
    <s v="EF-DS-DCU UPTIMIZE Platf. Engr Practice"/>
    <s v="G000001403"/>
    <s v="New"/>
    <x v="0"/>
    <x v="0"/>
    <s v="MGF"/>
    <s v="named and assigned"/>
    <m/>
    <s v="Jojeff Tagnong"/>
  </r>
  <r>
    <n v="703"/>
    <s v="F3"/>
    <x v="34"/>
    <s v="IT07050000"/>
    <s v="EF-DS-DG Data &amp; AI Governance"/>
    <s v="G000001404"/>
    <s v="New"/>
    <x v="0"/>
    <x v="0"/>
    <s v="MGF"/>
    <s v="named and assigned"/>
    <m/>
    <s v="Jojeff Tagnong"/>
  </r>
  <r>
    <n v="704"/>
    <s v="F3"/>
    <x v="34"/>
    <s v="IT07060000"/>
    <s v="EF-DS-DI Data Culture"/>
    <s v="G000001405"/>
    <s v="New"/>
    <x v="0"/>
    <x v="0"/>
    <s v="MGF"/>
    <s v="named and assigned"/>
    <m/>
    <s v="Jojeff Tagnong"/>
  </r>
  <r>
    <n v="705"/>
    <s v="F3"/>
    <x v="34"/>
    <s v="IT07060100"/>
    <s v="EF-DS-DIT"/>
    <s v="G000001406"/>
    <s v="New"/>
    <x v="0"/>
    <x v="0"/>
    <s v="MGF"/>
    <s v="named and assigned"/>
    <m/>
    <s v="Jojeff Tagnong"/>
  </r>
  <r>
    <n v="706"/>
    <s v="F3"/>
    <x v="34"/>
    <s v="IT07070000"/>
    <s v="EF-DS-DP Data &amp; AI Products"/>
    <s v="G000001407"/>
    <s v="New"/>
    <x v="0"/>
    <x v="0"/>
    <s v="MGF"/>
    <s v="named and assigned"/>
    <m/>
    <s v="Jojeff Tagnong"/>
  </r>
  <r>
    <n v="707"/>
    <s v="F3"/>
    <x v="34"/>
    <s v="IT07070100"/>
    <s v="EF-DS-DPA Data Analytics &amp; AI Portfolio"/>
    <s v="G000001408"/>
    <s v="New"/>
    <x v="0"/>
    <x v="0"/>
    <s v="MGF"/>
    <s v="named and assigned"/>
    <m/>
    <s v="Jojeff Tagnong"/>
  </r>
  <r>
    <n v="708"/>
    <s v="F3"/>
    <x v="34"/>
    <s v="IT07070200"/>
    <s v="EF-DS-DPD Data Products Portfolio"/>
    <s v="G000001409"/>
    <s v="New"/>
    <x v="0"/>
    <x v="0"/>
    <s v="MGF"/>
    <s v="named and assigned"/>
    <m/>
    <s v="Jojeff Tagnong"/>
  </r>
  <r>
    <n v="709"/>
    <s v="F3"/>
    <x v="34"/>
    <s v="IT07070300"/>
    <s v="EF-DS-DPE Data &amp; AI Archi. &amp; Excellence?"/>
    <s v="G000001410"/>
    <s v="New"/>
    <x v="0"/>
    <x v="0"/>
    <s v="MGF"/>
    <s v="named and assigned"/>
    <m/>
    <s v="Jojeff Tagnong"/>
  </r>
  <r>
    <n v="710"/>
    <s v="F3"/>
    <x v="34"/>
    <s v="IT07070400"/>
    <s v="EF-DS-DPF Data &amp; AI Financial Management"/>
    <s v="G000001411"/>
    <s v="New"/>
    <x v="0"/>
    <x v="0"/>
    <s v="MGF"/>
    <s v="named and assigned"/>
    <m/>
    <s v="Jojeff Tagnong"/>
  </r>
  <r>
    <n v="711"/>
    <s v="F3"/>
    <x v="34"/>
    <s v="IT07070500"/>
    <s v="EF-DS-DPL Data Platform Portfolio"/>
    <s v="G000001412"/>
    <s v="New"/>
    <x v="0"/>
    <x v="0"/>
    <s v="MGF"/>
    <s v="named and assigned"/>
    <m/>
    <s v="Jojeff Tagnong"/>
  </r>
  <r>
    <n v="712"/>
    <s v="F3"/>
    <x v="34"/>
    <s v="IT07080000"/>
    <s v="EF-DS-DS Data &amp; AI Strategy"/>
    <s v="G000001413"/>
    <s v="New"/>
    <x v="0"/>
    <x v="0"/>
    <s v="MGF"/>
    <s v="named and assigned"/>
    <m/>
    <s v="Jojeff Tagnong"/>
  </r>
  <r>
    <n v="713"/>
    <s v="F3"/>
    <x v="34"/>
    <s v="IT07090000"/>
    <s v="EF-DS-DT Data &amp; AI Tech Innovation"/>
    <s v="G000001414"/>
    <s v="New"/>
    <x v="0"/>
    <x v="0"/>
    <s v="MGF"/>
    <s v="named and assigned"/>
    <m/>
    <s v="Jojeff Tagnong"/>
  </r>
  <r>
    <n v="714"/>
    <s v="F3"/>
    <x v="34"/>
    <s v="IT07090100"/>
    <s v="EF-DS-DTA Data &amp; AI Tech Innovation A"/>
    <s v="G000001415"/>
    <s v="New"/>
    <x v="0"/>
    <x v="0"/>
    <s v="MGF"/>
    <s v="named and assigned"/>
    <m/>
    <s v="Jojeff Tagnong"/>
  </r>
  <r>
    <n v="715"/>
    <s v="F3"/>
    <x v="34"/>
    <s v="IT09000000"/>
    <s v="EF-DS-S DES Strategy, Gover. &amp; Transf"/>
    <s v="G000001381"/>
    <s v="New"/>
    <x v="0"/>
    <x v="0"/>
    <s v="MGF"/>
    <s v="done"/>
    <m/>
    <s v="Jojeff Tagnong"/>
  </r>
  <r>
    <n v="716"/>
    <s v="F3"/>
    <x v="34"/>
    <s v="IT09010000"/>
    <s v="EF-DS-SE Integrated Process Excellence"/>
    <s v="G000001416"/>
    <s v="New"/>
    <x v="0"/>
    <x v="0"/>
    <s v="MGF"/>
    <s v="named and assigned"/>
    <m/>
    <s v="Jojeff Tagnong"/>
  </r>
  <r>
    <n v="717"/>
    <s v="F3"/>
    <x v="34"/>
    <s v="IT09020200"/>
    <s v="EF-DS-SGB DDIT Sustainability Management"/>
    <s v="G000001417"/>
    <s v="New"/>
    <x v="0"/>
    <x v="0"/>
    <s v="MGF"/>
    <s v="named and assigned"/>
    <m/>
    <s v="Jojeff Tagnong"/>
  </r>
  <r>
    <n v="718"/>
    <s v="F3"/>
    <x v="34"/>
    <s v="IT09020300"/>
    <s v="EF-DS-SGM IT Mergers &amp; Acquisition"/>
    <s v="G000001418"/>
    <s v="New"/>
    <x v="0"/>
    <x v="0"/>
    <s v="MGF"/>
    <s v="named and assigned"/>
    <m/>
    <s v="Jojeff Tagnong"/>
  </r>
  <r>
    <n v="719"/>
    <s v="F3"/>
    <x v="34"/>
    <s v="IT09030000"/>
    <s v="EF-DS-SI Integr &amp; Transformation Project"/>
    <s v="G000001419"/>
    <s v="New"/>
    <x v="0"/>
    <x v="0"/>
    <s v="MGF"/>
    <s v="named and assigned"/>
    <m/>
    <s v="Jojeff Tagnong"/>
  </r>
  <r>
    <n v="720"/>
    <s v="F3"/>
    <x v="34"/>
    <s v="IT09030100"/>
    <s v="EF-DS-SIY Program &amp; Proj Portfolio Mgmt."/>
    <s v="G000001420"/>
    <s v="New"/>
    <x v="0"/>
    <x v="0"/>
    <s v="MGF"/>
    <s v="named and assigned"/>
    <m/>
    <s v="Jojeff Tagnong"/>
  </r>
  <r>
    <n v="721"/>
    <s v="F3"/>
    <x v="34"/>
    <s v="IT09040000"/>
    <s v="EF-DS-SO SGT Office, Comm &amp; Portf Mgmt"/>
    <s v="G000000789"/>
    <s v="New"/>
    <x v="0"/>
    <x v="0"/>
    <s v="MGF"/>
    <s v="named and assigned"/>
    <m/>
    <s v="Jojeff Tagnong"/>
  </r>
  <r>
    <n v="722"/>
    <s v="F3"/>
    <x v="34"/>
    <s v="IT09040100"/>
    <s v="EF-DS-SOD DDIT Portfolio Mgmt &amp; Projects"/>
    <s v="G000000838"/>
    <s v="New"/>
    <x v="0"/>
    <x v="0"/>
    <s v="MGF"/>
    <s v="named and assigned"/>
    <m/>
    <s v="Jojeff Tagnong"/>
  </r>
  <r>
    <n v="723"/>
    <s v="F3"/>
    <x v="34"/>
    <s v="IT09040200"/>
    <s v="EF-DS-SOS Change Management"/>
    <s v="G000000839"/>
    <s v="New"/>
    <x v="0"/>
    <x v="0"/>
    <s v="MGF"/>
    <s v="named and assigned"/>
    <m/>
    <s v="Jojeff Tagnong"/>
  </r>
  <r>
    <n v="724"/>
    <s v="F3"/>
    <x v="34"/>
    <s v="IT09040300"/>
    <s v="EF-DS-SOY Strategy Activation"/>
    <s v="G000001421"/>
    <s v="New"/>
    <x v="0"/>
    <x v="0"/>
    <s v="MGF"/>
    <s v="named and assigned"/>
    <m/>
    <s v="Jojeff Tagnong"/>
  </r>
  <r>
    <n v="725"/>
    <s v="F3"/>
    <x v="34"/>
    <s v="IT09050000"/>
    <s v="EF-DS-SV Strategic Intel &amp; ValueCreation"/>
    <s v="G000001422"/>
    <s v="New"/>
    <x v="0"/>
    <x v="0"/>
    <s v="MGF"/>
    <s v="named and assigned"/>
    <m/>
    <s v="Jojeff Tagnong"/>
  </r>
  <r>
    <n v="726"/>
    <s v="F3"/>
    <x v="34"/>
    <s v="G000000244"/>
    <s v="EF-DS-T Group IT_I"/>
    <m/>
    <s v="Rename"/>
    <x v="0"/>
    <x v="0"/>
    <s v="MGF"/>
    <s v="renamed"/>
    <m/>
    <s v="Jojeff Tagnong"/>
  </r>
  <r>
    <n v="727"/>
    <s v="F3"/>
    <x v="34"/>
    <s v="IT06000000"/>
    <s v="EF-DS-T Group IT"/>
    <m/>
    <s v="Rename"/>
    <x v="0"/>
    <x v="0"/>
    <s v="MGF"/>
    <s v="renamed"/>
    <m/>
    <s v="Jojeff Tagnong"/>
  </r>
  <r>
    <n v="728"/>
    <s v="F3"/>
    <x v="34"/>
    <s v="G000000245"/>
    <s v="EF-DS-TC Head Office &amp; CISO"/>
    <m/>
    <s v="Rename"/>
    <x v="0"/>
    <x v="0"/>
    <s v="MGF"/>
    <s v="renamed"/>
    <m/>
    <s v="Jojeff Tagnong"/>
  </r>
  <r>
    <n v="729"/>
    <s v="F3"/>
    <x v="34"/>
    <s v="G000000627"/>
    <s v="EF-DS-TC Head Office &amp; CISO_I"/>
    <m/>
    <s v="Rename"/>
    <x v="0"/>
    <x v="0"/>
    <s v="MGF"/>
    <s v="renamed"/>
    <m/>
    <s v="Jojeff Tagnong"/>
  </r>
  <r>
    <n v="730"/>
    <s v="F3"/>
    <x v="34"/>
    <s v="IT06010000"/>
    <s v="EF-DS-TC Head Office &amp; CISO"/>
    <m/>
    <s v="Rename"/>
    <x v="0"/>
    <x v="0"/>
    <s v="MGF"/>
    <s v="renamed"/>
    <m/>
    <s v="Jojeff Tagnong"/>
  </r>
  <r>
    <n v="731"/>
    <s v="F3"/>
    <x v="34"/>
    <s v="G000000246"/>
    <s v="EF-DS-TA Application Technology"/>
    <m/>
    <s v="Rename"/>
    <x v="0"/>
    <x v="0"/>
    <s v="MGF"/>
    <s v="renamed"/>
    <m/>
    <s v="Jojeff Tagnong"/>
  </r>
  <r>
    <n v="732"/>
    <s v="F3"/>
    <x v="34"/>
    <s v="G000000247"/>
    <s v="EF-DS-TA Application Technology_I"/>
    <m/>
    <s v="Rename"/>
    <x v="0"/>
    <x v="0"/>
    <s v="MGF"/>
    <s v="renamed"/>
    <m/>
    <s v="Jojeff Tagnong"/>
  </r>
  <r>
    <n v="733"/>
    <s v="F3"/>
    <x v="34"/>
    <s v="IT06020000"/>
    <s v="EF-DS-TA Application Technology"/>
    <m/>
    <s v="Rename"/>
    <x v="0"/>
    <x v="0"/>
    <s v="MGF"/>
    <s v="renamed"/>
    <m/>
    <s v="Jojeff Tagnong"/>
  </r>
  <r>
    <n v="734"/>
    <s v="F3"/>
    <x v="34"/>
    <s v="G000000253"/>
    <s v="EF-DS-TAM Manufacturing, SCM &amp; Quality"/>
    <m/>
    <s v="Rename"/>
    <x v="0"/>
    <x v="0"/>
    <s v="MGF"/>
    <s v="renamed"/>
    <m/>
    <s v="Jojeff Tagnong"/>
  </r>
  <r>
    <n v="735"/>
    <s v="F3"/>
    <x v="34"/>
    <s v="IT06020600"/>
    <s v="EF-DS-TAM Manufacturing, SCM &amp; Quality"/>
    <m/>
    <s v="Rename"/>
    <x v="0"/>
    <x v="0"/>
    <s v="MGF"/>
    <s v="renamed"/>
    <m/>
    <s v="Jojeff Tagnong"/>
  </r>
  <r>
    <n v="736"/>
    <s v="F3"/>
    <x v="34"/>
    <s v="G000000255"/>
    <s v="EF-DS-TAR R&amp;D"/>
    <m/>
    <s v="Rename"/>
    <x v="0"/>
    <x v="0"/>
    <s v="MGF"/>
    <s v="renamed"/>
    <m/>
    <s v="Jojeff Tagnong"/>
  </r>
  <r>
    <n v="737"/>
    <s v="F3"/>
    <x v="34"/>
    <s v="IT06020800"/>
    <s v="EF-DS-TAR R&amp;D"/>
    <m/>
    <s v="Rename"/>
    <x v="0"/>
    <x v="0"/>
    <s v="MGF"/>
    <s v="renamed"/>
    <m/>
    <s v="Jojeff Tagnong"/>
  </r>
  <r>
    <n v="738"/>
    <s v="F3"/>
    <x v="34"/>
    <s v="G000000256"/>
    <s v="EF-DS-TAS Marketing &amp; Sales"/>
    <m/>
    <s v="Rename"/>
    <x v="0"/>
    <x v="0"/>
    <s v="MGF"/>
    <s v="renamed"/>
    <m/>
    <s v="Jojeff Tagnong"/>
  </r>
  <r>
    <n v="739"/>
    <s v="F3"/>
    <x v="34"/>
    <s v="IT06020900"/>
    <s v="EF-DS-TAS Marketing &amp; Sales"/>
    <m/>
    <s v="Rename"/>
    <x v="0"/>
    <x v="0"/>
    <s v="MGF"/>
    <s v="renamed"/>
    <m/>
    <s v="Jojeff Tagnong"/>
  </r>
  <r>
    <n v="740"/>
    <s v="F3"/>
    <x v="34"/>
    <s v="G000000736"/>
    <s v="EF-DS-TAC Custom Apps &amp; New Technology"/>
    <m/>
    <s v="Rename"/>
    <x v="0"/>
    <x v="0"/>
    <s v="MGF"/>
    <s v="renamed"/>
    <m/>
    <s v="Jojeff Tagnong"/>
  </r>
  <r>
    <n v="741"/>
    <s v="F3"/>
    <x v="34"/>
    <s v="IT06021200"/>
    <s v="EF-DS-TAC Custom Apps &amp; New Technology"/>
    <m/>
    <s v="Rename"/>
    <x v="0"/>
    <x v="0"/>
    <s v="MGF"/>
    <s v="renamed"/>
    <m/>
    <s v="Jojeff Tagnong"/>
  </r>
  <r>
    <n v="742"/>
    <s v="F3"/>
    <x v="34"/>
    <s v="G000000893"/>
    <s v="EF-DS-TAT Automation Strategy"/>
    <m/>
    <s v="Rename"/>
    <x v="0"/>
    <x v="0"/>
    <s v="MGF"/>
    <s v="renamed"/>
    <m/>
    <s v="Jojeff Tagnong"/>
  </r>
  <r>
    <n v="743"/>
    <s v="F3"/>
    <x v="34"/>
    <s v="IT06021400"/>
    <s v="EF-DS-TAT Automation Strategy"/>
    <m/>
    <s v="Rename"/>
    <x v="0"/>
    <x v="0"/>
    <s v="MGF"/>
    <s v="renamed"/>
    <m/>
    <s v="Jojeff Tagnong"/>
  </r>
  <r>
    <n v="744"/>
    <s v="F3"/>
    <x v="34"/>
    <s v="G000001099"/>
    <s v="EF-DS-TAZ IT-App Tech CoE"/>
    <m/>
    <s v="Rename"/>
    <x v="0"/>
    <x v="0"/>
    <s v="MGF"/>
    <s v="renamed"/>
    <m/>
    <s v="Jojeff Tagnong"/>
  </r>
  <r>
    <n v="745"/>
    <s v="F3"/>
    <x v="34"/>
    <s v="IT06021500"/>
    <s v="EF-DS-TAZ IT-App Tech CoE"/>
    <m/>
    <s v="Rename"/>
    <x v="0"/>
    <x v="0"/>
    <s v="MGF"/>
    <s v="renamed"/>
    <m/>
    <s v="Jojeff Tagnong"/>
  </r>
  <r>
    <n v="746"/>
    <s v="F3"/>
    <x v="34"/>
    <s v="G000000272"/>
    <s v="EF-DS-TI Infrastructure Technology"/>
    <m/>
    <s v="Rename"/>
    <x v="0"/>
    <x v="0"/>
    <s v="MGF"/>
    <s v="renamed"/>
    <m/>
    <s v="Jojeff Tagnong"/>
  </r>
  <r>
    <n v="747"/>
    <s v="F3"/>
    <x v="34"/>
    <s v="G000000273"/>
    <s v="EF-DS-TI Infrastructure Technology_I"/>
    <m/>
    <s v="Rename"/>
    <x v="0"/>
    <x v="0"/>
    <s v="MGF"/>
    <s v="renamed"/>
    <m/>
    <s v="Jojeff Tagnong"/>
  </r>
  <r>
    <n v="748"/>
    <s v="F3"/>
    <x v="34"/>
    <s v="IT06040000"/>
    <s v="EF-DS-TI Infrastructure Technology"/>
    <m/>
    <s v="Rename"/>
    <x v="0"/>
    <x v="0"/>
    <s v="MGF"/>
    <s v="renamed"/>
    <m/>
    <s v="Jojeff Tagnong"/>
  </r>
  <r>
    <n v="749"/>
    <s v="F3"/>
    <x v="34"/>
    <s v="G000000275"/>
    <s v="EF-DS-TIP Portfolio &amp; Performance Mgmt"/>
    <m/>
    <s v="Rename"/>
    <x v="0"/>
    <x v="0"/>
    <s v="MGF"/>
    <s v="renamed"/>
    <m/>
    <s v="Jojeff Tagnong"/>
  </r>
  <r>
    <n v="750"/>
    <s v="F3"/>
    <x v="34"/>
    <s v="IT06040200"/>
    <s v="EF-DS-TIP Portfolio &amp; Performance Mgmt"/>
    <m/>
    <s v="Rename"/>
    <x v="0"/>
    <x v="0"/>
    <s v="MGF"/>
    <s v="renamed"/>
    <m/>
    <s v="Jojeff Tagnong"/>
  </r>
  <r>
    <n v="751"/>
    <s v="F3"/>
    <x v="34"/>
    <s v="G000000276"/>
    <s v="EF-DS-TIK Data Center &amp; Cloud Strategy"/>
    <m/>
    <s v="Rename"/>
    <x v="0"/>
    <x v="0"/>
    <s v="MGF"/>
    <s v="renamed"/>
    <m/>
    <s v="Jojeff Tagnong"/>
  </r>
  <r>
    <n v="752"/>
    <s v="F3"/>
    <x v="34"/>
    <s v="IT06040300"/>
    <s v="EF-DS-TIK Data Center &amp; Cloud Strategy"/>
    <m/>
    <s v="Rename"/>
    <x v="0"/>
    <x v="0"/>
    <s v="MGF"/>
    <s v="renamed"/>
    <m/>
    <s v="Jojeff Tagnong"/>
  </r>
  <r>
    <n v="753"/>
    <s v="F3"/>
    <x v="34"/>
    <s v="G000000277"/>
    <s v="EF-DS-TID Network Management"/>
    <m/>
    <s v="Rename"/>
    <x v="0"/>
    <x v="0"/>
    <s v="MGF"/>
    <s v="renamed"/>
    <m/>
    <s v="Jojeff Tagnong"/>
  </r>
  <r>
    <n v="754"/>
    <s v="F3"/>
    <x v="34"/>
    <s v="IT06040500"/>
    <s v="EF-DS-TID Network Management"/>
    <m/>
    <s v="Rename"/>
    <x v="0"/>
    <x v="0"/>
    <s v="MGF"/>
    <s v="renamed"/>
    <m/>
    <s v="Jojeff Tagnong"/>
  </r>
  <r>
    <n v="755"/>
    <s v="F3"/>
    <x v="34"/>
    <s v="G000000279"/>
    <s v="EF-DS-TIF Digital Plant Infrastructure"/>
    <m/>
    <s v="Rename"/>
    <x v="0"/>
    <x v="0"/>
    <s v="MGF"/>
    <s v="renamed"/>
    <m/>
    <s v="Jojeff Tagnong"/>
  </r>
  <r>
    <n v="756"/>
    <s v="F3"/>
    <x v="34"/>
    <s v="IT06041000"/>
    <s v="EF-DS-TIF Digital Plant Infrastructure"/>
    <m/>
    <s v="Rename"/>
    <x v="0"/>
    <x v="0"/>
    <s v="MGF"/>
    <s v="renamed"/>
    <m/>
    <s v="Jojeff Tagnong"/>
  </r>
  <r>
    <n v="757"/>
    <s v="F3"/>
    <x v="34"/>
    <s v="G000000282"/>
    <s v="EF-DS-TIW Digital Workplace"/>
    <m/>
    <s v="Rename"/>
    <x v="0"/>
    <x v="0"/>
    <s v="MGF"/>
    <s v="renamed"/>
    <m/>
    <s v="Jojeff Tagnong"/>
  </r>
  <r>
    <n v="758"/>
    <s v="F3"/>
    <x v="34"/>
    <s v="IT06042100"/>
    <s v="EF-DS-TIW Digital Workplace"/>
    <m/>
    <s v="Rename"/>
    <x v="0"/>
    <x v="0"/>
    <s v="MGF"/>
    <s v="renamed"/>
    <m/>
    <s v="Jojeff Tagnong"/>
  </r>
  <r>
    <n v="759"/>
    <s v="F3"/>
    <x v="34"/>
    <s v="G000000895"/>
    <s v="EF-DS-TIT Technology Office"/>
    <m/>
    <s v="Rename"/>
    <x v="0"/>
    <x v="0"/>
    <s v="MGF"/>
    <s v="renamed"/>
    <m/>
    <s v="Jojeff Tagnong"/>
  </r>
  <r>
    <n v="760"/>
    <s v="F3"/>
    <x v="34"/>
    <s v="IT06042400"/>
    <s v="EF-DS-TIT Technology Office"/>
    <m/>
    <s v="Rename"/>
    <x v="0"/>
    <x v="0"/>
    <s v="MGF"/>
    <s v="renamed"/>
    <m/>
    <s v="Jojeff Tagnong"/>
  </r>
  <r>
    <n v="761"/>
    <s v="F3"/>
    <x v="34"/>
    <s v="G000001240"/>
    <s v="EF-DS-TIO Technology Platform Operations"/>
    <m/>
    <s v="Rename"/>
    <x v="0"/>
    <x v="0"/>
    <s v="MGF"/>
    <s v="renamed"/>
    <m/>
    <s v="Jojeff Tagnong"/>
  </r>
  <r>
    <n v="762"/>
    <s v="F3"/>
    <x v="34"/>
    <s v="IT06042500"/>
    <s v="EF-DS-TIO Technology Platform Operations"/>
    <m/>
    <s v="Rename"/>
    <x v="0"/>
    <x v="0"/>
    <s v="MGF"/>
    <s v="renamed"/>
    <m/>
    <s v="Jojeff Tagnong"/>
  </r>
  <r>
    <n v="763"/>
    <s v="F3"/>
    <x v="34"/>
    <s v="G000000317"/>
    <s v="EF-DS-TE DDIT - EF"/>
    <m/>
    <s v="Rename"/>
    <x v="0"/>
    <x v="0"/>
    <s v="MGF"/>
    <s v="renamed"/>
    <m/>
    <s v="Jojeff Tagnong"/>
  </r>
  <r>
    <n v="764"/>
    <s v="F3"/>
    <x v="34"/>
    <s v="G000000318"/>
    <s v="EF-DS-TE DDIT - EF"/>
    <m/>
    <s v="Rename"/>
    <x v="0"/>
    <x v="0"/>
    <s v="MGF"/>
    <s v="renamed"/>
    <m/>
    <s v="Jojeff Tagnong"/>
  </r>
  <r>
    <n v="765"/>
    <s v="F3"/>
    <x v="34"/>
    <s v="IT06070000"/>
    <s v="EF-DS-TE DDIT - EF"/>
    <m/>
    <s v="Rename"/>
    <x v="0"/>
    <x v="0"/>
    <s v="MGF"/>
    <s v="renamed"/>
    <m/>
    <s v="Jojeff Tagnong"/>
  </r>
  <r>
    <n v="766"/>
    <s v="F3"/>
    <x v="34"/>
    <s v="G000000324"/>
    <s v="EF-DS-TET Portfolio, Tranf. &amp; Performanc"/>
    <m/>
    <s v="Rename"/>
    <x v="0"/>
    <x v="0"/>
    <s v="MGF"/>
    <s v="renamed"/>
    <m/>
    <s v="Jojeff Tagnong"/>
  </r>
  <r>
    <n v="767"/>
    <s v="F3"/>
    <x v="34"/>
    <s v="IT06070600"/>
    <s v="EF-DS-TET Portfolio, Tranf. &amp; Performanc"/>
    <m/>
    <s v="Rename"/>
    <x v="0"/>
    <x v="0"/>
    <s v="MGF"/>
    <s v="renamed"/>
    <m/>
    <s v="Jojeff Tagnong"/>
  </r>
  <r>
    <n v="768"/>
    <s v="F3"/>
    <x v="34"/>
    <s v="G000000325"/>
    <s v="EF-DS-TEH DDIT - HR &amp; Other EF"/>
    <m/>
    <s v="Rename"/>
    <x v="0"/>
    <x v="0"/>
    <s v="MGF"/>
    <s v="renamed"/>
    <m/>
    <s v="Jojeff Tagnong"/>
  </r>
  <r>
    <n v="769"/>
    <s v="F3"/>
    <x v="34"/>
    <s v="IT06070700"/>
    <s v="EF-DS-TEH DDIT - HR &amp; Other EF"/>
    <m/>
    <s v="Rename"/>
    <x v="0"/>
    <x v="0"/>
    <s v="MGF"/>
    <s v="renamed"/>
    <m/>
    <s v="Jojeff Tagnong"/>
  </r>
  <r>
    <n v="770"/>
    <s v="F3"/>
    <x v="34"/>
    <s v="G000000786"/>
    <s v="EF-DS-TEF DDIT - Finance"/>
    <m/>
    <s v="Rename"/>
    <x v="0"/>
    <x v="0"/>
    <s v="MGF"/>
    <s v="renamed"/>
    <m/>
    <s v="Jojeff Tagnong"/>
  </r>
  <r>
    <n v="771"/>
    <s v="F3"/>
    <x v="34"/>
    <s v="IT06071100"/>
    <s v="EF-DS-TEF DDIT - Finance"/>
    <m/>
    <s v="Rename"/>
    <x v="0"/>
    <x v="0"/>
    <s v="MGF"/>
    <s v="renamed"/>
    <m/>
    <s v="Jojeff Tagnong"/>
  </r>
  <r>
    <n v="772"/>
    <s v="F3"/>
    <x v="34"/>
    <s v="G000001123"/>
    <s v="EF-DS-TED Data Office Enabling Functions"/>
    <m/>
    <s v="Rename"/>
    <x v="0"/>
    <x v="0"/>
    <s v="MGF"/>
    <s v="renamed"/>
    <m/>
    <s v="Jojeff Tagnong"/>
  </r>
  <r>
    <n v="773"/>
    <s v="F3"/>
    <x v="34"/>
    <s v="IT06071400"/>
    <s v="EF-DS-TED Data Office Enabling Functions"/>
    <m/>
    <s v="Rename"/>
    <x v="0"/>
    <x v="0"/>
    <s v="MGF"/>
    <s v="renamed"/>
    <m/>
    <s v="Jojeff Tagnong"/>
  </r>
  <r>
    <n v="774"/>
    <s v="F3"/>
    <x v="34"/>
    <s v="G000001233"/>
    <s v="EF-DS-TEA EF Group Applications"/>
    <m/>
    <s v="Rename"/>
    <x v="0"/>
    <x v="0"/>
    <s v="MGF"/>
    <s v="renamed"/>
    <m/>
    <s v="Jojeff Tagnong"/>
  </r>
  <r>
    <n v="775"/>
    <s v="F3"/>
    <x v="34"/>
    <s v="IT06071800"/>
    <s v="EF-DS-TEA EF Group Applications"/>
    <m/>
    <s v="Rename"/>
    <x v="0"/>
    <x v="0"/>
    <s v="MGF"/>
    <s v="renamed"/>
    <m/>
    <s v="Jojeff Tagnong"/>
  </r>
  <r>
    <n v="776"/>
    <s v="F3"/>
    <x v="34"/>
    <s v="G000001234"/>
    <s v="EF-DS-TEI MITC Management"/>
    <m/>
    <s v="Rename"/>
    <x v="0"/>
    <x v="0"/>
    <s v="MGF"/>
    <s v="renamed"/>
    <m/>
    <s v="Jojeff Tagnong"/>
  </r>
  <r>
    <n v="777"/>
    <s v="F3"/>
    <x v="34"/>
    <s v="IT06071900"/>
    <s v="EF-DS-TEI MITC Management"/>
    <m/>
    <s v="Rename"/>
    <x v="0"/>
    <x v="0"/>
    <s v="MGF"/>
    <s v="renamed"/>
    <m/>
    <s v="Jojeff Tagnong"/>
  </r>
  <r>
    <n v="778"/>
    <s v="F3"/>
    <x v="34"/>
    <s v="G000001276"/>
    <s v="EF-DS-TEG MBS &amp; Procurement"/>
    <m/>
    <s v="Rename"/>
    <x v="0"/>
    <x v="0"/>
    <s v="MGF"/>
    <s v="renamed"/>
    <m/>
    <s v="Jojeff Tagnong"/>
  </r>
  <r>
    <n v="779"/>
    <s v="F3"/>
    <x v="34"/>
    <s v="IT06072000"/>
    <s v="EF-DS-TEG MBS &amp; Procurement"/>
    <m/>
    <s v="Rename"/>
    <x v="0"/>
    <x v="0"/>
    <s v="MGF"/>
    <s v="renamed"/>
    <m/>
    <s v="Jojeff Tagnong"/>
  </r>
  <r>
    <n v="780"/>
    <s v="F3"/>
    <x v="34"/>
    <s v="G000001277"/>
    <s v="EF-DS-TEO Strategy &amp; Transformation"/>
    <m/>
    <s v="Rename"/>
    <x v="0"/>
    <x v="0"/>
    <s v="MGF"/>
    <s v="renamed"/>
    <m/>
    <s v="Jojeff Tagnong"/>
  </r>
  <r>
    <n v="781"/>
    <s v="F3"/>
    <x v="34"/>
    <s v="IT06072100"/>
    <s v="EF-DS-TEO Strategy &amp; Transformation"/>
    <m/>
    <s v="Rename"/>
    <x v="0"/>
    <x v="0"/>
    <s v="MGF"/>
    <s v="renamed"/>
    <m/>
    <s v="Jojeff Tagnong"/>
  </r>
  <r>
    <n v="782"/>
    <s v="F3"/>
    <x v="34"/>
    <s v="G000001278"/>
    <s v="EF-DS-TEX Architechture &amp; Security"/>
    <m/>
    <s v="Rename"/>
    <x v="0"/>
    <x v="0"/>
    <s v="MGF"/>
    <s v="renamed"/>
    <m/>
    <s v="Jojeff Tagnong"/>
  </r>
  <r>
    <n v="783"/>
    <s v="F3"/>
    <x v="34"/>
    <s v="IT06072200"/>
    <s v="EF-DS-TEX Architechture &amp; Security"/>
    <m/>
    <s v="Rename"/>
    <x v="0"/>
    <x v="0"/>
    <s v="MGF"/>
    <s v="renamed"/>
    <m/>
    <s v="Jojeff Tagnong"/>
  </r>
  <r>
    <n v="784"/>
    <s v="F3"/>
    <x v="34"/>
    <s v="G000000336"/>
    <s v="EF-DS-TX IT Special Topics"/>
    <m/>
    <s v="Rename"/>
    <x v="0"/>
    <x v="0"/>
    <s v="MGF"/>
    <s v="renamed"/>
    <m/>
    <s v="Jojeff Tagnong"/>
  </r>
  <r>
    <n v="785"/>
    <s v="F3"/>
    <x v="34"/>
    <s v="G000000337"/>
    <s v="EF-DS-TXE Elevate IT"/>
    <m/>
    <s v="Rename"/>
    <x v="0"/>
    <x v="0"/>
    <s v="MGF"/>
    <s v="renamed"/>
    <m/>
    <s v="Jojeff Tagnong"/>
  </r>
  <r>
    <n v="786"/>
    <s v="F3"/>
    <x v="34"/>
    <s v="IT06090100"/>
    <s v="EF-DS-TXE Elevate IT"/>
    <m/>
    <s v="Rename"/>
    <x v="0"/>
    <x v="0"/>
    <s v="MGF"/>
    <s v="renamed"/>
    <m/>
    <s v="Jojeff Tagnong"/>
  </r>
  <r>
    <n v="787"/>
    <s v="F3"/>
    <x v="34"/>
    <s v="G000000338"/>
    <s v="EF-DS-TXS Integration"/>
    <m/>
    <s v="Rename"/>
    <x v="0"/>
    <x v="0"/>
    <s v="MGF"/>
    <s v="renamed"/>
    <m/>
    <s v="Jojeff Tagnong"/>
  </r>
  <r>
    <n v="788"/>
    <s v="F3"/>
    <x v="34"/>
    <s v="IT06090200"/>
    <s v="EF-DS-TXS Integration"/>
    <m/>
    <s v="Rename"/>
    <x v="0"/>
    <x v="0"/>
    <s v="MGF"/>
    <s v="renamed"/>
    <m/>
    <s v="Jojeff Tagnong"/>
  </r>
  <r>
    <n v="789"/>
    <s v="F3"/>
    <x v="34"/>
    <s v="G000000339"/>
    <s v="EF-DS-TXV Various"/>
    <m/>
    <s v="Rename"/>
    <x v="0"/>
    <x v="0"/>
    <s v="MGF"/>
    <s v="renamed"/>
    <m/>
    <s v="Jojeff Tagnong"/>
  </r>
  <r>
    <n v="790"/>
    <s v="F3"/>
    <x v="34"/>
    <s v="IT06090300"/>
    <s v="EF-DS-TXV Various"/>
    <m/>
    <s v="Rename"/>
    <x v="0"/>
    <x v="0"/>
    <s v="MGF"/>
    <s v="renamed"/>
    <m/>
    <s v="Jojeff Tagnong"/>
  </r>
  <r>
    <n v="791"/>
    <s v="F3"/>
    <x v="34"/>
    <s v="G000000744"/>
    <s v="EF-DS-TX IT Special Topics_I"/>
    <m/>
    <s v="Rename"/>
    <x v="0"/>
    <x v="0"/>
    <s v="MGF"/>
    <s v="renamed"/>
    <m/>
    <s v="Jojeff Tagnong"/>
  </r>
  <r>
    <n v="792"/>
    <s v="F3"/>
    <x v="34"/>
    <s v="IT06090000"/>
    <s v="EF-DS-TX IT Special Topics"/>
    <m/>
    <s v="Rename"/>
    <x v="0"/>
    <x v="0"/>
    <s v="MGF"/>
    <s v="renamed"/>
    <m/>
    <s v="Jojeff Tagnong"/>
  </r>
  <r>
    <n v="793"/>
    <s v="F3"/>
    <x v="34"/>
    <s v="G000000340"/>
    <s v="EF-DS-TP Global ERP"/>
    <m/>
    <s v="Rename"/>
    <x v="0"/>
    <x v="0"/>
    <s v="MGF"/>
    <s v="renamed"/>
    <m/>
    <s v="Jojeff Tagnong"/>
  </r>
  <r>
    <n v="794"/>
    <s v="F3"/>
    <x v="34"/>
    <s v="G000000341"/>
    <s v="EF-DS-TP Global ERP_I"/>
    <m/>
    <s v="Rename"/>
    <x v="0"/>
    <x v="0"/>
    <s v="MGF"/>
    <s v="renamed"/>
    <m/>
    <s v="Jojeff Tagnong"/>
  </r>
  <r>
    <n v="795"/>
    <s v="F3"/>
    <x v="34"/>
    <s v="IT06100000"/>
    <s v="EF-DS-TP Global ERP"/>
    <m/>
    <s v="Rename"/>
    <x v="0"/>
    <x v="0"/>
    <s v="MGF"/>
    <s v="renamed"/>
    <m/>
    <s v="Jojeff Tagnong"/>
  </r>
  <r>
    <n v="796"/>
    <s v="F3"/>
    <x v="34"/>
    <s v="G000000342"/>
    <s v="EF-DS-TPC SAP Center of Competence"/>
    <m/>
    <s v="Rename"/>
    <x v="0"/>
    <x v="0"/>
    <s v="MGF"/>
    <s v="renamed"/>
    <m/>
    <s v="Jojeff Tagnong"/>
  </r>
  <r>
    <n v="797"/>
    <s v="F3"/>
    <x v="34"/>
    <s v="IT06100100"/>
    <s v="EF-DS-TPC SAP Center of Competence"/>
    <m/>
    <s v="Rename"/>
    <x v="0"/>
    <x v="0"/>
    <s v="MGF"/>
    <s v="renamed"/>
    <m/>
    <s v="Jojeff Tagnong"/>
  </r>
  <r>
    <n v="798"/>
    <s v="F3"/>
    <x v="34"/>
    <s v="G000001235"/>
    <s v="EF-DS-TPA Corporate ERP Apps"/>
    <m/>
    <s v="Rename"/>
    <x v="0"/>
    <x v="0"/>
    <s v="MGF"/>
    <s v="renamed"/>
    <m/>
    <s v="Jojeff Tagnong"/>
  </r>
  <r>
    <n v="799"/>
    <s v="F3"/>
    <x v="34"/>
    <s v="IT06100600"/>
    <s v="EF-DS-TPA Corporate ERP Apps"/>
    <m/>
    <s v="Rename"/>
    <x v="0"/>
    <x v="0"/>
    <s v="MGF"/>
    <s v="renamed"/>
    <m/>
    <s v="Jojeff Tagnong"/>
  </r>
  <r>
    <n v="800"/>
    <s v="F3"/>
    <x v="34"/>
    <s v="G000001238"/>
    <s v="EF-DS-TPB Strategy Realisation &amp; BTP"/>
    <m/>
    <s v="Rename"/>
    <x v="0"/>
    <x v="0"/>
    <s v="MGF"/>
    <s v="renamed"/>
    <m/>
    <s v="Jojeff Tagnong"/>
  </r>
  <r>
    <n v="801"/>
    <s v="F3"/>
    <x v="34"/>
    <s v="IT06100700"/>
    <s v="EF-DS-TPB Strategy Realisation &amp; BTP"/>
    <m/>
    <s v="Rename"/>
    <x v="0"/>
    <x v="0"/>
    <s v="MGF"/>
    <s v="renamed"/>
    <m/>
    <s v="Jojeff Tagnong"/>
  </r>
  <r>
    <n v="802"/>
    <s v="F3"/>
    <x v="34"/>
    <s v="G000001239"/>
    <s v="EF-DS-TPD Data Migration &amp; Integration"/>
    <m/>
    <s v="Rename"/>
    <x v="0"/>
    <x v="0"/>
    <s v="MGF"/>
    <s v="renamed"/>
    <m/>
    <s v="Jojeff Tagnong"/>
  </r>
  <r>
    <n v="803"/>
    <s v="F3"/>
    <x v="34"/>
    <s v="IT06100800"/>
    <s v="EF-DS-TPD Data Migration &amp; Integration"/>
    <m/>
    <s v="Rename"/>
    <x v="0"/>
    <x v="0"/>
    <s v="MGF"/>
    <s v="renamed"/>
    <m/>
    <s v="Jojeff Tagnong"/>
  </r>
  <r>
    <n v="804"/>
    <s v="F3"/>
    <x v="34"/>
    <s v="G000001356"/>
    <s v="EF-DS-TPX ERP Architecture &amp; X-Services"/>
    <m/>
    <s v="Rename"/>
    <x v="0"/>
    <x v="0"/>
    <s v="MGF"/>
    <s v="renamed"/>
    <m/>
    <s v="Jojeff Tagnong"/>
  </r>
  <r>
    <n v="805"/>
    <s v="F3"/>
    <x v="34"/>
    <s v="IT06100900"/>
    <s v="EF-DS-TPX ERP Architecture &amp; X-Services"/>
    <m/>
    <s v="Rename"/>
    <x v="0"/>
    <x v="0"/>
    <s v="MGF"/>
    <s v="renamed"/>
    <m/>
    <s v="Jojeff Tagnong"/>
  </r>
  <r>
    <n v="806"/>
    <s v="F3"/>
    <x v="34"/>
    <s v="G000000346"/>
    <s v="EF-DS-TY IT-Decentral"/>
    <m/>
    <s v="Rename"/>
    <x v="0"/>
    <x v="0"/>
    <s v="MGF"/>
    <s v="renamed"/>
    <m/>
    <s v="Jojeff Tagnong"/>
  </r>
  <r>
    <n v="807"/>
    <s v="F3"/>
    <x v="34"/>
    <s v="G000000347"/>
    <s v="EF-DS-TYL Decentral LS"/>
    <m/>
    <s v="Rename"/>
    <x v="0"/>
    <x v="0"/>
    <s v="MGF"/>
    <s v="renamed"/>
    <m/>
    <s v="Jojeff Tagnong"/>
  </r>
  <r>
    <n v="808"/>
    <s v="F3"/>
    <x v="34"/>
    <s v="G000000751"/>
    <s v="EF-DS-TYL Decentral LS_I"/>
    <m/>
    <s v="Rename"/>
    <x v="0"/>
    <x v="0"/>
    <s v="MGF"/>
    <s v="renamed"/>
    <m/>
    <s v="Jojeff Tagnong"/>
  </r>
  <r>
    <n v="809"/>
    <s v="F3"/>
    <x v="34"/>
    <s v="IT06900100"/>
    <s v="EF-DS-TYL Decentral LS"/>
    <m/>
    <s v="Rename"/>
    <x v="0"/>
    <x v="0"/>
    <s v="MGF"/>
    <s v="renamed"/>
    <m/>
    <s v="Jojeff Tagnong"/>
  </r>
  <r>
    <n v="810"/>
    <s v="F3"/>
    <x v="34"/>
    <s v="G000000750"/>
    <s v="EF-DS-TY IT-Decentral_I"/>
    <m/>
    <s v="Rename"/>
    <x v="0"/>
    <x v="0"/>
    <s v="MGF"/>
    <s v="renamed"/>
    <m/>
    <s v="Jojeff Tagnong"/>
  </r>
  <r>
    <n v="811"/>
    <s v="F3"/>
    <x v="34"/>
    <s v="IT06900000"/>
    <s v="EF-DS-TY IT-Decentral"/>
    <m/>
    <s v="Rename"/>
    <x v="0"/>
    <x v="0"/>
    <s v="MGF"/>
    <s v="renamed"/>
    <m/>
    <s v="Jojeff Tagnong"/>
  </r>
  <r>
    <n v="812"/>
    <s v="F3"/>
    <x v="34"/>
    <s v="IT07000000"/>
    <s v="EF-DS-D Merck Data &amp; AI Organization"/>
    <m/>
    <s v="Rename"/>
    <x v="0"/>
    <x v="0"/>
    <s v="MGF"/>
    <s v="renamed"/>
    <m/>
    <s v="Jojeff Tagnong"/>
  </r>
  <r>
    <n v="813"/>
    <s v="F3"/>
    <x v="34"/>
    <s v="L000013388"/>
    <s v="LS-DI Life Science Data, Digital &amp; IT"/>
    <m/>
    <s v="Rename"/>
    <x v="0"/>
    <x v="0"/>
    <s v="MGF"/>
    <s v="renamed"/>
    <m/>
    <s v="Jojeff Tagnong"/>
  </r>
  <r>
    <n v="814"/>
    <s v="F3"/>
    <x v="34"/>
    <s v="L000013775"/>
    <s v="LS-DI Life Science Data, Digital &amp; IT"/>
    <m/>
    <s v="Rename"/>
    <x v="0"/>
    <x v="0"/>
    <s v="MGF"/>
    <s v="renamed"/>
    <m/>
    <s v="Jojeff Tagnong"/>
  </r>
  <r>
    <n v="815"/>
    <s v="F3"/>
    <x v="34"/>
    <s v="L000013389"/>
    <s v="LS-DI Life Science Data, Digital &amp; IT_I"/>
    <m/>
    <s v="Rename"/>
    <x v="0"/>
    <x v="0"/>
    <s v="MGF"/>
    <s v="renamed"/>
    <m/>
    <s v="Jojeff Tagnong"/>
  </r>
  <r>
    <n v="816"/>
    <s v="F3"/>
    <x v="34"/>
    <s v="IT06050000"/>
    <s v="LS-DI Life Science Data, Digital &amp; IT"/>
    <m/>
    <s v="Rename"/>
    <x v="0"/>
    <x v="0"/>
    <s v="MGF"/>
    <s v="renamed"/>
    <m/>
    <s v="Jojeff Tagnong"/>
  </r>
  <r>
    <n v="817"/>
    <s v="F3"/>
    <x v="34"/>
    <s v="L000013390"/>
    <s v="LS-DI-I Manufacturing &amp; QC Lab Operation"/>
    <m/>
    <s v="Rename"/>
    <x v="0"/>
    <x v="0"/>
    <s v="MGF"/>
    <s v="renamed"/>
    <m/>
    <s v="Jojeff Tagnong"/>
  </r>
  <r>
    <n v="818"/>
    <s v="F3"/>
    <x v="34"/>
    <s v="IT06050300"/>
    <s v="LS-DI-I Manufacturing &amp; QC Lab Operation"/>
    <m/>
    <s v="Rename"/>
    <x v="0"/>
    <x v="0"/>
    <s v="MGF"/>
    <s v="renamed"/>
    <m/>
    <s v="Jojeff Tagnong"/>
  </r>
  <r>
    <n v="819"/>
    <s v="F3"/>
    <x v="34"/>
    <s v="L000013391"/>
    <s v="LS-DI-N Life Science ERP"/>
    <m/>
    <s v="Rename"/>
    <x v="0"/>
    <x v="0"/>
    <s v="MGF"/>
    <s v="renamed"/>
    <m/>
    <s v="Jojeff Tagnong"/>
  </r>
  <r>
    <n v="820"/>
    <s v="F3"/>
    <x v="34"/>
    <s v="IT06050400"/>
    <s v="LS-DI-N Life Science ERP"/>
    <m/>
    <s v="Rename"/>
    <x v="0"/>
    <x v="0"/>
    <s v="MGF"/>
    <s v="renamed"/>
    <m/>
    <s v="Jojeff Tagnong"/>
  </r>
  <r>
    <n v="821"/>
    <s v="F3"/>
    <x v="34"/>
    <s v="L000013392"/>
    <s v="LS-DI-S S&amp;T, Performance &amp; Porfolio Mgmt"/>
    <m/>
    <s v="Rename"/>
    <x v="0"/>
    <x v="0"/>
    <s v="MGF"/>
    <s v="renamed"/>
    <m/>
    <s v="Jojeff Tagnong"/>
  </r>
  <r>
    <n v="822"/>
    <s v="F3"/>
    <x v="34"/>
    <s v="IT06050500"/>
    <s v="LS-DI-S S&amp;T, Performance &amp; Porfolio Mgmt"/>
    <m/>
    <s v="Rename"/>
    <x v="0"/>
    <x v="0"/>
    <s v="MGF"/>
    <s v="renamed"/>
    <m/>
    <s v="Jojeff Tagnong"/>
  </r>
  <r>
    <n v="823"/>
    <s v="F3"/>
    <x v="34"/>
    <s v="L000013393"/>
    <s v="LS-DI-T Marketing &amp; Commercial"/>
    <m/>
    <s v="Rename"/>
    <x v="0"/>
    <x v="0"/>
    <s v="MGF"/>
    <s v="renamed"/>
    <m/>
    <s v="Jojeff Tagnong"/>
  </r>
  <r>
    <n v="824"/>
    <s v="F3"/>
    <x v="34"/>
    <s v="IT06050700"/>
    <s v="LS-DI-T Marketing &amp; Commercial"/>
    <m/>
    <s v="Rename"/>
    <x v="0"/>
    <x v="0"/>
    <s v="MGF"/>
    <s v="renamed"/>
    <m/>
    <s v="Jojeff Tagnong"/>
  </r>
  <r>
    <n v="825"/>
    <s v="F3"/>
    <x v="34"/>
    <s v="L000013395"/>
    <s v="LS-DI-C LS Arch, CyberSec, BMA, IT Compl"/>
    <m/>
    <s v="Rename"/>
    <x v="0"/>
    <x v="0"/>
    <s v="MGF"/>
    <s v="renamed"/>
    <m/>
    <s v="Jojeff Tagnong"/>
  </r>
  <r>
    <n v="826"/>
    <s v="F3"/>
    <x v="34"/>
    <s v="IT06050200"/>
    <s v="LS-DI-C LS Arch, CyberSec, BMA, IT Compl"/>
    <m/>
    <s v="Rename"/>
    <x v="0"/>
    <x v="0"/>
    <s v="MGF"/>
    <s v="renamed"/>
    <m/>
    <s v="Jojeff Tagnong"/>
  </r>
  <r>
    <n v="827"/>
    <s v="F3"/>
    <x v="34"/>
    <s v="L000013397"/>
    <s v="LS-DI-M Supply Chain Planning Reg &amp; Dist"/>
    <m/>
    <s v="Rename"/>
    <x v="0"/>
    <x v="0"/>
    <s v="MGF"/>
    <s v="renamed"/>
    <m/>
    <s v="Jojeff Tagnong"/>
  </r>
  <r>
    <n v="828"/>
    <s v="F3"/>
    <x v="34"/>
    <s v="IT06050600"/>
    <s v="LS-DI-M Supply Chain Planning Reg &amp; Dist"/>
    <m/>
    <s v="Rename"/>
    <x v="0"/>
    <x v="0"/>
    <s v="MGF"/>
    <s v="renamed"/>
    <m/>
    <s v="Jojeff Tagnong"/>
  </r>
  <r>
    <n v="829"/>
    <s v="F3"/>
    <x v="34"/>
    <s v="L000013599"/>
    <s v="LS-DI-B Business IT"/>
    <m/>
    <s v="Rename"/>
    <x v="0"/>
    <x v="0"/>
    <s v="MGF"/>
    <s v="renamed"/>
    <m/>
    <s v="Jojeff Tagnong"/>
  </r>
  <r>
    <n v="830"/>
    <s v="F3"/>
    <x v="34"/>
    <s v="IT06051000"/>
    <s v="LS-DI-B Business IT"/>
    <m/>
    <s v="Rename"/>
    <x v="0"/>
    <x v="0"/>
    <s v="MGF"/>
    <s v="renamed"/>
    <m/>
    <s v="Jojeff Tagnong"/>
  </r>
  <r>
    <n v="831"/>
    <s v="F3"/>
    <x v="34"/>
    <s v="L000013808"/>
    <s v="LS-DI-O ONE ERP"/>
    <m/>
    <s v="Rename"/>
    <x v="0"/>
    <x v="0"/>
    <s v="MGF"/>
    <s v="renamed"/>
    <m/>
    <s v="Jojeff Tagnong"/>
  </r>
  <r>
    <n v="832"/>
    <s v="F3"/>
    <x v="34"/>
    <s v="G000000727"/>
    <s v="EF-DS-SG Govern., Compliance &amp; Quality_I"/>
    <m/>
    <s v="Rename"/>
    <x v="0"/>
    <x v="0"/>
    <s v="MGF"/>
    <s v="renamed"/>
    <m/>
    <s v="Jojeff Tagnong"/>
  </r>
  <r>
    <n v="833"/>
    <s v="F3"/>
    <x v="34"/>
    <s v="G000000730"/>
    <s v="EF-DS-SGT IT Service Cont &amp; IT Risk Mmgt"/>
    <m/>
    <s v="Rename"/>
    <x v="0"/>
    <x v="0"/>
    <s v="MGF"/>
    <s v="renamed"/>
    <m/>
    <s v="Jojeff Tagnong"/>
  </r>
  <r>
    <n v="834"/>
    <s v="F3"/>
    <x v="34"/>
    <s v="G000000785"/>
    <s v="EF-DS-SGA IT Audit &amp; Compliance"/>
    <m/>
    <s v="Rename"/>
    <x v="0"/>
    <x v="0"/>
    <s v="MGF"/>
    <s v="renamed"/>
    <m/>
    <s v="Jojeff Tagnong"/>
  </r>
  <r>
    <n v="835"/>
    <s v="F3"/>
    <x v="34"/>
    <s v="G000000894"/>
    <s v="EF-DS-SGS IT Service Management"/>
    <m/>
    <s v="Rename"/>
    <x v="0"/>
    <x v="0"/>
    <s v="MGF"/>
    <s v="renamed"/>
    <m/>
    <s v="Jojeff Tagnong"/>
  </r>
  <r>
    <n v="836"/>
    <s v="F3"/>
    <x v="34"/>
    <s v="G000000838"/>
    <s v="EF-DS-SOD DDIT Portfolio Mgmt &amp; Projects"/>
    <m/>
    <s v="Rename"/>
    <x v="0"/>
    <x v="0"/>
    <s v="MGF"/>
    <s v="renamed"/>
    <m/>
    <s v="Jojeff Tagnong"/>
  </r>
  <r>
    <n v="837"/>
    <s v="F3"/>
    <x v="34"/>
    <s v="G000000839"/>
    <s v="EF-DS-SOS Change Management"/>
    <m/>
    <s v="Rename"/>
    <x v="0"/>
    <x v="0"/>
    <s v="MGF"/>
    <s v="renamed"/>
    <m/>
    <s v="Jojeff Tagnong"/>
  </r>
  <r>
    <n v="838"/>
    <s v="F3"/>
    <x v="34"/>
    <s v="G000001375"/>
    <s v="FIT DS - Digital Enterprise Solutions"/>
    <m/>
    <s v="Rename"/>
    <x v="0"/>
    <x v="0"/>
    <s v="MGF"/>
    <s v="renamed"/>
    <m/>
    <s v="Jojeff Tagnong"/>
  </r>
  <r>
    <n v="839"/>
    <s v="F3"/>
    <x v="34"/>
    <s v="G000000789"/>
    <s v="EF-DS-SO SGT Office, Comm &amp; Portf Mgmt"/>
    <s v="G000001381"/>
    <s v="Rename/Move"/>
    <x v="0"/>
    <x v="0"/>
    <s v="MGF"/>
    <s v="renamed/moved"/>
    <m/>
    <s v="Jojeff Tagnong"/>
  </r>
  <r>
    <n v="840"/>
    <s v="F3"/>
    <x v="34"/>
    <s v="G000000726"/>
    <s v="EF-DS-SG Govern., Compliance &amp; Quality"/>
    <s v="G000001381"/>
    <s v="Rename/Move"/>
    <x v="0"/>
    <x v="0"/>
    <s v="MGF"/>
    <s v="renamed/moved"/>
    <m/>
    <s v="Jojeff Tagnong"/>
  </r>
  <r>
    <n v="841"/>
    <s v="F3"/>
    <x v="34"/>
    <s v="G000001118"/>
    <s v="EF-DS-D Merck Data &amp; AI Organization"/>
    <s v="G000001375"/>
    <s v="Rename/Move"/>
    <x v="0"/>
    <x v="0"/>
    <s v="MGF"/>
    <s v="renamed/moved"/>
    <m/>
    <s v="Jojeff Tagnong"/>
  </r>
  <r>
    <n v="842"/>
    <s v="F3"/>
    <x v="34"/>
    <s v="G000000243"/>
    <s v="EF-DS-T Group IT"/>
    <s v="G000001375"/>
    <s v="Rename/Move"/>
    <x v="0"/>
    <x v="0"/>
    <s v="MGF"/>
    <s v="renamed/moved"/>
    <m/>
    <s v="Jojeff Tagnong"/>
  </r>
  <r>
    <n v="843"/>
    <s v="F3"/>
    <x v="34"/>
    <s v="G000001381"/>
    <s v="EF-DS-S DES Strategy, Govern. &amp; Transf."/>
    <s v="G000001375"/>
    <s v="Rename/Move"/>
    <x v="0"/>
    <x v="0"/>
    <s v="MGF"/>
    <s v="renamed/moved"/>
    <m/>
    <s v="Jojeff Tagnong"/>
  </r>
  <r>
    <n v="844"/>
    <s v="F3"/>
    <x v="34"/>
    <s v="G000001378"/>
    <s v="EF-DS- DES E2E Automation"/>
    <s v="G000001375"/>
    <s v="Rename/Move"/>
    <x v="0"/>
    <x v="0"/>
    <s v="MGF"/>
    <s v="renamed/moved"/>
    <m/>
    <s v="Jojeff Tagnong"/>
  </r>
  <r>
    <n v="845"/>
    <s v="F3"/>
    <x v="34"/>
    <s v="G000000184"/>
    <m/>
    <s v="G000001375"/>
    <s v="Move"/>
    <x v="0"/>
    <x v="0"/>
    <s v="MGF"/>
    <s v="renamed/moved"/>
    <m/>
    <s v="Jojeff Tagnong"/>
  </r>
  <r>
    <n v="846"/>
    <s v="F3"/>
    <x v="34"/>
    <s v="G000001376"/>
    <m/>
    <s v="O000000009"/>
    <s v="Delete"/>
    <x v="0"/>
    <x v="0"/>
    <s v="MGF"/>
    <s v="renamed/moved"/>
    <m/>
    <s v="Jojeff Tagnong"/>
  </r>
  <r>
    <n v="847"/>
    <s v="F3"/>
    <x v="34"/>
    <s v="G000001377"/>
    <m/>
    <s v="O000000009"/>
    <s v="Delete"/>
    <x v="0"/>
    <x v="0"/>
    <s v="MGF"/>
    <s v="renamed/moved"/>
    <m/>
    <s v="Jojeff Tagnong"/>
  </r>
  <r>
    <n v="848"/>
    <s v="F3"/>
    <x v="35"/>
    <s v="IT06051100"/>
    <s v="LS-DI-O ONE ERP"/>
    <s v="L000013808"/>
    <s v="New"/>
    <x v="0"/>
    <x v="0"/>
    <s v="LS"/>
    <s v="named and assigned"/>
    <m/>
    <s v="Jay-R Lizardo"/>
  </r>
  <r>
    <n v="849"/>
    <s v="F3"/>
    <x v="36"/>
    <s v="G000001423"/>
    <s v="EF-DS-TXT FIC ERP Compliance"/>
    <s v="G000000336"/>
    <s v="New"/>
    <x v="0"/>
    <x v="0"/>
    <s v="MGF"/>
    <s v="named and assigned"/>
    <m/>
    <s v="Jojeff Tagnong"/>
  </r>
  <r>
    <n v="850"/>
    <s v="F3"/>
    <x v="36"/>
    <s v="IT06090400"/>
    <s v="EF-DS-TXT FIC ERP Compliance"/>
    <s v="G000001423"/>
    <s v="New"/>
    <x v="0"/>
    <x v="0"/>
    <s v="MGF"/>
    <s v="named and assigned"/>
    <m/>
    <s v="Jojeff Tagnong"/>
  </r>
  <r>
    <n v="851"/>
    <s v="F3"/>
    <x v="36"/>
    <s v="G000001424"/>
    <s v="GO2 HR - HR MZS"/>
    <s v="G000000588"/>
    <s v="New"/>
    <x v="0"/>
    <x v="0"/>
    <s v="MGF"/>
    <s v="named and assigned"/>
    <m/>
    <s v="Jojeff Tagnong"/>
  </r>
  <r>
    <n v="852"/>
    <s v="F3"/>
    <x v="36"/>
    <s v="G000001425"/>
    <s v="FAY IX - Individual Tax Office"/>
    <s v="G000000001"/>
    <s v="New"/>
    <x v="0"/>
    <x v="0"/>
    <s v="MGF"/>
    <s v="named and assigned"/>
    <m/>
    <s v="Jojeff Tagnong"/>
  </r>
  <r>
    <n v="853"/>
    <s v="F3"/>
    <x v="36"/>
    <s v="G000001426"/>
    <s v="IX - MGF Reporting"/>
    <s v="G000001425"/>
    <s v="New"/>
    <x v="0"/>
    <x v="0"/>
    <s v="MGF"/>
    <s v="named and assigned"/>
    <m/>
    <s v="Jojeff Tagnong"/>
  </r>
  <r>
    <n v="854"/>
    <s v="F3"/>
    <x v="36"/>
    <s v="G000001427"/>
    <s v="IX - non-MGF Reporting"/>
    <s v="G000001425"/>
    <s v="New"/>
    <x v="0"/>
    <x v="0"/>
    <s v="MGF"/>
    <s v="named and assigned"/>
    <m/>
    <s v="Jojeff Tagnong"/>
  </r>
  <r>
    <n v="855"/>
    <s v="F3"/>
    <x v="36"/>
    <s v="G000001428"/>
    <s v="GO1 IX - Individual Tax Office (L2)"/>
    <s v="G000001426"/>
    <s v="New"/>
    <x v="0"/>
    <x v="0"/>
    <s v="MGF"/>
    <s v="named and assigned"/>
    <m/>
    <s v="Jojeff Tagnong"/>
  </r>
  <r>
    <n v="856"/>
    <s v="F3"/>
    <x v="36"/>
    <s v="G000001429"/>
    <s v="FAY IX - Intercompany Charges"/>
    <s v="G000001427"/>
    <s v="New"/>
    <x v="0"/>
    <x v="0"/>
    <s v="MGF"/>
    <s v="named and assigned"/>
    <m/>
    <s v="Jojeff Tagnong"/>
  </r>
  <r>
    <n v="857"/>
    <s v="F3"/>
    <x v="36"/>
    <s v="G000001430"/>
    <s v="FAY IX - Exceptionals"/>
    <s v="G000001427"/>
    <s v="New"/>
    <x v="0"/>
    <x v="0"/>
    <s v="MGF"/>
    <s v="named and assigned"/>
    <m/>
    <s v="Jojeff Tagnong"/>
  </r>
  <r>
    <n v="858"/>
    <s v="F3"/>
    <x v="36"/>
    <s v="G000001360"/>
    <s v="G7J DX - Lumina FTO &amp; FTOM"/>
    <m/>
    <s v="Rename"/>
    <x v="0"/>
    <x v="0"/>
    <s v="MGF"/>
    <s v="named and assigned"/>
    <m/>
    <s v="Jojeff Tagnong"/>
  </r>
  <r>
    <n v="859"/>
    <s v="F3"/>
    <x v="36"/>
    <s v="G000001361"/>
    <s v="G7K DX - Lumina Planning &amp; Reporting"/>
    <m/>
    <s v="Rename"/>
    <x v="0"/>
    <x v="0"/>
    <s v="MGF"/>
    <s v="named and assigned"/>
    <m/>
    <s v="Jojeff Tagnong"/>
  </r>
  <r>
    <n v="860"/>
    <s v="F3"/>
    <x v="36"/>
    <s v="G000001362"/>
    <s v="G7L DX - Lumina Reporting &amp; GP Processes"/>
    <m/>
    <s v="Rename"/>
    <x v="0"/>
    <x v="0"/>
    <s v="MGF"/>
    <s v="named and assigned"/>
    <m/>
    <s v="Jojeff Tagnong"/>
  </r>
  <r>
    <n v="861"/>
    <s v="F3"/>
    <x v="36"/>
    <s v="G000001363"/>
    <s v="G7M DX - Lumina Rep Del Fact &amp; Tech&amp;Data"/>
    <m/>
    <s v="Rename"/>
    <x v="0"/>
    <x v="0"/>
    <s v="MGF"/>
    <s v="named and assigned"/>
    <m/>
    <s v="Jojeff Tagnong"/>
  </r>
  <r>
    <n v="862"/>
    <s v="F3"/>
    <x v="36"/>
    <s v="G000001364"/>
    <s v="G7N DX - Lumina Regulatory Requirements"/>
    <m/>
    <s v="Rename"/>
    <x v="0"/>
    <x v="0"/>
    <s v="MGF"/>
    <s v="named and assigned"/>
    <m/>
    <s v="Jojeff Tagnong"/>
  </r>
  <r>
    <n v="863"/>
    <s v="F3"/>
    <x v="36"/>
    <s v="G000001365"/>
    <s v="G7O DX - Process Excellence"/>
    <m/>
    <s v="Rename"/>
    <x v="0"/>
    <x v="0"/>
    <s v="MGF"/>
    <s v="named and assigned"/>
    <m/>
    <s v="Jojeff Tagnong"/>
  </r>
  <r>
    <n v="864"/>
    <s v="F3"/>
    <x v="36"/>
    <s v="G000001366"/>
    <s v="G7P DX - LEAP"/>
    <m/>
    <s v="Rename"/>
    <x v="0"/>
    <x v="0"/>
    <s v="MGF"/>
    <s v="named and assigned"/>
    <m/>
    <s v="Jojeff Tagnong"/>
  </r>
  <r>
    <n v="865"/>
    <s v="F3"/>
    <x v="36"/>
    <s v="G000000477"/>
    <m/>
    <s v="G000001424"/>
    <s v="Move"/>
    <x v="0"/>
    <x v="0"/>
    <s v="MGF"/>
    <s v="renamed/moved"/>
    <m/>
    <s v="Jojeff Tagnong"/>
  </r>
  <r>
    <n v="866"/>
    <s v="F3"/>
    <x v="36"/>
    <s v="G000000465"/>
    <m/>
    <s v="G000001424"/>
    <s v="Move"/>
    <x v="0"/>
    <x v="0"/>
    <s v="MGF"/>
    <s v="renamed/moved"/>
    <m/>
    <s v="Jojeff Tagnong"/>
  </r>
  <r>
    <n v="867"/>
    <s v="F3"/>
    <x v="37"/>
    <s v="P000001325"/>
    <s v="DSS Global Head of Innovation"/>
    <s v="P000001274"/>
    <s v="New"/>
    <x v="0"/>
    <x v="0"/>
    <s v="EL"/>
    <s v="named and assigned"/>
    <m/>
    <s v="Roselle Delos Angeles"/>
  </r>
  <r>
    <n v="868"/>
    <s v="F3"/>
    <x v="37"/>
    <s v="P000001326"/>
    <s v="DSS Head of Innovation - NA/EUR"/>
    <s v="P000001325"/>
    <s v="New"/>
    <x v="0"/>
    <x v="0"/>
    <s v="EL"/>
    <s v="named and assigned"/>
    <m/>
    <s v="Roselle Delos Angeles"/>
  </r>
  <r>
    <n v="869"/>
    <s v="F3"/>
    <x v="37"/>
    <s v="P000001327"/>
    <s v="DSS Head of Innovation - KR"/>
    <s v="P000001325"/>
    <s v="New"/>
    <x v="0"/>
    <x v="0"/>
    <s v="EL"/>
    <s v="named and assigned"/>
    <m/>
    <s v="Roselle Delos Angeles"/>
  </r>
  <r>
    <n v="870"/>
    <s v="F3"/>
    <x v="37"/>
    <s v="P000001328"/>
    <s v="DSS Head of Innovation - Asia exKR"/>
    <s v="P000001325"/>
    <s v="New"/>
    <x v="0"/>
    <x v="0"/>
    <s v="EL"/>
    <s v="named and assigned"/>
    <m/>
    <s v="Roselle Delos Angeles"/>
  </r>
  <r>
    <n v="871"/>
    <s v="F3"/>
    <x v="37"/>
    <s v="P000001329"/>
    <s v="CF EU Freight"/>
    <s v="P000000472"/>
    <s v="New"/>
    <x v="0"/>
    <x v="0"/>
    <s v="EL"/>
    <s v="named and assigned"/>
    <m/>
    <s v="Roselle Delos Angeles"/>
  </r>
  <r>
    <n v="872"/>
    <s v="F3"/>
    <x v="37"/>
    <s v="P000001330"/>
    <s v="CF EU Warehouse/Distribution"/>
    <s v="P000000472"/>
    <s v="New"/>
    <x v="0"/>
    <x v="0"/>
    <s v="EL"/>
    <s v="named and assigned"/>
    <m/>
    <s v="Roselle Delos Angeles"/>
  </r>
  <r>
    <n v="873"/>
    <s v="F3"/>
    <x v="37"/>
    <s v="P000001331"/>
    <s v="CF EU Customs/Duties"/>
    <s v="P000000472"/>
    <s v="New"/>
    <x v="0"/>
    <x v="0"/>
    <s v="EL"/>
    <s v="named and assigned"/>
    <m/>
    <s v="Roselle Delos Angeles"/>
  </r>
  <r>
    <n v="874"/>
    <s v="F3"/>
    <x v="37"/>
    <s v="P000001332"/>
    <s v="CF EU Global Demand Planning/Cust Svc"/>
    <s v="P000000472"/>
    <s v="New"/>
    <x v="0"/>
    <x v="0"/>
    <s v="EL"/>
    <s v="named and assigned"/>
    <m/>
    <s v="Roselle Delos Angeles"/>
  </r>
  <r>
    <n v="875"/>
    <s v="F3"/>
    <x v="37"/>
    <s v="P000001333"/>
    <s v="CF EU Warehouse"/>
    <s v="P000001330"/>
    <s v="New"/>
    <x v="0"/>
    <x v="0"/>
    <s v="EL"/>
    <s v="named and assigned"/>
    <m/>
    <s v="Roselle Delos Angeles"/>
  </r>
  <r>
    <n v="876"/>
    <s v="F3"/>
    <x v="37"/>
    <s v="P000001334"/>
    <s v="CF EU Admin/Overhead"/>
    <s v="P000001330"/>
    <s v="New"/>
    <x v="0"/>
    <x v="0"/>
    <s v="EL"/>
    <s v="named and assigned"/>
    <m/>
    <s v="Roselle Delos Angeles"/>
  </r>
  <r>
    <n v="877"/>
    <s v="F3"/>
    <x v="37"/>
    <s v="P000000535"/>
    <s v="EL-FO Planarization Commercial"/>
    <m/>
    <s v="Rename"/>
    <x v="0"/>
    <x v="0"/>
    <s v="EL"/>
    <s v="done"/>
    <m/>
    <s v="Roselle Delos Angeles"/>
  </r>
  <r>
    <n v="878"/>
    <s v="F3"/>
    <x v="37"/>
    <s v="P000000522"/>
    <s v="EL-FO Planarization ISC &amp; Quality"/>
    <m/>
    <s v="Rename"/>
    <x v="0"/>
    <x v="0"/>
    <s v="EL"/>
    <s v="done"/>
    <m/>
    <s v="Roselle Delos Angeles"/>
  </r>
  <r>
    <n v="879"/>
    <s v="F3"/>
    <x v="37"/>
    <s v="P000001195"/>
    <s v="EL-SC-ET Engineering Centre of Excellenc"/>
    <m/>
    <s v="Rename"/>
    <x v="0"/>
    <x v="0"/>
    <s v="EL"/>
    <s v="done"/>
    <m/>
    <s v="Roselle Delos Angeles"/>
  </r>
  <r>
    <n v="880"/>
    <s v="F3"/>
    <x v="37"/>
    <s v="P000001191"/>
    <s v="EL-SC-EE Global Project Development &amp; Ca"/>
    <m/>
    <s v="Rename"/>
    <x v="0"/>
    <x v="0"/>
    <s v="EL"/>
    <s v="done"/>
    <m/>
    <s v="Roselle Delos Angeles"/>
  </r>
  <r>
    <n v="881"/>
    <s v="F3"/>
    <x v="37"/>
    <s v="P000000547"/>
    <s v="EL-SG Specialty Gases R&amp;D"/>
    <m/>
    <s v="Rename"/>
    <x v="0"/>
    <x v="0"/>
    <s v="EL"/>
    <s v="done"/>
    <m/>
    <s v="Roselle Delos Angeles"/>
  </r>
  <r>
    <n v="882"/>
    <s v="F3"/>
    <x v="37"/>
    <s v="P000000536"/>
    <s v="EL-SG Specialty Gases Commercial"/>
    <m/>
    <s v="Rename"/>
    <x v="0"/>
    <x v="0"/>
    <s v="EL"/>
    <s v="done"/>
    <m/>
    <s v="Roselle Delos Angeles"/>
  </r>
  <r>
    <n v="883"/>
    <s v="F3"/>
    <x v="37"/>
    <s v="P000000513"/>
    <s v="EL-SG Specialty Gases ISC &amp; Quality"/>
    <m/>
    <s v="Rename"/>
    <x v="0"/>
    <x v="0"/>
    <s v="EL"/>
    <s v="done"/>
    <m/>
    <s v="Roselle Delos Angeles"/>
  </r>
  <r>
    <n v="884"/>
    <s v="F3"/>
    <x v="37"/>
    <s v="P000001310"/>
    <s v="Prj. Ex. &amp; Port. Mgmt Asia ex KR"/>
    <m/>
    <s v="Rename"/>
    <x v="0"/>
    <x v="0"/>
    <s v="EL"/>
    <s v="done"/>
    <m/>
    <s v="Roselle Delos Angeles"/>
  </r>
  <r>
    <n v="885"/>
    <s v="F3"/>
    <x v="37"/>
    <s v="P000001309"/>
    <s v="Prj. Ex. &amp; Port. Mgmt NA/EUR"/>
    <m/>
    <s v="Rename"/>
    <x v="0"/>
    <x v="0"/>
    <s v="EL"/>
    <s v="done"/>
    <m/>
    <s v="Roselle Delos Angeles"/>
  </r>
  <r>
    <n v="886"/>
    <s v="F3"/>
    <x v="38"/>
    <s v="G000001423"/>
    <s v="EF-DS-TXT FIC ERP Compliance"/>
    <m/>
    <s v="Rename"/>
    <x v="0"/>
    <x v="0"/>
    <s v="MGF"/>
    <s v="renamed"/>
    <m/>
    <s v="Jojeff Tagnong"/>
  </r>
  <r>
    <n v="887"/>
    <s v="F3"/>
    <x v="38"/>
    <s v="IT06090400"/>
    <s v="EF-DS-TXT FIC ERP Compliance"/>
    <m/>
    <s v="Rename"/>
    <x v="0"/>
    <x v="0"/>
    <s v="MGF"/>
    <s v="renamed"/>
    <m/>
    <s v="Jojeff Tagnong"/>
  </r>
  <r>
    <n v="888"/>
    <s v="F3"/>
    <x v="39"/>
    <s v="L000013875"/>
    <s v="Urbana Operations - G"/>
    <s v="L000013447"/>
    <s v="New"/>
    <x v="0"/>
    <x v="0"/>
    <s v="LS"/>
    <s v="named and assigned"/>
    <m/>
    <s v="Ruby Grace Garcia"/>
  </r>
  <r>
    <n v="889"/>
    <s v="F3"/>
    <x v="39"/>
    <s v="L000013876"/>
    <s v="IVDR Cell Marque - G"/>
    <s v="L000013447"/>
    <s v="New"/>
    <x v="0"/>
    <x v="0"/>
    <s v="LS"/>
    <s v="named and assigned"/>
    <m/>
    <s v="Ruby Grace Garcia"/>
  </r>
  <r>
    <n v="890"/>
    <s v="F3"/>
    <x v="39"/>
    <s v="L000013877"/>
    <s v="Sheboygan P&amp;T - G"/>
    <s v="L000013445"/>
    <s v="New"/>
    <x v="0"/>
    <x v="0"/>
    <s v="LS"/>
    <s v="named and assigned"/>
    <m/>
    <s v="Ruby Grace Garcia"/>
  </r>
  <r>
    <n v="891"/>
    <s v="F3"/>
    <x v="39"/>
    <s v="L000013878"/>
    <s v="Natrix Operations - G"/>
    <s v="L000013445"/>
    <s v="New"/>
    <x v="0"/>
    <x v="0"/>
    <s v="LS"/>
    <s v="named and assigned"/>
    <m/>
    <s v="Ruby Grace Garcia"/>
  </r>
  <r>
    <n v="892"/>
    <s v="F3"/>
    <x v="39"/>
    <s v="L000013879"/>
    <s v="Regional management_US West"/>
    <s v="L000013448"/>
    <s v="New"/>
    <x v="0"/>
    <x v="0"/>
    <s v="LS"/>
    <s v="named and assigned"/>
    <m/>
    <s v="Ruby Grace Garcia"/>
  </r>
  <r>
    <n v="893"/>
    <s v="F3"/>
    <x v="39"/>
    <s v="L000013880"/>
    <s v="PS Commercial China"/>
    <s v="L000006294"/>
    <s v="New"/>
    <x v="0"/>
    <x v="0"/>
    <s v="LS"/>
    <s v="named and assigned"/>
    <m/>
    <s v="Ruby Grace Garcia"/>
  </r>
  <r>
    <n v="894"/>
    <s v="F3"/>
    <x v="39"/>
    <s v="L000013881"/>
    <s v="Marketing Strategy &amp; Planning"/>
    <s v="L000013854"/>
    <s v="New"/>
    <x v="0"/>
    <x v="0"/>
    <s v="LS"/>
    <s v="named and assigned"/>
    <m/>
    <s v="Ruby Grace Garcia"/>
  </r>
  <r>
    <n v="895"/>
    <s v="F3"/>
    <x v="39"/>
    <s v="L000013882"/>
    <s v="Digital Marketing &amp; Operations"/>
    <s v="L000013854"/>
    <s v="New"/>
    <x v="0"/>
    <x v="0"/>
    <s v="LS"/>
    <s v="named and assigned"/>
    <m/>
    <s v="Ruby Grace Garcia"/>
  </r>
  <r>
    <n v="896"/>
    <s v="F3"/>
    <x v="39"/>
    <s v="L000013883"/>
    <s v="Marketing Technology"/>
    <s v="L000013882"/>
    <s v="New"/>
    <x v="0"/>
    <x v="0"/>
    <s v="LS"/>
    <s v="named and assigned"/>
    <m/>
    <s v="Ruby Grace Garcia"/>
  </r>
  <r>
    <n v="897"/>
    <s v="F3"/>
    <x v="39"/>
    <s v="L000013884"/>
    <s v="Technology Fund Projects WAU"/>
    <s v="L000013326"/>
    <s v="New"/>
    <x v="0"/>
    <x v="0"/>
    <s v="LS"/>
    <s v="named and assigned"/>
    <m/>
    <s v="Ruby Grace Garcia"/>
  </r>
  <r>
    <n v="898"/>
    <s v="F3"/>
    <x v="39"/>
    <s v="L000013885"/>
    <s v="R&amp;D and Portfolio Strategy"/>
    <s v="L000013275"/>
    <s v="New"/>
    <x v="0"/>
    <x v="0"/>
    <s v="LS"/>
    <s v="named and assigned"/>
    <m/>
    <s v="Ruby Grace Garcia"/>
  </r>
  <r>
    <n v="899"/>
    <s v="F3"/>
    <x v="39"/>
    <s v="L000013886"/>
    <s v="Technology Strategy"/>
    <s v="L000013275"/>
    <s v="New"/>
    <x v="0"/>
    <x v="0"/>
    <s v="LS"/>
    <s v="named and assigned"/>
    <m/>
    <s v="Ruby Grace Garcia"/>
  </r>
  <r>
    <n v="900"/>
    <s v="F3"/>
    <x v="39"/>
    <s v="L000013887"/>
    <s v="Lumina AP accrual"/>
    <s v="L000011136"/>
    <s v="New"/>
    <x v="0"/>
    <x v="0"/>
    <s v="LS"/>
    <s v="named and assigned"/>
    <m/>
    <s v="Ruby Grace Garcia"/>
  </r>
  <r>
    <n v="901"/>
    <s v="F3"/>
    <x v="39"/>
    <s v="L000013888"/>
    <s v="Placeholder 1"/>
    <s v="L000011136"/>
    <s v="New"/>
    <x v="0"/>
    <x v="0"/>
    <s v="LS"/>
    <s v="named and assigned"/>
    <m/>
    <s v="Ruby Grace Garcia"/>
  </r>
  <r>
    <n v="902"/>
    <s v="F3"/>
    <x v="39"/>
    <s v="L000013889"/>
    <s v="Placeholder 2"/>
    <s v="L000011136"/>
    <s v="New"/>
    <x v="0"/>
    <x v="0"/>
    <s v="LS"/>
    <s v="named and assigned"/>
    <m/>
    <s v="Ruby Grace Garcia"/>
  </r>
  <r>
    <n v="903"/>
    <s v="F3"/>
    <x v="39"/>
    <s v="L000013890"/>
    <s v="Placeholder 3"/>
    <s v="L000011136"/>
    <s v="New"/>
    <x v="0"/>
    <x v="0"/>
    <s v="LS"/>
    <s v="named and assigned"/>
    <m/>
    <s v="Ruby Grace Garcia"/>
  </r>
  <r>
    <n v="904"/>
    <s v="F3"/>
    <x v="39"/>
    <s v="L000013891"/>
    <s v="LW- Product Management"/>
    <s v="L000005964"/>
    <s v="New"/>
    <x v="0"/>
    <x v="0"/>
    <s v="LS"/>
    <s v="named and assigned"/>
    <m/>
    <s v="Ruby Grace Garcia"/>
  </r>
  <r>
    <n v="905"/>
    <s v="F3"/>
    <x v="39"/>
    <s v="L000013892"/>
    <s v="LW LATAM"/>
    <s v="L000005964"/>
    <s v="New"/>
    <x v="0"/>
    <x v="0"/>
    <s v="LS"/>
    <s v="named and assigned"/>
    <m/>
    <s v="Ruby Grace Garcia"/>
  </r>
  <r>
    <n v="906"/>
    <s v="F3"/>
    <x v="39"/>
    <s v="L000013893"/>
    <s v="LW EEMEA"/>
    <s v="L000005964"/>
    <s v="New"/>
    <x v="0"/>
    <x v="0"/>
    <s v="LS"/>
    <s v="named and assigned"/>
    <m/>
    <s v="Ruby Grace Garcia"/>
  </r>
  <r>
    <n v="907"/>
    <s v="F3"/>
    <x v="39"/>
    <s v="L000013560"/>
    <s v="Pricing Strategy &amp; Operations"/>
    <m/>
    <s v="Rename"/>
    <x v="0"/>
    <x v="0"/>
    <s v="LS"/>
    <s v="renamed"/>
    <m/>
    <s v="Ruby Grace Garcia"/>
  </r>
  <r>
    <n v="908"/>
    <s v="F3"/>
    <x v="39"/>
    <s v="L000013558"/>
    <s v="Brand, Content &amp; Engagement"/>
    <m/>
    <s v="Rename"/>
    <x v="0"/>
    <x v="0"/>
    <s v="LS"/>
    <s v="renamed"/>
    <m/>
    <s v="Ruby Grace Garcia"/>
  </r>
  <r>
    <n v="909"/>
    <s v="F3"/>
    <x v="39"/>
    <s v="L000013531"/>
    <s v="Customer Digital Products"/>
    <m/>
    <s v="Rename"/>
    <x v="0"/>
    <x v="0"/>
    <s v="LS"/>
    <s v="renamed"/>
    <m/>
    <s v="Ruby Grace Garcia"/>
  </r>
  <r>
    <n v="910"/>
    <s v="F3"/>
    <x v="39"/>
    <s v="L000006558"/>
    <s v="PS Marketing Center Management"/>
    <m/>
    <s v="Rename"/>
    <x v="0"/>
    <x v="0"/>
    <s v="LS"/>
    <s v="renamed"/>
    <m/>
    <s v="Ruby Grace Garcia"/>
  </r>
  <r>
    <n v="911"/>
    <s v="F3"/>
    <x v="39"/>
    <s v="L000011734"/>
    <s v="GSA Mgt &amp; BP&amp;I"/>
    <m/>
    <s v="Rename"/>
    <x v="0"/>
    <x v="0"/>
    <s v="LS"/>
    <s v="renamed"/>
    <m/>
    <s v="Ruby Grace Garcia"/>
  </r>
  <r>
    <n v="912"/>
    <s v="F3"/>
    <x v="39"/>
    <s v="L000011664"/>
    <s v="PS Commercial APeC"/>
    <m/>
    <s v="Rename"/>
    <x v="0"/>
    <x v="0"/>
    <s v="LS"/>
    <s v="renamed"/>
    <m/>
    <s v="Ruby Grace Garcia"/>
  </r>
  <r>
    <n v="913"/>
    <s v="F3"/>
    <x v="39"/>
    <s v="L000013275"/>
    <s v="Life Science Technology Office"/>
    <m/>
    <s v="Rename"/>
    <x v="0"/>
    <x v="0"/>
    <s v="LS"/>
    <s v="renamed"/>
    <m/>
    <s v="Ruby Grace Garcia"/>
  </r>
  <r>
    <n v="914"/>
    <s v="F3"/>
    <x v="39"/>
    <s v="L000013466"/>
    <s v="DICE Digital Center of Excellence"/>
    <m/>
    <s v="Rename"/>
    <x v="0"/>
    <x v="0"/>
    <s v="LS"/>
    <s v="renamed"/>
    <m/>
    <s v="Ruby Grace Garcia"/>
  </r>
  <r>
    <n v="915"/>
    <s v="F3"/>
    <x v="39"/>
    <s v="L000013473"/>
    <s v="DICE Strategy &amp; Transformation"/>
    <m/>
    <s v="Rename"/>
    <x v="0"/>
    <x v="0"/>
    <s v="LS"/>
    <s v="renamed"/>
    <m/>
    <s v="Ruby Grace Garcia"/>
  </r>
  <r>
    <n v="916"/>
    <s v="F3"/>
    <x v="39"/>
    <s v="L000013472"/>
    <s v="DICE Digital COE"/>
    <m/>
    <s v="Rename"/>
    <x v="0"/>
    <x v="0"/>
    <s v="LS"/>
    <s v="renamed"/>
    <m/>
    <s v="Ruby Grace Garcia"/>
  </r>
  <r>
    <n v="917"/>
    <s v="F3"/>
    <x v="39"/>
    <s v="L000013469"/>
    <s v="DICE Prod Eng &amp; Computational Science"/>
    <m/>
    <s v="Rename"/>
    <x v="0"/>
    <x v="0"/>
    <s v="LS"/>
    <s v="renamed"/>
    <m/>
    <s v="Ruby Grace Garcia"/>
  </r>
  <r>
    <n v="918"/>
    <s v="F3"/>
    <x v="39"/>
    <s v="L000013628"/>
    <s v="Digital Chemistry Solutions Engineering"/>
    <m/>
    <s v="Rename"/>
    <x v="0"/>
    <x v="0"/>
    <s v="LS"/>
    <s v="renamed"/>
    <m/>
    <s v="Ruby Grace Garcia"/>
  </r>
  <r>
    <n v="919"/>
    <s v="F3"/>
    <x v="39"/>
    <s v="L000013627"/>
    <s v="DEI Instrument Connectivity Engineering"/>
    <m/>
    <s v="Rename"/>
    <x v="0"/>
    <x v="0"/>
    <s v="LS"/>
    <s v="renamed"/>
    <m/>
    <s v="Ruby Grace Garcia"/>
  </r>
  <r>
    <n v="920"/>
    <s v="F3"/>
    <x v="39"/>
    <s v="L000013626"/>
    <s v="Computational Science"/>
    <m/>
    <s v="Rename"/>
    <x v="0"/>
    <x v="0"/>
    <s v="LS"/>
    <s v="renamed"/>
    <m/>
    <s v="Ruby Grace Garcia"/>
  </r>
  <r>
    <n v="921"/>
    <s v="F3"/>
    <x v="39"/>
    <s v="L000013470"/>
    <s v="Scientific Systems Engineering"/>
    <m/>
    <s v="Rename"/>
    <x v="0"/>
    <x v="0"/>
    <s v="LS"/>
    <s v="renamed"/>
    <m/>
    <s v="Ruby Grace Garcia"/>
  </r>
  <r>
    <n v="922"/>
    <s v="F3"/>
    <x v="39"/>
    <s v="L000013468"/>
    <s v="DICE Bus Process Capabilities &amp; Stds"/>
    <m/>
    <s v="Rename"/>
    <x v="0"/>
    <x v="0"/>
    <s v="LS"/>
    <s v="renamed"/>
    <m/>
    <s v="Ruby Grace Garcia"/>
  </r>
  <r>
    <n v="923"/>
    <s v="F3"/>
    <x v="39"/>
    <s v="L000013467"/>
    <s v="DICE Platform &amp; Engineering  Enablement"/>
    <m/>
    <s v="Rename"/>
    <x v="0"/>
    <x v="0"/>
    <s v="LS"/>
    <s v="renamed"/>
    <m/>
    <s v="Ruby Grace Garcia"/>
  </r>
  <r>
    <n v="924"/>
    <s v="F3"/>
    <x v="39"/>
    <s v="L000013277"/>
    <s v="Strategic Projects"/>
    <m/>
    <s v="Rename"/>
    <x v="0"/>
    <x v="0"/>
    <s v="LS"/>
    <s v="renamed"/>
    <m/>
    <s v="Ruby Grace Garcia"/>
  </r>
  <r>
    <n v="925"/>
    <s v="F3"/>
    <x v="39"/>
    <s v="L000011336"/>
    <s v="Technology Pioneering Group"/>
    <m/>
    <s v="Rename"/>
    <x v="0"/>
    <x v="0"/>
    <s v="LS"/>
    <s v="renamed"/>
    <m/>
    <s v="Ruby Grace Garcia"/>
  </r>
  <r>
    <n v="926"/>
    <s v="F3"/>
    <x v="39"/>
    <s v="L000013622"/>
    <s v="ERP Business Program"/>
    <m/>
    <s v="Rename"/>
    <x v="0"/>
    <x v="0"/>
    <s v="LS"/>
    <s v="renamed"/>
    <m/>
    <s v="Ruby Grace Garcia"/>
  </r>
  <r>
    <n v="927"/>
    <s v="F3"/>
    <x v="39"/>
    <s v="L000010079"/>
    <s v="Darmstadt Site"/>
    <m/>
    <s v="Rename"/>
    <x v="0"/>
    <x v="0"/>
    <s v="LS"/>
    <s v="renamed"/>
    <m/>
    <s v="Ruby Grace Garcia"/>
  </r>
  <r>
    <n v="928"/>
    <s v="F3"/>
    <x v="39"/>
    <s v="L000013247"/>
    <s v="LS Production Darmstadt"/>
    <m/>
    <s v="Rename"/>
    <x v="0"/>
    <x v="0"/>
    <s v="LS"/>
    <s v="renamed"/>
    <m/>
    <s v="Ruby Grace Garcia"/>
  </r>
  <r>
    <n v="929"/>
    <s v="F3"/>
    <x v="39"/>
    <s v="L000011750"/>
    <s v="Dealer-Marketing"/>
    <m/>
    <s v="Rename"/>
    <x v="0"/>
    <x v="0"/>
    <s v="LS"/>
    <s v="renamed"/>
    <m/>
    <s v="Ruby Grace Garcia"/>
  </r>
  <r>
    <n v="930"/>
    <s v="F3"/>
    <x v="39"/>
    <s v="L000008992"/>
    <s v="SFDC-DE"/>
    <m/>
    <s v="Rename"/>
    <x v="0"/>
    <x v="0"/>
    <s v="LS"/>
    <s v="renamed"/>
    <m/>
    <s v="Ruby Grace Garcia"/>
  </r>
  <r>
    <n v="931"/>
    <s v="F3"/>
    <x v="39"/>
    <s v="L000008614"/>
    <s v="Techn. Mgmt"/>
    <m/>
    <s v="Rename"/>
    <x v="0"/>
    <x v="0"/>
    <s v="LS"/>
    <s v="renamed"/>
    <m/>
    <s v="Ruby Grace Garcia"/>
  </r>
  <r>
    <n v="932"/>
    <s v="F3"/>
    <x v="39"/>
    <s v="L000008568"/>
    <s v="Head of Tech Service, FM &amp; SFDC"/>
    <m/>
    <s v="Rename"/>
    <x v="0"/>
    <x v="0"/>
    <s v="LS"/>
    <s v="renamed"/>
    <m/>
    <s v="Ruby Grace Garcia"/>
  </r>
  <r>
    <n v="933"/>
    <s v="F3"/>
    <x v="39"/>
    <s v="L000013703"/>
    <s v="Marketing Ops"/>
    <m/>
    <s v="Rename"/>
    <x v="0"/>
    <x v="0"/>
    <s v="LS"/>
    <s v="renamed"/>
    <m/>
    <s v="Ruby Grace Garcia"/>
  </r>
  <r>
    <n v="934"/>
    <s v="F3"/>
    <x v="39"/>
    <s v="L000013701"/>
    <s v="LW NA"/>
    <m/>
    <s v="Rename"/>
    <x v="0"/>
    <x v="0"/>
    <s v="LS"/>
    <s v="renamed"/>
    <m/>
    <s v="Ruby Grace Garcia"/>
  </r>
  <r>
    <n v="935"/>
    <s v="F3"/>
    <x v="39"/>
    <s v="L000013694"/>
    <s v="LW WE"/>
    <m/>
    <s v="Rename"/>
    <x v="0"/>
    <x v="0"/>
    <s v="LS"/>
    <s v="renamed"/>
    <m/>
    <s v="Ruby Grace Garcia"/>
  </r>
  <r>
    <n v="936"/>
    <s v="F3"/>
    <x v="39"/>
    <s v="L000013388"/>
    <s v="LS-DDIT Life Science"/>
    <m/>
    <s v="Rename"/>
    <x v="0"/>
    <x v="0"/>
    <s v="LS"/>
    <s v="renamed"/>
    <m/>
    <s v="Ruby Grace Garcia"/>
  </r>
  <r>
    <n v="937"/>
    <s v="F3"/>
    <x v="39"/>
    <s v="L000013855"/>
    <m/>
    <s v="L000013881"/>
    <s v="Move"/>
    <x v="0"/>
    <x v="0"/>
    <s v="LS"/>
    <s v="moved"/>
    <m/>
    <s v="Ruby Grace Garcia"/>
  </r>
  <r>
    <n v="938"/>
    <s v="F3"/>
    <x v="39"/>
    <s v="L000007478"/>
    <m/>
    <s v="L000013531"/>
    <s v="Move"/>
    <x v="0"/>
    <x v="0"/>
    <s v="LS"/>
    <s v="moved"/>
    <m/>
    <s v="Ruby Grace Garcia"/>
  </r>
  <r>
    <n v="939"/>
    <s v="F3"/>
    <x v="39"/>
    <s v="L000013532"/>
    <m/>
    <s v="L000013882"/>
    <s v="Move"/>
    <x v="0"/>
    <x v="0"/>
    <s v="LS"/>
    <s v="moved"/>
    <m/>
    <s v="Ruby Grace Garcia"/>
  </r>
  <r>
    <n v="940"/>
    <s v="F3"/>
    <x v="39"/>
    <s v="L000012674"/>
    <m/>
    <s v="L000006568"/>
    <s v="Move"/>
    <x v="0"/>
    <x v="0"/>
    <s v="LS"/>
    <s v="moved"/>
    <m/>
    <s v="Ruby Grace Garcia"/>
  </r>
  <r>
    <n v="941"/>
    <s v="F3"/>
    <x v="39"/>
    <s v="L000012586"/>
    <m/>
    <s v="L000013847"/>
    <s v="Move"/>
    <x v="0"/>
    <x v="0"/>
    <s v="LS"/>
    <s v="moved"/>
    <m/>
    <s v="Ruby Grace Garcia"/>
  </r>
  <r>
    <n v="942"/>
    <s v="F3"/>
    <x v="39"/>
    <s v="L000006565"/>
    <m/>
    <s v="L000013847"/>
    <s v="Move"/>
    <x v="0"/>
    <x v="0"/>
    <s v="LS"/>
    <s v="moved"/>
    <m/>
    <s v="Ruby Grace Garcia"/>
  </r>
  <r>
    <n v="943"/>
    <s v="F3"/>
    <x v="39"/>
    <s v="L000006563"/>
    <m/>
    <s v="L000013847"/>
    <s v="Move"/>
    <x v="0"/>
    <x v="0"/>
    <s v="LS"/>
    <s v="moved"/>
    <m/>
    <s v="Ruby Grace Garcia"/>
  </r>
  <r>
    <n v="944"/>
    <s v="F3"/>
    <x v="39"/>
    <s v="L000013564"/>
    <m/>
    <s v="L000013880"/>
    <s v="Move"/>
    <x v="0"/>
    <x v="0"/>
    <s v="LS"/>
    <s v="moved"/>
    <m/>
    <s v="Ruby Grace Garcia"/>
  </r>
  <r>
    <n v="945"/>
    <s v="F3"/>
    <x v="39"/>
    <s v="L000011665"/>
    <m/>
    <s v="L000013880"/>
    <s v="Move"/>
    <x v="0"/>
    <x v="0"/>
    <s v="LS"/>
    <s v="moved"/>
    <m/>
    <s v="Ruby Grace Garcia"/>
  </r>
  <r>
    <n v="946"/>
    <s v="F3"/>
    <x v="39"/>
    <s v="L000011328"/>
    <m/>
    <s v="L000013734"/>
    <s v="Move"/>
    <x v="0"/>
    <x v="0"/>
    <s v="LS"/>
    <s v="moved"/>
    <m/>
    <s v="Ruby Grace Garcia"/>
  </r>
  <r>
    <n v="947"/>
    <s v="F3"/>
    <x v="39"/>
    <s v="L000011139"/>
    <m/>
    <s v="L000013388"/>
    <s v="Move"/>
    <x v="0"/>
    <x v="0"/>
    <s v="LS"/>
    <s v="moved"/>
    <m/>
    <s v="Ruby Grace Garcia"/>
  </r>
  <r>
    <n v="948"/>
    <s v="F3"/>
    <x v="39"/>
    <s v="L000007598"/>
    <m/>
    <s v="L000013388"/>
    <s v="Move"/>
    <x v="0"/>
    <x v="0"/>
    <s v="LS"/>
    <s v="moved"/>
    <m/>
    <s v="Ruby Grace Garcia"/>
  </r>
  <r>
    <n v="949"/>
    <s v="F3"/>
    <x v="39"/>
    <s v="L000006209"/>
    <m/>
    <s v="L000013891"/>
    <s v="Move"/>
    <x v="0"/>
    <x v="0"/>
    <s v="LS"/>
    <s v="moved"/>
    <m/>
    <s v="Ruby Grace Garcia"/>
  </r>
  <r>
    <n v="950"/>
    <s v="F3"/>
    <x v="39"/>
    <s v="L000012335"/>
    <m/>
    <s v="L000013892"/>
    <s v="Move"/>
    <x v="0"/>
    <x v="0"/>
    <s v="LS"/>
    <s v="moved"/>
    <m/>
    <s v="Ruby Grace Garcia"/>
  </r>
  <r>
    <n v="951"/>
    <s v="F3"/>
    <x v="39"/>
    <s v="L000013195"/>
    <m/>
    <s v="L000013893"/>
    <s v="Move"/>
    <x v="0"/>
    <x v="0"/>
    <s v="LS"/>
    <s v="moved"/>
    <m/>
    <s v="Ruby Grace Garcia"/>
  </r>
  <r>
    <n v="952"/>
    <s v="F3"/>
    <x v="39"/>
    <s v="L000005336"/>
    <m/>
    <s v="L000013736"/>
    <s v="Move"/>
    <x v="0"/>
    <x v="0"/>
    <s v="LS"/>
    <s v="moved"/>
    <m/>
    <s v="Ruby Grace Garcia"/>
  </r>
  <r>
    <n v="953"/>
    <s v="F3"/>
    <x v="39"/>
    <s v="L000013129"/>
    <m/>
    <s v="L000013679"/>
    <s v="Delete"/>
    <x v="0"/>
    <x v="0"/>
    <s v="LS"/>
    <s v="moved"/>
    <m/>
    <s v="Ruby Grace Garcia"/>
  </r>
  <r>
    <n v="954"/>
    <s v="F3"/>
    <x v="39"/>
    <s v="L000013145"/>
    <m/>
    <s v="L000013679"/>
    <s v="Delete"/>
    <x v="0"/>
    <x v="0"/>
    <s v="LS"/>
    <s v="moved"/>
    <m/>
    <s v="Ruby Grace Garcia"/>
  </r>
  <r>
    <n v="955"/>
    <s v="F3"/>
    <x v="39"/>
    <s v="L000011455"/>
    <m/>
    <s v="L000013679"/>
    <s v="Delete"/>
    <x v="0"/>
    <x v="0"/>
    <s v="LS"/>
    <s v="moved"/>
    <m/>
    <s v="Ruby Grace Garcia"/>
  </r>
  <r>
    <n v="956"/>
    <s v="F3"/>
    <x v="39"/>
    <s v="L000011454"/>
    <m/>
    <s v="L000013679"/>
    <s v="Delete"/>
    <x v="0"/>
    <x v="0"/>
    <s v="LS"/>
    <s v="moved"/>
    <m/>
    <s v="Ruby Grace Garcia"/>
  </r>
  <r>
    <n v="957"/>
    <s v="F3"/>
    <x v="39"/>
    <s v="L000011453"/>
    <m/>
    <s v="L000013679"/>
    <s v="Delete"/>
    <x v="0"/>
    <x v="0"/>
    <s v="LS"/>
    <s v="moved"/>
    <m/>
    <s v="Ruby Grace Garcia"/>
  </r>
  <r>
    <n v="958"/>
    <s v="F3"/>
    <x v="39"/>
    <s v="L000006463"/>
    <m/>
    <s v="L000013679"/>
    <s v="Delete"/>
    <x v="0"/>
    <x v="0"/>
    <s v="LS"/>
    <s v="moved"/>
    <m/>
    <s v="Ruby Grace Garcia"/>
  </r>
  <r>
    <n v="959"/>
    <s v="F3"/>
    <x v="39"/>
    <s v="L000006455"/>
    <m/>
    <s v="L000013679"/>
    <s v="Delete"/>
    <x v="0"/>
    <x v="0"/>
    <s v="LS"/>
    <s v="moved"/>
    <m/>
    <s v="Ruby Grace Garcia"/>
  </r>
  <r>
    <n v="960"/>
    <s v="F3"/>
    <x v="39"/>
    <s v="L000006451"/>
    <m/>
    <s v="L000013679"/>
    <s v="Delete"/>
    <x v="0"/>
    <x v="0"/>
    <s v="LS"/>
    <s v="moved"/>
    <m/>
    <s v="Ruby Grace Garcia"/>
  </r>
  <r>
    <n v="961"/>
    <s v="F3"/>
    <x v="39"/>
    <s v="L000006450"/>
    <m/>
    <s v="L000013679"/>
    <s v="Delete"/>
    <x v="0"/>
    <x v="0"/>
    <s v="LS"/>
    <s v="moved"/>
    <m/>
    <s v="Ruby Grace Garcia"/>
  </r>
  <r>
    <n v="962"/>
    <s v="F3"/>
    <x v="39"/>
    <s v="L000013740"/>
    <m/>
    <s v="L000013687"/>
    <s v="Delete"/>
    <x v="0"/>
    <x v="0"/>
    <s v="LS"/>
    <s v="moved"/>
    <m/>
    <s v="Ruby Grace Garcia"/>
  </r>
  <r>
    <n v="963"/>
    <s v="F3"/>
    <x v="39"/>
    <s v="L000013754"/>
    <m/>
    <s v="L000013687"/>
    <s v="Delete"/>
    <x v="0"/>
    <x v="0"/>
    <s v="LS"/>
    <s v="moved"/>
    <m/>
    <s v="Ruby Grace Garcia"/>
  </r>
  <r>
    <n v="964"/>
    <s v="F3"/>
    <x v="39"/>
    <s v="L000013756"/>
    <m/>
    <s v="L000013687"/>
    <s v="Delete"/>
    <x v="0"/>
    <x v="0"/>
    <s v="LS"/>
    <s v="moved"/>
    <m/>
    <s v="Ruby Grace Garcia"/>
  </r>
  <r>
    <n v="965"/>
    <s v="F3"/>
    <x v="39"/>
    <s v="L000012281"/>
    <m/>
    <s v="L000013687"/>
    <s v="Delete"/>
    <x v="0"/>
    <x v="0"/>
    <s v="LS"/>
    <s v="moved"/>
    <m/>
    <s v="Ruby Grace Garcia"/>
  </r>
  <r>
    <n v="966"/>
    <s v="F3"/>
    <x v="39"/>
    <s v="L000012968"/>
    <m/>
    <s v="L000013687"/>
    <s v="Delete"/>
    <x v="0"/>
    <x v="0"/>
    <s v="LS"/>
    <s v="moved"/>
    <m/>
    <s v="Ruby Grace Garcia"/>
  </r>
  <r>
    <n v="967"/>
    <s v="F3"/>
    <x v="39"/>
    <s v="L000012280"/>
    <m/>
    <s v="L000013687"/>
    <s v="Delete"/>
    <x v="0"/>
    <x v="0"/>
    <s v="LS"/>
    <s v="moved"/>
    <m/>
    <s v="Ruby Grace Garcia"/>
  </r>
  <r>
    <n v="968"/>
    <s v="F3"/>
    <x v="39"/>
    <s v="L000012430"/>
    <m/>
    <s v="L000013687"/>
    <s v="Delete"/>
    <x v="0"/>
    <x v="0"/>
    <s v="LS"/>
    <s v="moved"/>
    <m/>
    <s v="Ruby Grace Garcia"/>
  </r>
  <r>
    <n v="969"/>
    <s v="F3"/>
    <x v="39"/>
    <s v="L000012967"/>
    <m/>
    <s v="L000013687"/>
    <s v="Delete"/>
    <x v="0"/>
    <x v="0"/>
    <s v="LS"/>
    <s v="moved"/>
    <m/>
    <s v="Ruby Grace Garcia"/>
  </r>
  <r>
    <n v="970"/>
    <s v="F3"/>
    <x v="39"/>
    <s v="L000011337"/>
    <m/>
    <s v="L000013687"/>
    <s v="Delete"/>
    <x v="0"/>
    <x v="0"/>
    <s v="LS"/>
    <s v="moved"/>
    <m/>
    <s v="Ruby Grace Garcia"/>
  </r>
  <r>
    <n v="971"/>
    <s v="F3"/>
    <x v="39"/>
    <s v="L000013108"/>
    <m/>
    <s v="L000013687"/>
    <s v="Delete"/>
    <x v="0"/>
    <x v="0"/>
    <s v="LS"/>
    <s v="moved"/>
    <m/>
    <s v="Ruby Grace Garcia"/>
  </r>
  <r>
    <n v="972"/>
    <s v="F3"/>
    <x v="39"/>
    <s v="L000011154"/>
    <m/>
    <s v="L000013687"/>
    <s v="Delete"/>
    <x v="0"/>
    <x v="0"/>
    <s v="LS"/>
    <s v="moved"/>
    <m/>
    <s v="Ruby Grace Garcia"/>
  </r>
  <r>
    <n v="973"/>
    <s v="F3"/>
    <x v="39"/>
    <s v="L000011153"/>
    <m/>
    <s v="L000013687"/>
    <s v="Delete"/>
    <x v="0"/>
    <x v="0"/>
    <s v="LS"/>
    <s v="moved"/>
    <m/>
    <s v="Ruby Grace Garcia"/>
  </r>
  <r>
    <n v="974"/>
    <s v="F3"/>
    <x v="39"/>
    <s v="L000013620"/>
    <m/>
    <s v="L000013687"/>
    <s v="Delete"/>
    <x v="0"/>
    <x v="0"/>
    <s v="LS"/>
    <s v="moved"/>
    <m/>
    <s v="Ruby Grace Garcia"/>
  </r>
  <r>
    <n v="975"/>
    <s v="F3"/>
    <x v="39"/>
    <s v="L000013686"/>
    <m/>
    <s v="L000013687"/>
    <s v="Delete"/>
    <x v="0"/>
    <x v="0"/>
    <s v="LS"/>
    <s v="moved"/>
    <m/>
    <s v="Ruby Grace Garcia"/>
  </r>
  <r>
    <n v="976"/>
    <s v="F3"/>
    <x v="39"/>
    <s v="L000013374"/>
    <m/>
    <s v="L000013687"/>
    <s v="Delete"/>
    <x v="0"/>
    <x v="0"/>
    <s v="LS"/>
    <s v="moved"/>
    <m/>
    <s v="Ruby Grace Garcia"/>
  </r>
  <r>
    <n v="977"/>
    <s v="F3"/>
    <x v="40"/>
    <s v="G000001431"/>
    <s v="FPI SP - Spice income allocation"/>
    <s v="G000000001"/>
    <s v="New"/>
    <x v="0"/>
    <x v="0"/>
    <s v="MGF"/>
    <s v="pending approval"/>
    <m/>
    <s v="Jojeff Tagnong"/>
  </r>
  <r>
    <n v="978"/>
    <s v="F3"/>
    <x v="40"/>
    <s v="G000001432"/>
    <s v="SP - MGF Reporting"/>
    <s v="G000001431"/>
    <s v="New"/>
    <x v="0"/>
    <x v="0"/>
    <s v="MGF"/>
    <s v="pending approval"/>
    <m/>
    <s v="Jojeff Tagnong"/>
  </r>
  <r>
    <n v="979"/>
    <s v="F3"/>
    <x v="40"/>
    <s v="G000001433"/>
    <s v="SP - non-MGF Reporting"/>
    <s v="G000001431"/>
    <s v="New"/>
    <x v="0"/>
    <x v="0"/>
    <s v="MGF"/>
    <s v="pending approval"/>
    <m/>
    <s v="Jojeff Tagnong"/>
  </r>
  <r>
    <n v="980"/>
    <s v="F3"/>
    <x v="40"/>
    <s v="G000001434"/>
    <s v="GO3 SP - FPI Spice SM"/>
    <s v="G000001432"/>
    <s v="New"/>
    <x v="0"/>
    <x v="0"/>
    <s v="MGF"/>
    <s v="pending approval"/>
    <m/>
    <s v="Jojeff Tagnong"/>
  </r>
  <r>
    <n v="981"/>
    <s v="F3"/>
    <x v="40"/>
    <s v="G000001435"/>
    <s v="GO4 SP - FPI Spice IT"/>
    <s v="G000001432"/>
    <s v="New"/>
    <x v="0"/>
    <x v="0"/>
    <s v="MGF"/>
    <s v="pending approval"/>
    <m/>
    <s v="Jojeff Tagnong"/>
  </r>
  <r>
    <n v="982"/>
    <s v="F3"/>
    <x v="40"/>
    <s v="G000001436"/>
    <s v="GO5 SP - FPI Spice GES"/>
    <s v="G000001432"/>
    <s v="New"/>
    <x v="0"/>
    <x v="0"/>
    <s v="MGF"/>
    <s v="pending approval"/>
    <m/>
    <s v="Jojeff Tagnong"/>
  </r>
  <r>
    <n v="983"/>
    <s v="F3"/>
    <x v="40"/>
    <s v="G000001437"/>
    <s v="GO6 SP - FPI Spice EF"/>
    <s v="G000001432"/>
    <s v="New"/>
    <x v="0"/>
    <x v="0"/>
    <s v="MGF"/>
    <s v="pending approval"/>
    <m/>
    <s v="Jojeff Tagnong"/>
  </r>
  <r>
    <n v="984"/>
    <s v="F3"/>
    <x v="40"/>
    <s v="G000001438"/>
    <s v="GO7 SP - FPI Spice dummy"/>
    <s v="G000001432"/>
    <s v="New"/>
    <x v="0"/>
    <x v="0"/>
    <s v="MGF"/>
    <s v="pending approval"/>
    <m/>
    <s v="Jojeff Tagnong"/>
  </r>
  <r>
    <n v="985"/>
    <s v="F3"/>
    <x v="40"/>
    <s v="G000001439"/>
    <s v="FPI SP - Intercompany Charges"/>
    <s v="G000001433"/>
    <s v="New"/>
    <x v="0"/>
    <x v="0"/>
    <s v="MGF"/>
    <s v="pending approval"/>
    <m/>
    <s v="Jojeff Tagnong"/>
  </r>
  <r>
    <n v="986"/>
    <s v="F3"/>
    <x v="40"/>
    <s v="G000001440"/>
    <s v="FPI SP - Exceptionals"/>
    <s v="G000001433"/>
    <s v="New"/>
    <x v="0"/>
    <x v="0"/>
    <s v="MGF"/>
    <s v="pending approval"/>
    <m/>
    <s v="Jojeff Tagnong"/>
  </r>
  <r>
    <n v="987"/>
    <s v="F3"/>
    <x v="41"/>
    <s v="L000013894"/>
    <s v="LS-DI-R Innovation, R&amp;D, NPI &amp; Mast Data"/>
    <s v="L000013389"/>
    <s v="New"/>
    <x v="0"/>
    <x v="0"/>
    <s v="LS"/>
    <s v="pending approval"/>
    <m/>
    <s v="Jay-R Lizardo"/>
  </r>
  <r>
    <n v="988"/>
    <s v="F3"/>
    <x v="41"/>
    <s v="IT06051200"/>
    <s v="LS-DI-R Innovation, R&amp;D, NPI &amp; Mast Data"/>
    <s v="L000013894"/>
    <s v="New"/>
    <x v="0"/>
    <x v="0"/>
    <s v="LS"/>
    <s v="pending approval"/>
    <m/>
    <s v="Jay-R Lizardo"/>
  </r>
  <r>
    <n v="989"/>
    <s v="F3"/>
    <x v="41"/>
    <s v="L000013895"/>
    <s v="EF-DS-SEB Business Excellence"/>
    <s v="G000001416"/>
    <s v="New"/>
    <x v="0"/>
    <x v="0"/>
    <s v="LS"/>
    <s v="pending approval"/>
    <m/>
    <s v="Jay-R Lizardo"/>
  </r>
  <r>
    <n v="990"/>
    <s v="F3"/>
    <x v="41"/>
    <s v="IT09010100"/>
    <s v="EF-DS-SEB Business Excellence"/>
    <s v="L000013895"/>
    <s v="New"/>
    <x v="0"/>
    <x v="0"/>
    <s v="LS"/>
    <s v="pending approval"/>
    <m/>
    <s v="Jay-R Lizardo"/>
  </r>
  <r>
    <n v="991"/>
    <s v="F3"/>
    <x v="41"/>
    <s v="L000013896"/>
    <s v="EF-DS-SEM Performance Management"/>
    <s v="G000001416"/>
    <s v="New"/>
    <x v="0"/>
    <x v="0"/>
    <s v="LS"/>
    <s v="pending approval"/>
    <m/>
    <s v="Jay-R Lizardo"/>
  </r>
  <r>
    <n v="992"/>
    <s v="F3"/>
    <x v="41"/>
    <s v="IT09010200"/>
    <s v="EF-DS-SEM Performance Management"/>
    <s v="L000013896"/>
    <s v="New"/>
    <x v="0"/>
    <x v="0"/>
    <s v="LS"/>
    <s v="pending approval"/>
    <m/>
    <s v="Jay-R Lizardo"/>
  </r>
  <r>
    <n v="993"/>
    <s v="F3"/>
    <x v="41"/>
    <s v="L000013897"/>
    <s v="EF-DS-SEY Business Process Mgt. / L&amp;D"/>
    <s v="G000001416"/>
    <s v="New"/>
    <x v="0"/>
    <x v="0"/>
    <s v="LS"/>
    <s v="pending approval"/>
    <m/>
    <s v="Jay-R Lizardo"/>
  </r>
  <r>
    <n v="994"/>
    <s v="F3"/>
    <x v="41"/>
    <s v="IT09010300"/>
    <s v="EF-DS-SEY Business Process Mgt. / L&amp;D"/>
    <s v="L000013897"/>
    <s v="New"/>
    <x v="0"/>
    <x v="0"/>
    <s v="LS"/>
    <s v="pending approval"/>
    <m/>
    <s v="Jay-R Lizardo"/>
  </r>
  <r>
    <n v="995"/>
    <s v="F3"/>
    <x v="41"/>
    <s v="L000013898"/>
    <s v="EF-DS-DMS Supplier Master Data"/>
    <s v="G000001392"/>
    <s v="New"/>
    <x v="0"/>
    <x v="0"/>
    <s v="LS"/>
    <s v="pending approval"/>
    <m/>
    <s v="Jay-R Lizardo"/>
  </r>
  <r>
    <n v="996"/>
    <s v="F3"/>
    <x v="41"/>
    <s v="IT07030400"/>
    <s v="EF-DS-DMS Supplier Master Data"/>
    <s v="L000013898"/>
    <s v="New"/>
    <x v="0"/>
    <x v="0"/>
    <s v="LS"/>
    <s v="pending approval"/>
    <m/>
    <s v="Jay-R Lizardo"/>
  </r>
  <r>
    <n v="997"/>
    <s v="F3"/>
    <x v="42"/>
    <s v="L000013899"/>
    <s v="MEMPHIS 3PL WH"/>
    <s v="L000009795"/>
    <s v="New"/>
    <x v="0"/>
    <x v="0"/>
    <s v="LS"/>
    <s v="pending approval"/>
    <m/>
    <s v="Jay Schafer"/>
  </r>
  <r>
    <n v="998"/>
    <s v="F3"/>
    <x v="43"/>
    <s v="H000000616"/>
    <s v="Global CMC Development"/>
    <m/>
    <s v="Rename"/>
    <x v="0"/>
    <x v="0"/>
    <s v="HC"/>
    <s v="renamed"/>
    <m/>
    <s v="Henry Ifurung Jr."/>
  </r>
  <r>
    <n v="999"/>
    <s v="F3"/>
    <x v="43"/>
    <s v="H000000643"/>
    <s v="Global GCD"/>
    <m/>
    <s v="Rename"/>
    <x v="0"/>
    <x v="0"/>
    <s v="HC"/>
    <s v="renamed"/>
    <m/>
    <s v="Henry Ifurung Jr."/>
  </r>
  <r>
    <n v="1000"/>
    <s v="F3"/>
    <x v="43"/>
    <s v="H000000860"/>
    <s v="Darmstadt GCD"/>
    <m/>
    <s v="Rename"/>
    <x v="0"/>
    <x v="0"/>
    <s v="HC"/>
    <s v="renamed"/>
    <m/>
    <s v="Henry Ifurung Jr."/>
  </r>
  <r>
    <n v="1001"/>
    <s v="F3"/>
    <x v="43"/>
    <s v="H000000676"/>
    <s v="Local HCQ"/>
    <m/>
    <s v="Rename"/>
    <x v="0"/>
    <x v="0"/>
    <s v="HC"/>
    <s v="renamed"/>
    <m/>
    <s v="Henry Ifurung Jr."/>
  </r>
  <r>
    <n v="1002"/>
    <s v="F3"/>
    <x v="44"/>
    <s v="P000000007"/>
    <m/>
    <s v="P000000000"/>
    <s v="Move"/>
    <x v="0"/>
    <x v="0"/>
    <e v="#N/A"/>
    <s v="pending approval"/>
    <m/>
    <s v="Monika Swiatek"/>
  </r>
  <r>
    <n v="1003"/>
    <s v="F3"/>
    <x v="45"/>
    <s v="L000010198"/>
    <m/>
    <s v="L000013877"/>
    <s v="Move"/>
    <x v="0"/>
    <x v="0"/>
    <s v="LS"/>
    <s v="pending approval"/>
    <m/>
    <s v="Ruby Grace Garcia"/>
  </r>
  <r>
    <n v="1004"/>
    <s v="F3"/>
    <x v="45"/>
    <s v="L000013496"/>
    <m/>
    <s v="L000013877"/>
    <s v="Move"/>
    <x v="0"/>
    <x v="0"/>
    <s v="LS"/>
    <s v="pending approval"/>
    <m/>
    <s v="Ruby Grace Garcia"/>
  </r>
  <r>
    <n v="1005"/>
    <s v="F3"/>
    <x v="46"/>
    <s v="IT09020400"/>
    <s v="EF-DS-SGS IT Service Management"/>
    <s v="G000000730"/>
    <s v="New"/>
    <x v="0"/>
    <x v="0"/>
    <s v="MGF"/>
    <m/>
    <m/>
    <s v="Joshua Cachola"/>
  </r>
  <r>
    <n v="1006"/>
    <s v="F3"/>
    <x v="46"/>
    <s v="IT09020500"/>
    <s v="EF-DS-SGT IT Service Continuity &amp; IT Risk Management"/>
    <s v="G000000894"/>
    <s v="New"/>
    <x v="0"/>
    <x v="0"/>
    <s v="MGF"/>
    <m/>
    <m/>
    <s v="Joshua Cachola"/>
  </r>
  <r>
    <n v="1007"/>
    <s v="F3"/>
    <x v="47"/>
    <s v="IT06071200"/>
    <m/>
    <s v="G000001276"/>
    <s v="Move"/>
    <x v="0"/>
    <x v="0"/>
    <s v="LS"/>
    <m/>
    <m/>
    <s v="Jay-R Lizardo"/>
  </r>
  <r>
    <n v="1008"/>
    <s v="F3"/>
    <x v="47"/>
    <s v="IT06071300"/>
    <m/>
    <s v="G000001276"/>
    <s v="Move"/>
    <x v="0"/>
    <x v="0"/>
    <s v="LS"/>
    <m/>
    <m/>
    <s v="Jay-R Lizardo"/>
  </r>
  <r>
    <n v="1009"/>
    <s v="F3"/>
    <x v="47"/>
    <s v="IT07010200"/>
    <m/>
    <s v="G000001396"/>
    <s v="Move"/>
    <x v="0"/>
    <x v="0"/>
    <s v="LS"/>
    <m/>
    <m/>
    <s v="Jay-R Lizardo"/>
  </r>
  <r>
    <n v="1010"/>
    <s v="F3"/>
    <x v="47"/>
    <s v="IT06021100"/>
    <m/>
    <s v="G000001235"/>
    <s v="Move"/>
    <x v="0"/>
    <x v="0"/>
    <s v="LS"/>
    <m/>
    <m/>
    <s v="Jay-R Lizardo"/>
  </r>
  <r>
    <n v="1011"/>
    <s v="F3"/>
    <x v="47"/>
    <s v="IT06020300"/>
    <m/>
    <s v="G000001235"/>
    <s v="Move"/>
    <x v="0"/>
    <x v="0"/>
    <s v="LS"/>
    <m/>
    <m/>
    <s v="Jay-R Lizardo"/>
  </r>
  <r>
    <n v="1012"/>
    <s v="F3"/>
    <x v="48"/>
    <s v="H000004403"/>
    <s v="Site Operations US"/>
    <s v="H000000829"/>
    <s v="New"/>
    <x v="0"/>
    <x v="0"/>
    <s v="HC"/>
    <m/>
    <m/>
    <s v="Gay Geanuza del Mundo"/>
  </r>
  <r>
    <n v="1013"/>
    <s v="F3"/>
    <x v="49"/>
    <s v="G000001441"/>
    <s v="EF-DS-SEB Business Excellence"/>
    <s v="G000001416"/>
    <s v="New"/>
    <x v="0"/>
    <x v="0"/>
    <s v="LS"/>
    <m/>
    <m/>
    <s v="Jay-R Lizardo"/>
  </r>
  <r>
    <n v="1014"/>
    <s v="F3"/>
    <x v="49"/>
    <s v="G000001442"/>
    <s v="EF-DS-SEM Performance Management"/>
    <s v="G000001416"/>
    <s v="New"/>
    <x v="0"/>
    <x v="0"/>
    <s v="LS"/>
    <m/>
    <m/>
    <s v="Jay-R Lizardo"/>
  </r>
  <r>
    <n v="1015"/>
    <s v="F3"/>
    <x v="49"/>
    <s v="G000001443"/>
    <s v="EF-DS-SEY Business Process Mgt. / L&amp;D"/>
    <s v="G000001416"/>
    <s v="New"/>
    <x v="0"/>
    <x v="0"/>
    <s v="LS"/>
    <m/>
    <m/>
    <s v="Jay-R Lizardo"/>
  </r>
  <r>
    <n v="1016"/>
    <s v="F3"/>
    <x v="49"/>
    <s v="G000001444"/>
    <s v="EF-DS-DMS Supplier Master Data"/>
    <s v="G000001392"/>
    <s v="New"/>
    <x v="0"/>
    <x v="0"/>
    <s v="LS"/>
    <m/>
    <m/>
    <s v="Jay-R Lizardo"/>
  </r>
  <r>
    <n v="1017"/>
    <s v="F3"/>
    <x v="49"/>
    <s v="IT09010100"/>
    <m/>
    <s v="G000001441"/>
    <s v="Move"/>
    <x v="0"/>
    <x v="0"/>
    <s v="LS"/>
    <m/>
    <m/>
    <s v="Jay-R Lizardo"/>
  </r>
  <r>
    <n v="1018"/>
    <s v="F3"/>
    <x v="49"/>
    <s v="IT09010200"/>
    <m/>
    <s v="G000001442"/>
    <s v="Move"/>
    <x v="0"/>
    <x v="0"/>
    <s v="LS"/>
    <m/>
    <m/>
    <s v="Jay-R Lizardo"/>
  </r>
  <r>
    <n v="1019"/>
    <s v="F3"/>
    <x v="49"/>
    <s v="IT09010300"/>
    <m/>
    <s v="G000001443"/>
    <s v="Move"/>
    <x v="0"/>
    <x v="0"/>
    <s v="LS"/>
    <m/>
    <m/>
    <s v="Jay-R Lizardo"/>
  </r>
  <r>
    <n v="1020"/>
    <s v="F3"/>
    <x v="49"/>
    <s v="IT07030400"/>
    <m/>
    <s v="G000001444"/>
    <s v="Move"/>
    <x v="0"/>
    <x v="0"/>
    <s v="LS"/>
    <m/>
    <m/>
    <s v="Jay-R Lizardo"/>
  </r>
  <r>
    <n v="1021"/>
    <s v="F3"/>
    <x v="49"/>
    <s v="L000013895"/>
    <m/>
    <m/>
    <s v="Delete"/>
    <x v="0"/>
    <x v="0"/>
    <s v="LS"/>
    <m/>
    <m/>
    <s v="Jay-R Lizardo"/>
  </r>
  <r>
    <n v="1022"/>
    <s v="F3"/>
    <x v="49"/>
    <s v="L000013896"/>
    <m/>
    <m/>
    <s v="Delete"/>
    <x v="0"/>
    <x v="0"/>
    <s v="LS"/>
    <m/>
    <m/>
    <s v="Jay-R Lizardo"/>
  </r>
  <r>
    <n v="1023"/>
    <s v="F3"/>
    <x v="49"/>
    <s v="L000013897"/>
    <m/>
    <m/>
    <s v="Delete"/>
    <x v="0"/>
    <x v="0"/>
    <s v="LS"/>
    <m/>
    <m/>
    <s v="Jay-R Lizardo"/>
  </r>
  <r>
    <n v="1024"/>
    <s v="F3"/>
    <x v="49"/>
    <s v="L000013898"/>
    <m/>
    <m/>
    <s v="Delete"/>
    <x v="0"/>
    <x v="0"/>
    <s v="LS"/>
    <m/>
    <m/>
    <s v="Jay-R Lizardo"/>
  </r>
  <r>
    <n v="1025"/>
    <s v="F3"/>
    <x v="50"/>
    <s v="H000000676"/>
    <m/>
    <s v="H000000616"/>
    <s v="Move"/>
    <x v="0"/>
    <x v="0"/>
    <s v="HC"/>
    <m/>
    <m/>
    <s v="Henry Ifurung Jr."/>
  </r>
  <r>
    <n v="1026"/>
    <s v="F3"/>
    <x v="51"/>
    <s v="G000001445"/>
    <s v="EF-DS-HI Intelligent Automation"/>
    <s v="G000001378"/>
    <s v="New"/>
    <x v="0"/>
    <x v="0"/>
    <s v="LS"/>
    <m/>
    <m/>
    <s v="Jay-R Lizardo"/>
  </r>
  <r>
    <n v="1027"/>
    <s v="F3"/>
    <x v="51"/>
    <s v="IT01000100"/>
    <s v="EF-DS-HI Intelligent Automation"/>
    <s v="G000001445"/>
    <s v="New"/>
    <x v="0"/>
    <x v="0"/>
    <s v="LS"/>
    <m/>
    <m/>
    <s v="Jay-R Lizardo"/>
  </r>
  <r>
    <n v="1028"/>
    <s v="F3"/>
    <x v="51"/>
    <s v="G000001446"/>
    <s v="EF-DS-HT Automation Technology"/>
    <s v="G000001378"/>
    <s v="New"/>
    <x v="0"/>
    <x v="0"/>
    <s v="LS"/>
    <m/>
    <m/>
    <s v="Jay-R Lizardo"/>
  </r>
  <r>
    <n v="1029"/>
    <s v="F3"/>
    <x v="51"/>
    <s v="IT01000200"/>
    <s v="EF-DS-HT Automation Technology"/>
    <s v="G000001446"/>
    <s v="New"/>
    <x v="0"/>
    <x v="0"/>
    <s v="LS"/>
    <m/>
    <m/>
    <s v="Jay-R Lizardo"/>
  </r>
  <r>
    <n v="1030"/>
    <s v="F3"/>
    <x v="51"/>
    <s v="IT01000000"/>
    <s v="EF-DS-H Hyperautomation"/>
    <s v="G000001378"/>
    <s v="New"/>
    <x v="0"/>
    <x v="0"/>
    <s v="LS"/>
    <m/>
    <m/>
    <s v="Jay-R Lizardo"/>
  </r>
  <r>
    <n v="1031"/>
    <s v="F3"/>
    <x v="51"/>
    <s v="G000001378"/>
    <s v="EF-DS-H Hyperautomation"/>
    <m/>
    <s v="Rename"/>
    <x v="0"/>
    <x v="0"/>
    <s v="LS"/>
    <m/>
    <m/>
    <s v="Jay-R Lizardo"/>
  </r>
  <r>
    <n v="1032"/>
    <s v="F3"/>
    <x v="51"/>
    <s v="L000013894"/>
    <m/>
    <s v="L000013775"/>
    <s v="Move"/>
    <x v="0"/>
    <x v="0"/>
    <s v="LS"/>
    <m/>
    <m/>
    <s v="Jay-R Lizardo"/>
  </r>
  <r>
    <n v="1033"/>
    <s v="F3"/>
    <x v="52"/>
    <s v="G000001102"/>
    <s v="F87 ST - Bluehouse NextGen Drug Del."/>
    <m/>
    <s v="Rename"/>
    <x v="0"/>
    <x v="0"/>
    <s v="MGF"/>
    <m/>
    <m/>
    <s v="Jojeff Tagnong"/>
  </r>
  <r>
    <n v="1034"/>
    <s v="F3"/>
    <x v="53"/>
    <s v="H000004404"/>
    <s v="GPA People cost"/>
    <s v="H000000164"/>
    <s v="New"/>
    <x v="0"/>
    <x v="0"/>
    <s v="HC"/>
    <m/>
    <m/>
    <s v="Henry Ifurung Jr."/>
  </r>
  <r>
    <n v="1035"/>
    <s v="F3"/>
    <x v="53"/>
    <s v="H000004405"/>
    <s v="GPA Program spend"/>
    <s v="H000000164"/>
    <s v="New"/>
    <x v="0"/>
    <x v="0"/>
    <s v="HC"/>
    <m/>
    <m/>
    <s v="Henry Ifurung Jr."/>
  </r>
  <r>
    <n v="1036"/>
    <s v="F3"/>
    <x v="53"/>
    <s v="H000004406"/>
    <s v="GPA Other"/>
    <s v="H000000164"/>
    <s v="New"/>
    <x v="0"/>
    <x v="0"/>
    <s v="HC"/>
    <m/>
    <m/>
    <s v="Henry Ifurung Jr."/>
  </r>
  <r>
    <n v="1037"/>
    <s v="F3"/>
    <x v="54"/>
    <s v="H000004407"/>
    <s v="RT Europe COM"/>
    <s v="H000004396"/>
    <s v="New"/>
    <x v="0"/>
    <x v="0"/>
    <s v="HC"/>
    <m/>
    <m/>
    <s v="Henry Ifurung Jr."/>
  </r>
  <r>
    <n v="1038"/>
    <s v="F3"/>
    <x v="54"/>
    <s v="H000004408"/>
    <s v="RT Europe Hub COM"/>
    <s v="H000004407"/>
    <s v="New"/>
    <x v="0"/>
    <x v="0"/>
    <s v="HC"/>
    <m/>
    <m/>
    <s v="Henry Ifurung Jr."/>
  </r>
  <r>
    <n v="1039"/>
    <s v="F3"/>
    <x v="54"/>
    <s v="H000004409"/>
    <s v="RT Europe MED"/>
    <s v="H000004396"/>
    <s v="New"/>
    <x v="0"/>
    <x v="0"/>
    <s v="HC"/>
    <m/>
    <m/>
    <s v="Henry Ifurung Jr."/>
  </r>
  <r>
    <n v="1040"/>
    <s v="F3"/>
    <x v="54"/>
    <s v="H000004410"/>
    <s v="RT Europe Hub MED"/>
    <s v="H000004409"/>
    <s v="New"/>
    <x v="0"/>
    <x v="0"/>
    <s v="HC"/>
    <m/>
    <m/>
    <s v="Henry Ifurung Jr."/>
  </r>
  <r>
    <n v="1041"/>
    <s v="F3"/>
    <x v="54"/>
    <s v="H000004411"/>
    <s v="RT Germany Commercial"/>
    <s v="H000004409"/>
    <s v="New"/>
    <x v="0"/>
    <x v="0"/>
    <s v="HC"/>
    <m/>
    <m/>
    <s v="Henry Ifurung Jr."/>
  </r>
  <r>
    <n v="1042"/>
    <s v="F3"/>
    <x v="54"/>
    <s v="H000004412"/>
    <s v="RT Germany Field Force"/>
    <s v="H000004411"/>
    <s v="New"/>
    <x v="0"/>
    <x v="0"/>
    <s v="HC"/>
    <m/>
    <m/>
    <s v="Henry Ifurung Jr."/>
  </r>
  <r>
    <n v="1043"/>
    <s v="F3"/>
    <x v="54"/>
    <s v="H000004413"/>
    <s v="RT Germany Marketing"/>
    <s v="H000004411"/>
    <s v="New"/>
    <x v="0"/>
    <x v="0"/>
    <s v="HC"/>
    <m/>
    <m/>
    <s v="Henry Ifurung Jr."/>
  </r>
  <r>
    <n v="1044"/>
    <s v="F3"/>
    <x v="54"/>
    <s v="H000004414"/>
    <s v="RT Germany  Sales Promotion"/>
    <s v="H000004411"/>
    <s v="New"/>
    <x v="0"/>
    <x v="0"/>
    <s v="HC"/>
    <m/>
    <m/>
    <s v="Henry Ifurung Jr."/>
  </r>
  <r>
    <n v="1045"/>
    <s v="F3"/>
    <x v="54"/>
    <s v="H000004415"/>
    <s v="RT Ogsiveo Sales Promotion - Activities"/>
    <s v="H000004414"/>
    <s v="New"/>
    <x v="0"/>
    <x v="0"/>
    <s v="HC"/>
    <m/>
    <m/>
    <s v="Henry Ifurung Jr."/>
  </r>
  <r>
    <n v="1046"/>
    <s v="F3"/>
    <x v="54"/>
    <s v="H000004416"/>
    <s v="RT Ezmekly Sales Promotion - Activities"/>
    <s v="H000004414"/>
    <s v="New"/>
    <x v="0"/>
    <x v="0"/>
    <s v="HC"/>
    <m/>
    <m/>
    <s v="Henry Ifurung Jr."/>
  </r>
  <r>
    <n v="1047"/>
    <s v="F3"/>
    <x v="54"/>
    <s v="H000004417"/>
    <s v="RT Germany - General"/>
    <s v="H000004411"/>
    <s v="New"/>
    <x v="0"/>
    <x v="0"/>
    <s v="HC"/>
    <m/>
    <m/>
    <s v="Henry Ifurung Jr."/>
  </r>
  <r>
    <n v="1048"/>
    <s v="F3"/>
    <x v="54"/>
    <s v="H000004418"/>
    <s v="RT - General Management"/>
    <s v="H000004417"/>
    <s v="New"/>
    <x v="0"/>
    <x v="0"/>
    <s v="HC"/>
    <m/>
    <m/>
    <s v="Henry Ifurung Jr."/>
  </r>
  <r>
    <n v="1049"/>
    <s v="F3"/>
    <x v="54"/>
    <s v="H000004419"/>
    <s v="RT Germany - MAP"/>
    <s v="H000004417"/>
    <s v="New"/>
    <x v="0"/>
    <x v="0"/>
    <s v="HC"/>
    <m/>
    <m/>
    <s v="Henry Ifurung Jr."/>
  </r>
  <r>
    <n v="1050"/>
    <s v="F3"/>
    <x v="54"/>
    <s v="H000004420"/>
    <s v="RT Germany  - GAP"/>
    <s v="H000004417"/>
    <s v="New"/>
    <x v="0"/>
    <x v="0"/>
    <s v="HC"/>
    <m/>
    <m/>
    <s v="Henry Ifurung Jr."/>
  </r>
  <r>
    <n v="1051"/>
    <s v="F3"/>
    <x v="54"/>
    <s v="H000004421"/>
    <s v="RT Germany  - Business Ops"/>
    <s v="H000004417"/>
    <s v="New"/>
    <x v="0"/>
    <x v="0"/>
    <s v="HC"/>
    <m/>
    <m/>
    <s v="Henry Ifurung Jr."/>
  </r>
  <r>
    <n v="1052"/>
    <s v="F3"/>
    <x v="54"/>
    <s v="H000004422"/>
    <s v="RT Germany - Other Operating Expense"/>
    <s v="H000004417"/>
    <s v="New"/>
    <x v="0"/>
    <x v="0"/>
    <s v="HC"/>
    <m/>
    <m/>
    <s v="Henry Ifurung Jr."/>
  </r>
  <r>
    <n v="1053"/>
    <s v="F3"/>
    <x v="54"/>
    <s v="H000004423"/>
    <s v="RT Germany Medical &amp; local R&amp;D"/>
    <s v="H000004409"/>
    <s v="New"/>
    <x v="0"/>
    <x v="0"/>
    <s v="HC"/>
    <m/>
    <m/>
    <s v="Henry Ifurung Jr."/>
  </r>
  <r>
    <n v="1054"/>
    <s v="F3"/>
    <x v="54"/>
    <s v="H000004424"/>
    <s v="RT Germany  - Medical cost center"/>
    <s v="H000004423"/>
    <s v="New"/>
    <x v="0"/>
    <x v="0"/>
    <s v="HC"/>
    <m/>
    <m/>
    <s v="Henry Ifurung Jr."/>
  </r>
  <r>
    <n v="1055"/>
    <s v="F3"/>
    <x v="54"/>
    <s v="H000004425"/>
    <s v="RT Germany - Medical Non-R&amp;D Activities"/>
    <s v="H000004423"/>
    <s v="New"/>
    <x v="0"/>
    <x v="0"/>
    <s v="HC"/>
    <m/>
    <m/>
    <s v="Henry Ifurung Jr."/>
  </r>
  <r>
    <n v="1056"/>
    <s v="F3"/>
    <x v="54"/>
    <s v="H000004426"/>
    <s v="RT - Ogsiveo Medical Activities"/>
    <s v="H000004425"/>
    <s v="New"/>
    <x v="0"/>
    <x v="0"/>
    <s v="HC"/>
    <m/>
    <m/>
    <s v="Henry Ifurung Jr."/>
  </r>
  <r>
    <n v="1057"/>
    <s v="F3"/>
    <x v="54"/>
    <s v="H000004427"/>
    <s v="RT - Ezmekly Medical Activities"/>
    <s v="H000004425"/>
    <s v="New"/>
    <x v="0"/>
    <x v="0"/>
    <s v="HC"/>
    <m/>
    <m/>
    <s v="Henry Ifurung Jr."/>
  </r>
  <r>
    <n v="1058"/>
    <s v="F3"/>
    <x v="54"/>
    <s v="H000004428"/>
    <s v="RT Germany - Local R&amp;D - Studies"/>
    <s v="H000004423"/>
    <s v="New"/>
    <x v="0"/>
    <x v="0"/>
    <s v="HC"/>
    <m/>
    <m/>
    <s v="Henry Ifurung Jr."/>
  </r>
  <r>
    <n v="1059"/>
    <s v="F3"/>
    <x v="54"/>
    <s v="H000004429"/>
    <s v="RT Germany - Ogsiveo Local R&amp;D Studies"/>
    <s v="H000004428"/>
    <s v="New"/>
    <x v="0"/>
    <x v="0"/>
    <s v="HC"/>
    <m/>
    <m/>
    <s v="Henry Ifurung Jr."/>
  </r>
  <r>
    <n v="1060"/>
    <s v="F3"/>
    <x v="54"/>
    <s v="H000004430"/>
    <s v="RT Germany - Ezmekly Local R&amp;D Studies"/>
    <s v="H000004428"/>
    <s v="New"/>
    <x v="0"/>
    <x v="0"/>
    <s v="HC"/>
    <m/>
    <m/>
    <s v="Henry Ifurung Jr."/>
  </r>
  <r>
    <n v="1061"/>
    <s v="F3"/>
    <x v="55"/>
    <s v="RDC0000091"/>
    <s v="Global Health other"/>
    <s v="RDC0000068"/>
    <s v="Rename/Move"/>
    <x v="0"/>
    <x v="0"/>
    <s v="MGF"/>
    <m/>
    <m/>
    <s v="Erjo Miguel Tagle"/>
  </r>
  <r>
    <n v="1062"/>
    <s v="F3"/>
    <x v="55"/>
    <s v="RDC0000092"/>
    <s v="Global Health Institute"/>
    <s v="RDC0000068"/>
    <s v="Rename/Move"/>
    <x v="0"/>
    <x v="0"/>
    <s v="MGF"/>
    <m/>
    <m/>
    <s v="Erjo Miguel Tagle"/>
  </r>
  <r>
    <n v="1063"/>
    <s v="F3"/>
    <x v="55"/>
    <s v="RDC0000093"/>
    <s v="Global Health IC"/>
    <s v="RDC0000992"/>
    <s v="Rename/Move"/>
    <x v="0"/>
    <x v="0"/>
    <s v="MGF"/>
    <m/>
    <m/>
    <s v="Erjo Miguel Tagle"/>
  </r>
  <r>
    <n v="1064"/>
    <s v="F3"/>
    <x v="56"/>
    <s v="H000004411"/>
    <m/>
    <s v="H000004407"/>
    <s v="Move"/>
    <x v="0"/>
    <x v="0"/>
    <s v="HC"/>
    <m/>
    <m/>
    <s v="Henry Ifurung Jr."/>
  </r>
  <r>
    <n v="1065"/>
    <s v="F3"/>
    <x v="57"/>
    <s v="G000001447"/>
    <s v="EF-DS-HE Integrated Process Excellence"/>
    <s v="G000001378"/>
    <s v="New"/>
    <x v="0"/>
    <x v="0"/>
    <s v="LS"/>
    <m/>
    <m/>
    <s v="Jay-R Lizardo"/>
  </r>
  <r>
    <n v="1066"/>
    <s v="F3"/>
    <x v="57"/>
    <s v="IT01000300"/>
    <s v="EF-DS-HE Integrated Process Excellence"/>
    <s v="G000001447"/>
    <s v="New"/>
    <x v="0"/>
    <x v="0"/>
    <s v="LS"/>
    <m/>
    <m/>
    <s v="Jay-R Lizardo"/>
  </r>
  <r>
    <n v="1067"/>
    <s v="F3"/>
    <x v="57"/>
    <s v="G000001448"/>
    <s v="EF-DS-HP Process Intelligence Practice"/>
    <s v="G000001378"/>
    <s v="New"/>
    <x v="0"/>
    <x v="0"/>
    <s v="LS"/>
    <m/>
    <m/>
    <s v="Jay-R Lizardo"/>
  </r>
  <r>
    <n v="1068"/>
    <s v="F3"/>
    <x v="57"/>
    <s v="IT01000400"/>
    <s v="EF-DS-HP Process Intelligence Practice"/>
    <s v="G000001448"/>
    <s v="New"/>
    <x v="0"/>
    <x v="0"/>
    <s v="LS"/>
    <m/>
    <m/>
    <s v="Jay-R Lizardo"/>
  </r>
  <r>
    <n v="1069"/>
    <s v="F3"/>
    <x v="57"/>
    <s v="G000001449"/>
    <s v="EF-DS-HS ServiceNow CoE"/>
    <s v="G000001378"/>
    <s v="New"/>
    <x v="0"/>
    <x v="0"/>
    <s v="LS"/>
    <m/>
    <m/>
    <s v="Jay-R Lizardo"/>
  </r>
  <r>
    <n v="1070"/>
    <s v="F3"/>
    <x v="57"/>
    <s v="IT01000500"/>
    <s v="EF-DS-HS ServiceNow CoE"/>
    <s v="G000001449"/>
    <s v="New"/>
    <x v="0"/>
    <x v="0"/>
    <s v="LS"/>
    <m/>
    <m/>
    <s v="Jay-R Lizardo"/>
  </r>
  <r>
    <n v="1071"/>
    <s v="F3"/>
    <x v="57"/>
    <s v="G000001446"/>
    <s v="EF-DS-HA Automation Strategy"/>
    <m/>
    <s v="Rename"/>
    <x v="0"/>
    <x v="0"/>
    <s v="LS"/>
    <m/>
    <m/>
    <s v="Jay-R Lizardo"/>
  </r>
  <r>
    <n v="1072"/>
    <s v="F3"/>
    <x v="57"/>
    <s v="IT01000200"/>
    <s v="EF-DS-HA Automation Strategy"/>
    <m/>
    <s v="Rename"/>
    <x v="0"/>
    <x v="0"/>
    <s v="LS"/>
    <m/>
    <m/>
    <s v="Jay-R Lizardo"/>
  </r>
  <r>
    <n v="1073"/>
    <s v="F3"/>
    <x v="58"/>
    <s v="L000013900"/>
    <s v="eCommerce Products -G"/>
    <s v="L000007597"/>
    <s v="New"/>
    <x v="0"/>
    <x v="0"/>
    <s v="LS"/>
    <m/>
    <m/>
    <s v="Hui Zhang"/>
  </r>
  <r>
    <n v="1074"/>
    <s v="F0"/>
    <x v="59"/>
    <s v="H000004431"/>
    <s v="Healthcare Digital Projects"/>
    <s v="H000000456"/>
    <s v="New"/>
    <x v="0"/>
    <x v="0"/>
    <s v="LS"/>
    <m/>
    <m/>
    <s v="Jay-R Lizardo"/>
  </r>
  <r>
    <n v="1075"/>
    <s v="F0"/>
    <x v="59"/>
    <s v="IT08010000"/>
    <s v="HC_(non-IT)"/>
    <s v="H000004431"/>
    <s v="New"/>
    <x v="0"/>
    <x v="0"/>
    <s v="LS"/>
    <m/>
    <m/>
    <s v="Jay-R Lizardo"/>
  </r>
  <r>
    <n v="1076"/>
    <s v="F0"/>
    <x v="60"/>
    <s v="H000004432"/>
    <s v="RT UK Commercial"/>
    <s v="H000004407"/>
    <s v="New"/>
    <x v="0"/>
    <x v="0"/>
    <s v="HC"/>
    <m/>
    <m/>
    <s v="Henry Ifurung Jr."/>
  </r>
  <r>
    <n v="1077"/>
    <s v="F0"/>
    <x v="60"/>
    <s v="H000004433"/>
    <s v="RT UK Field Force"/>
    <s v="H000004432"/>
    <s v="New"/>
    <x v="0"/>
    <x v="0"/>
    <s v="HC"/>
    <m/>
    <m/>
    <s v="Henry Ifurung Jr."/>
  </r>
  <r>
    <n v="1078"/>
    <s v="F0"/>
    <x v="60"/>
    <s v="H000004434"/>
    <s v="RT UK Marketing"/>
    <s v="H000004432"/>
    <s v="New"/>
    <x v="0"/>
    <x v="0"/>
    <s v="HC"/>
    <m/>
    <m/>
    <s v="Henry Ifurung Jr."/>
  </r>
  <r>
    <n v="1079"/>
    <s v="F0"/>
    <x v="60"/>
    <s v="H000004435"/>
    <s v="RT UK Sales Promotion"/>
    <s v="H000004432"/>
    <s v="New"/>
    <x v="0"/>
    <x v="0"/>
    <s v="HC"/>
    <m/>
    <m/>
    <s v="Henry Ifurung Jr."/>
  </r>
  <r>
    <n v="1080"/>
    <s v="F0"/>
    <x v="60"/>
    <s v="H000004436"/>
    <s v="RT UK Ogsiveo Sales Promotion"/>
    <s v="H000004435"/>
    <s v="New"/>
    <x v="0"/>
    <x v="0"/>
    <s v="HC"/>
    <m/>
    <m/>
    <s v="Henry Ifurung Jr."/>
  </r>
  <r>
    <n v="1081"/>
    <s v="F0"/>
    <x v="60"/>
    <s v="H000004437"/>
    <s v="RT UK Ezmekly Sales Promotion"/>
    <s v="H000004435"/>
    <s v="New"/>
    <x v="0"/>
    <x v="0"/>
    <s v="HC"/>
    <m/>
    <m/>
    <s v="Henry Ifurung Jr."/>
  </r>
  <r>
    <n v="1082"/>
    <s v="F0"/>
    <x v="60"/>
    <s v="H000004438"/>
    <s v="RT UK - General"/>
    <s v="H000004432"/>
    <s v="New"/>
    <x v="0"/>
    <x v="0"/>
    <s v="HC"/>
    <m/>
    <m/>
    <s v="Henry Ifurung Jr."/>
  </r>
  <r>
    <n v="1083"/>
    <s v="F0"/>
    <x v="60"/>
    <s v="H000004439"/>
    <s v="RT UK - General Management"/>
    <s v="H000004438"/>
    <s v="New"/>
    <x v="0"/>
    <x v="0"/>
    <s v="HC"/>
    <m/>
    <m/>
    <s v="Henry Ifurung Jr."/>
  </r>
  <r>
    <n v="1084"/>
    <s v="F0"/>
    <x v="60"/>
    <s v="H000004440"/>
    <s v="RT UK - MAP"/>
    <s v="H000004438"/>
    <s v="New"/>
    <x v="0"/>
    <x v="0"/>
    <s v="HC"/>
    <m/>
    <m/>
    <s v="Henry Ifurung Jr."/>
  </r>
  <r>
    <n v="1085"/>
    <s v="F0"/>
    <x v="60"/>
    <s v="H000004441"/>
    <s v="RT UK - GAP"/>
    <s v="H000004438"/>
    <s v="New"/>
    <x v="0"/>
    <x v="0"/>
    <s v="HC"/>
    <m/>
    <m/>
    <s v="Henry Ifurung Jr."/>
  </r>
  <r>
    <n v="1086"/>
    <s v="F0"/>
    <x v="60"/>
    <s v="H000004442"/>
    <s v="RT UK - Business Ops"/>
    <s v="H000004438"/>
    <s v="New"/>
    <x v="0"/>
    <x v="0"/>
    <s v="HC"/>
    <m/>
    <m/>
    <s v="Henry Ifurung Jr."/>
  </r>
  <r>
    <n v="1087"/>
    <s v="F0"/>
    <x v="60"/>
    <s v="H000004443"/>
    <s v="RT UK - Other Operating Expense"/>
    <s v="H000004438"/>
    <s v="New"/>
    <x v="0"/>
    <x v="0"/>
    <s v="HC"/>
    <m/>
    <m/>
    <s v="Henry Ifurung Jr."/>
  </r>
  <r>
    <n v="1088"/>
    <s v="F0"/>
    <x v="60"/>
    <s v="H000004444"/>
    <s v="RT UK Medical &amp; local R&amp;D"/>
    <s v="H000004409"/>
    <s v="New"/>
    <x v="0"/>
    <x v="0"/>
    <s v="HC"/>
    <m/>
    <m/>
    <s v="Henry Ifurung Jr."/>
  </r>
  <r>
    <n v="1089"/>
    <s v="F0"/>
    <x v="60"/>
    <s v="H000004445"/>
    <s v="RT UK - Medical cost center"/>
    <s v="H000004444"/>
    <s v="New"/>
    <x v="0"/>
    <x v="0"/>
    <s v="HC"/>
    <m/>
    <m/>
    <s v="Henry Ifurung Jr."/>
  </r>
  <r>
    <n v="1090"/>
    <s v="F0"/>
    <x v="60"/>
    <s v="H000004446"/>
    <s v="RT UK - Medical Non-R&amp;D Activities"/>
    <s v="H000004444"/>
    <s v="New"/>
    <x v="0"/>
    <x v="0"/>
    <s v="HC"/>
    <m/>
    <m/>
    <s v="Henry Ifurung Jr."/>
  </r>
  <r>
    <n v="1091"/>
    <s v="F0"/>
    <x v="60"/>
    <s v="H000004447"/>
    <s v="RT UK Ogsiveo Medical Activities"/>
    <s v="H000004446"/>
    <s v="New"/>
    <x v="0"/>
    <x v="0"/>
    <s v="HC"/>
    <m/>
    <m/>
    <s v="Henry Ifurung Jr."/>
  </r>
  <r>
    <n v="1092"/>
    <s v="F0"/>
    <x v="60"/>
    <s v="H000004448"/>
    <s v="RT UK Ezmekly Medical Activities"/>
    <s v="H000004446"/>
    <s v="New"/>
    <x v="0"/>
    <x v="0"/>
    <s v="HC"/>
    <m/>
    <m/>
    <s v="Henry Ifurung Jr."/>
  </r>
  <r>
    <n v="1093"/>
    <s v="F0"/>
    <x v="60"/>
    <s v="H000004449"/>
    <s v="RT UK Local R&amp;D - Studies"/>
    <s v="H000004444"/>
    <s v="New"/>
    <x v="0"/>
    <x v="0"/>
    <s v="HC"/>
    <m/>
    <m/>
    <s v="Henry Ifurung Jr."/>
  </r>
  <r>
    <n v="1094"/>
    <s v="F0"/>
    <x v="60"/>
    <s v="H000004450"/>
    <s v="RT UK Ogsiveo Local R&amp;D Studies"/>
    <s v="H000004449"/>
    <s v="New"/>
    <x v="0"/>
    <x v="0"/>
    <s v="HC"/>
    <m/>
    <m/>
    <s v="Henry Ifurung Jr."/>
  </r>
  <r>
    <n v="1095"/>
    <s v="F0"/>
    <x v="60"/>
    <s v="H000004451"/>
    <s v="RT UK Ezmekly Local R&amp;D Studies"/>
    <s v="H000004449"/>
    <s v="New"/>
    <x v="0"/>
    <x v="0"/>
    <s v="HC"/>
    <m/>
    <m/>
    <s v="Henry Ifurung Jr."/>
  </r>
  <r>
    <n v="1096"/>
    <s v="F0"/>
    <x v="60"/>
    <s v="H000004452"/>
    <s v="RT Spain Commercial"/>
    <s v="H000004407"/>
    <s v="New"/>
    <x v="0"/>
    <x v="0"/>
    <s v="HC"/>
    <m/>
    <m/>
    <s v="Henry Ifurung Jr."/>
  </r>
  <r>
    <n v="1097"/>
    <s v="F0"/>
    <x v="60"/>
    <s v="H000004453"/>
    <s v="RT Spain Field Force"/>
    <s v="H000004452"/>
    <s v="New"/>
    <x v="0"/>
    <x v="0"/>
    <s v="HC"/>
    <m/>
    <m/>
    <s v="Henry Ifurung Jr."/>
  </r>
  <r>
    <n v="1098"/>
    <s v="F0"/>
    <x v="60"/>
    <s v="H000004454"/>
    <s v="RT Spain Marketing"/>
    <s v="H000004452"/>
    <s v="New"/>
    <x v="0"/>
    <x v="0"/>
    <s v="HC"/>
    <m/>
    <m/>
    <s v="Henry Ifurung Jr."/>
  </r>
  <r>
    <n v="1099"/>
    <s v="F0"/>
    <x v="60"/>
    <s v="H000004455"/>
    <s v="RT Spain Sales Promotion"/>
    <s v="H000004452"/>
    <s v="New"/>
    <x v="0"/>
    <x v="0"/>
    <s v="HC"/>
    <m/>
    <m/>
    <s v="Henry Ifurung Jr."/>
  </r>
  <r>
    <n v="1100"/>
    <s v="F0"/>
    <x v="60"/>
    <s v="H000004456"/>
    <s v="RT Spain Ogsiveo Sales Promotion"/>
    <s v="H000004455"/>
    <s v="New"/>
    <x v="0"/>
    <x v="0"/>
    <s v="HC"/>
    <m/>
    <m/>
    <s v="Henry Ifurung Jr."/>
  </r>
  <r>
    <n v="1101"/>
    <s v="F0"/>
    <x v="60"/>
    <s v="H000004457"/>
    <s v="RT Spain Ezmekly Sales Promotion"/>
    <s v="H000004455"/>
    <s v="New"/>
    <x v="0"/>
    <x v="0"/>
    <s v="HC"/>
    <m/>
    <m/>
    <s v="Henry Ifurung Jr."/>
  </r>
  <r>
    <n v="1102"/>
    <s v="F0"/>
    <x v="60"/>
    <s v="H000004458"/>
    <s v="RT Spain - General"/>
    <s v="H000004452"/>
    <s v="New"/>
    <x v="0"/>
    <x v="0"/>
    <s v="HC"/>
    <m/>
    <m/>
    <s v="Henry Ifurung Jr."/>
  </r>
  <r>
    <n v="1103"/>
    <s v="F0"/>
    <x v="60"/>
    <s v="H000004459"/>
    <s v="RT Spain - General Management"/>
    <s v="H000004458"/>
    <s v="New"/>
    <x v="0"/>
    <x v="0"/>
    <s v="HC"/>
    <m/>
    <m/>
    <s v="Henry Ifurung Jr."/>
  </r>
  <r>
    <n v="1104"/>
    <s v="F0"/>
    <x v="60"/>
    <s v="H000004460"/>
    <s v="RT Spain - MAP"/>
    <s v="H000004458"/>
    <s v="New"/>
    <x v="0"/>
    <x v="0"/>
    <s v="HC"/>
    <m/>
    <m/>
    <s v="Henry Ifurung Jr."/>
  </r>
  <r>
    <n v="1105"/>
    <s v="F0"/>
    <x v="60"/>
    <s v="H000004461"/>
    <s v="RT Spain - GAP"/>
    <s v="H000004458"/>
    <s v="New"/>
    <x v="0"/>
    <x v="0"/>
    <s v="HC"/>
    <m/>
    <m/>
    <s v="Henry Ifurung Jr."/>
  </r>
  <r>
    <n v="1106"/>
    <s v="F0"/>
    <x v="60"/>
    <s v="H000004462"/>
    <s v="RT Spain - Business Ops"/>
    <s v="H000004458"/>
    <s v="New"/>
    <x v="0"/>
    <x v="0"/>
    <s v="HC"/>
    <m/>
    <m/>
    <s v="Henry Ifurung Jr."/>
  </r>
  <r>
    <n v="1107"/>
    <s v="F0"/>
    <x v="60"/>
    <s v="H000004463"/>
    <s v="RT Spain - Other Operating Expense"/>
    <s v="H000004458"/>
    <s v="New"/>
    <x v="0"/>
    <x v="0"/>
    <s v="HC"/>
    <m/>
    <m/>
    <s v="Henry Ifurung Jr."/>
  </r>
  <r>
    <n v="1108"/>
    <s v="F0"/>
    <x v="60"/>
    <s v="H000004464"/>
    <s v="RT Spain Medical &amp; local R&amp;D"/>
    <s v="H000004409"/>
    <s v="New"/>
    <x v="0"/>
    <x v="0"/>
    <s v="HC"/>
    <m/>
    <m/>
    <s v="Henry Ifurung Jr."/>
  </r>
  <r>
    <n v="1109"/>
    <s v="F0"/>
    <x v="60"/>
    <s v="H000004465"/>
    <s v="RT Spain - Medical cost center"/>
    <s v="H000004464"/>
    <s v="New"/>
    <x v="0"/>
    <x v="0"/>
    <s v="HC"/>
    <m/>
    <m/>
    <s v="Henry Ifurung Jr."/>
  </r>
  <r>
    <n v="1110"/>
    <s v="F0"/>
    <x v="60"/>
    <s v="H000004466"/>
    <s v="RT Spain - Medical Non-R&amp;D Activities"/>
    <s v="H000004464"/>
    <s v="New"/>
    <x v="0"/>
    <x v="0"/>
    <s v="HC"/>
    <m/>
    <m/>
    <s v="Henry Ifurung Jr."/>
  </r>
  <r>
    <n v="1111"/>
    <s v="F0"/>
    <x v="60"/>
    <s v="H000004467"/>
    <s v="RT Spain Ogsiveo Medical Activities"/>
    <s v="H000004466"/>
    <s v="New"/>
    <x v="0"/>
    <x v="0"/>
    <s v="HC"/>
    <m/>
    <m/>
    <s v="Henry Ifurung Jr."/>
  </r>
  <r>
    <n v="1112"/>
    <s v="F0"/>
    <x v="60"/>
    <s v="H000004468"/>
    <s v="RT Spain Ezmekly Medical Activities"/>
    <s v="H000004466"/>
    <s v="New"/>
    <x v="0"/>
    <x v="0"/>
    <s v="HC"/>
    <m/>
    <m/>
    <s v="Henry Ifurung Jr."/>
  </r>
  <r>
    <n v="1113"/>
    <s v="F0"/>
    <x v="60"/>
    <s v="H000004469"/>
    <s v="RT Spain Local R&amp;D - Studies"/>
    <s v="H000004464"/>
    <s v="New"/>
    <x v="0"/>
    <x v="0"/>
    <s v="HC"/>
    <m/>
    <m/>
    <s v="Henry Ifurung Jr."/>
  </r>
  <r>
    <n v="1114"/>
    <s v="F0"/>
    <x v="60"/>
    <s v="H000004470"/>
    <s v="RT Spain Ogsiveo Local R&amp;D Studies"/>
    <s v="H000004469"/>
    <s v="New"/>
    <x v="0"/>
    <x v="0"/>
    <s v="HC"/>
    <m/>
    <m/>
    <s v="Henry Ifurung Jr."/>
  </r>
  <r>
    <n v="1115"/>
    <s v="F0"/>
    <x v="60"/>
    <s v="H000004471"/>
    <s v="RT Spain Ezmekly Local R&amp;D Studies"/>
    <s v="H000004469"/>
    <s v="New"/>
    <x v="0"/>
    <x v="0"/>
    <s v="HC"/>
    <m/>
    <m/>
    <s v="Henry Ifurung Jr."/>
  </r>
  <r>
    <n v="1116"/>
    <s v="F0"/>
    <x v="60"/>
    <s v="H000004472"/>
    <s v="RT Italy Commercial"/>
    <s v="H000004407"/>
    <s v="New"/>
    <x v="0"/>
    <x v="0"/>
    <s v="HC"/>
    <m/>
    <m/>
    <s v="Henry Ifurung Jr."/>
  </r>
  <r>
    <n v="1117"/>
    <s v="F0"/>
    <x v="60"/>
    <s v="H000004473"/>
    <s v="RT Italy Field Force"/>
    <s v="H000004472"/>
    <s v="New"/>
    <x v="0"/>
    <x v="0"/>
    <s v="HC"/>
    <m/>
    <m/>
    <s v="Henry Ifurung Jr."/>
  </r>
  <r>
    <n v="1118"/>
    <s v="F0"/>
    <x v="60"/>
    <s v="H000004474"/>
    <s v="RT Italy Marketing"/>
    <s v="H000004472"/>
    <s v="New"/>
    <x v="0"/>
    <x v="0"/>
    <s v="HC"/>
    <m/>
    <m/>
    <s v="Henry Ifurung Jr."/>
  </r>
  <r>
    <n v="1119"/>
    <s v="F0"/>
    <x v="60"/>
    <s v="H000004475"/>
    <s v="RT Italy Sales Promotion"/>
    <s v="H000004472"/>
    <s v="New"/>
    <x v="0"/>
    <x v="0"/>
    <s v="HC"/>
    <m/>
    <m/>
    <s v="Henry Ifurung Jr."/>
  </r>
  <r>
    <n v="1120"/>
    <s v="F0"/>
    <x v="60"/>
    <s v="H000004476"/>
    <s v="RT Italy Ogsiveo Sales Promotion"/>
    <s v="H000004475"/>
    <s v="New"/>
    <x v="0"/>
    <x v="0"/>
    <s v="HC"/>
    <m/>
    <m/>
    <s v="Henry Ifurung Jr."/>
  </r>
  <r>
    <n v="1121"/>
    <s v="F0"/>
    <x v="60"/>
    <s v="H000004477"/>
    <s v="RT Italy Ezmekly Sales Promotion"/>
    <s v="H000004475"/>
    <s v="New"/>
    <x v="0"/>
    <x v="0"/>
    <s v="HC"/>
    <m/>
    <m/>
    <s v="Henry Ifurung Jr."/>
  </r>
  <r>
    <n v="1122"/>
    <s v="F0"/>
    <x v="60"/>
    <s v="H000004478"/>
    <s v="RT Italy - General"/>
    <s v="H000004472"/>
    <s v="New"/>
    <x v="0"/>
    <x v="0"/>
    <s v="HC"/>
    <m/>
    <m/>
    <s v="Henry Ifurung Jr."/>
  </r>
  <r>
    <n v="1123"/>
    <s v="F0"/>
    <x v="60"/>
    <s v="H000004479"/>
    <s v="RT Italy - General Management"/>
    <s v="H000004478"/>
    <s v="New"/>
    <x v="0"/>
    <x v="0"/>
    <s v="HC"/>
    <m/>
    <m/>
    <s v="Henry Ifurung Jr."/>
  </r>
  <r>
    <n v="1124"/>
    <s v="F0"/>
    <x v="60"/>
    <s v="H000004480"/>
    <s v="RT Italy - MAP"/>
    <s v="H000004478"/>
    <s v="New"/>
    <x v="0"/>
    <x v="0"/>
    <s v="HC"/>
    <m/>
    <m/>
    <s v="Henry Ifurung Jr."/>
  </r>
  <r>
    <n v="1125"/>
    <s v="F0"/>
    <x v="60"/>
    <s v="H000004481"/>
    <s v="RT Italy - GAP"/>
    <s v="H000004478"/>
    <s v="New"/>
    <x v="0"/>
    <x v="0"/>
    <s v="HC"/>
    <m/>
    <m/>
    <s v="Henry Ifurung Jr."/>
  </r>
  <r>
    <n v="1126"/>
    <s v="F0"/>
    <x v="60"/>
    <s v="H000004482"/>
    <s v="RT Italy - Business Ops"/>
    <s v="H000004478"/>
    <s v="New"/>
    <x v="0"/>
    <x v="0"/>
    <s v="HC"/>
    <m/>
    <m/>
    <s v="Henry Ifurung Jr."/>
  </r>
  <r>
    <n v="1127"/>
    <s v="F0"/>
    <x v="60"/>
    <s v="H000004483"/>
    <s v="RT Italy - Other Operating Expense"/>
    <s v="H000004478"/>
    <s v="New"/>
    <x v="0"/>
    <x v="0"/>
    <s v="HC"/>
    <m/>
    <m/>
    <s v="Henry Ifurung Jr."/>
  </r>
  <r>
    <n v="1128"/>
    <s v="F0"/>
    <x v="60"/>
    <s v="H000004484"/>
    <s v="RT Italy Medical &amp; local R&amp;D"/>
    <s v="H000004409"/>
    <s v="New"/>
    <x v="0"/>
    <x v="0"/>
    <s v="HC"/>
    <m/>
    <m/>
    <s v="Henry Ifurung Jr."/>
  </r>
  <r>
    <n v="1129"/>
    <s v="F0"/>
    <x v="60"/>
    <s v="H000004485"/>
    <s v="RT Italy - Medical cost center"/>
    <s v="H000004484"/>
    <s v="New"/>
    <x v="0"/>
    <x v="0"/>
    <s v="HC"/>
    <m/>
    <m/>
    <s v="Henry Ifurung Jr."/>
  </r>
  <r>
    <n v="1130"/>
    <s v="F0"/>
    <x v="60"/>
    <s v="H000004486"/>
    <s v="RT Italy - Medical Non-R&amp;D Activities"/>
    <s v="H000004484"/>
    <s v="New"/>
    <x v="0"/>
    <x v="0"/>
    <s v="HC"/>
    <m/>
    <m/>
    <s v="Henry Ifurung Jr."/>
  </r>
  <r>
    <n v="1131"/>
    <s v="F0"/>
    <x v="60"/>
    <s v="H000004487"/>
    <s v="RT Italy Ogsiveo Medical Activities"/>
    <s v="H000004486"/>
    <s v="New"/>
    <x v="0"/>
    <x v="0"/>
    <s v="HC"/>
    <m/>
    <m/>
    <s v="Henry Ifurung Jr."/>
  </r>
  <r>
    <n v="1132"/>
    <s v="F0"/>
    <x v="60"/>
    <s v="H000004488"/>
    <s v="RT Italy Ezmekly Medical Activities"/>
    <s v="H000004486"/>
    <s v="New"/>
    <x v="0"/>
    <x v="0"/>
    <s v="HC"/>
    <m/>
    <m/>
    <s v="Henry Ifurung Jr."/>
  </r>
  <r>
    <n v="1133"/>
    <s v="F0"/>
    <x v="60"/>
    <s v="H000004489"/>
    <s v="RT Italy Local R&amp;D - Studies"/>
    <s v="H000004484"/>
    <s v="New"/>
    <x v="0"/>
    <x v="0"/>
    <s v="HC"/>
    <m/>
    <m/>
    <s v="Henry Ifurung Jr."/>
  </r>
  <r>
    <n v="1134"/>
    <s v="F0"/>
    <x v="60"/>
    <s v="H000004490"/>
    <s v="RT Italy Ogsiveo Local R&amp;D Studies"/>
    <s v="H000004489"/>
    <s v="New"/>
    <x v="0"/>
    <x v="0"/>
    <s v="HC"/>
    <m/>
    <m/>
    <s v="Henry Ifurung Jr."/>
  </r>
  <r>
    <n v="1135"/>
    <s v="F0"/>
    <x v="60"/>
    <s v="H000004491"/>
    <s v="RT Italy Ezmekly Local R&amp;D Studies"/>
    <s v="H000004489"/>
    <s v="New"/>
    <x v="0"/>
    <x v="0"/>
    <s v="HC"/>
    <m/>
    <m/>
    <s v="Henry Ifurung Jr."/>
  </r>
  <r>
    <n v="1136"/>
    <s v="F0"/>
    <x v="60"/>
    <s v="H000004492"/>
    <s v="RT France Commercial"/>
    <s v="H000004407"/>
    <s v="New"/>
    <x v="0"/>
    <x v="0"/>
    <s v="HC"/>
    <m/>
    <m/>
    <s v="Henry Ifurung Jr."/>
  </r>
  <r>
    <n v="1137"/>
    <s v="F0"/>
    <x v="60"/>
    <s v="H000004493"/>
    <s v="RT France Field Force"/>
    <s v="H000004492"/>
    <s v="New"/>
    <x v="0"/>
    <x v="0"/>
    <s v="HC"/>
    <m/>
    <m/>
    <s v="Henry Ifurung Jr."/>
  </r>
  <r>
    <n v="1138"/>
    <s v="F0"/>
    <x v="60"/>
    <s v="H000004494"/>
    <s v="RT France Marketing"/>
    <s v="H000004492"/>
    <s v="New"/>
    <x v="0"/>
    <x v="0"/>
    <s v="HC"/>
    <m/>
    <m/>
    <s v="Henry Ifurung Jr."/>
  </r>
  <r>
    <n v="1139"/>
    <s v="F0"/>
    <x v="60"/>
    <s v="H000004495"/>
    <s v="RT France Sales Promotion"/>
    <s v="H000004492"/>
    <s v="New"/>
    <x v="0"/>
    <x v="0"/>
    <s v="HC"/>
    <m/>
    <m/>
    <s v="Henry Ifurung Jr."/>
  </r>
  <r>
    <n v="1140"/>
    <s v="F0"/>
    <x v="60"/>
    <s v="H000004496"/>
    <s v="RT France Ogsiveo Sales Promotion"/>
    <s v="H000004495"/>
    <s v="New"/>
    <x v="0"/>
    <x v="0"/>
    <s v="HC"/>
    <m/>
    <m/>
    <s v="Henry Ifurung Jr."/>
  </r>
  <r>
    <n v="1141"/>
    <s v="F0"/>
    <x v="60"/>
    <s v="H000004497"/>
    <s v="RT France Ezmekly Sales Promotion"/>
    <s v="H000004495"/>
    <s v="New"/>
    <x v="0"/>
    <x v="0"/>
    <s v="HC"/>
    <m/>
    <m/>
    <s v="Henry Ifurung Jr."/>
  </r>
  <r>
    <n v="1142"/>
    <s v="F0"/>
    <x v="60"/>
    <s v="H000004498"/>
    <s v="RT France - General"/>
    <s v="H000004492"/>
    <s v="New"/>
    <x v="0"/>
    <x v="0"/>
    <s v="HC"/>
    <m/>
    <m/>
    <s v="Henry Ifurung Jr."/>
  </r>
  <r>
    <n v="1143"/>
    <s v="F0"/>
    <x v="60"/>
    <s v="H000004499"/>
    <s v="RT France - General Management"/>
    <s v="H000004498"/>
    <s v="New"/>
    <x v="0"/>
    <x v="0"/>
    <s v="HC"/>
    <m/>
    <m/>
    <s v="Henry Ifurung Jr."/>
  </r>
  <r>
    <n v="1144"/>
    <s v="F0"/>
    <x v="60"/>
    <s v="H000004500"/>
    <s v="RT France - MAP"/>
    <s v="H000004498"/>
    <s v="New"/>
    <x v="0"/>
    <x v="0"/>
    <s v="HC"/>
    <m/>
    <m/>
    <s v="Henry Ifurung Jr."/>
  </r>
  <r>
    <n v="1145"/>
    <s v="F0"/>
    <x v="60"/>
    <s v="H000004501"/>
    <s v="RT France - GAP"/>
    <s v="H000004498"/>
    <s v="New"/>
    <x v="0"/>
    <x v="0"/>
    <s v="HC"/>
    <m/>
    <m/>
    <s v="Henry Ifurung Jr."/>
  </r>
  <r>
    <n v="1146"/>
    <s v="F0"/>
    <x v="60"/>
    <s v="H000004502"/>
    <s v="RT France - Business Ops"/>
    <s v="H000004498"/>
    <s v="New"/>
    <x v="0"/>
    <x v="0"/>
    <s v="HC"/>
    <m/>
    <m/>
    <s v="Henry Ifurung Jr."/>
  </r>
  <r>
    <n v="1147"/>
    <s v="F0"/>
    <x v="60"/>
    <s v="H000004503"/>
    <s v="RT France - Other Operating Expense"/>
    <s v="H000004498"/>
    <s v="New"/>
    <x v="0"/>
    <x v="0"/>
    <s v="HC"/>
    <m/>
    <m/>
    <s v="Henry Ifurung Jr."/>
  </r>
  <r>
    <n v="1148"/>
    <s v="F0"/>
    <x v="60"/>
    <s v="H000004504"/>
    <s v="RT France Medical &amp; local R&amp;D"/>
    <s v="H000004409"/>
    <s v="New"/>
    <x v="0"/>
    <x v="0"/>
    <s v="HC"/>
    <m/>
    <m/>
    <s v="Henry Ifurung Jr."/>
  </r>
  <r>
    <n v="1149"/>
    <s v="F0"/>
    <x v="60"/>
    <s v="H000004505"/>
    <s v="RT France - Medical cost center"/>
    <s v="H000004504"/>
    <s v="New"/>
    <x v="0"/>
    <x v="0"/>
    <s v="HC"/>
    <m/>
    <m/>
    <s v="Henry Ifurung Jr."/>
  </r>
  <r>
    <n v="1150"/>
    <s v="F0"/>
    <x v="60"/>
    <s v="H000004506"/>
    <s v="RT France - Medical Non-R&amp;D Activities"/>
    <s v="H000004504"/>
    <s v="New"/>
    <x v="0"/>
    <x v="0"/>
    <s v="HC"/>
    <m/>
    <m/>
    <s v="Henry Ifurung Jr."/>
  </r>
  <r>
    <n v="1151"/>
    <s v="F0"/>
    <x v="60"/>
    <s v="H000004507"/>
    <s v="RT France Ogsiveo Medical Activities"/>
    <s v="H000004506"/>
    <s v="New"/>
    <x v="0"/>
    <x v="0"/>
    <s v="HC"/>
    <m/>
    <m/>
    <s v="Henry Ifurung Jr."/>
  </r>
  <r>
    <n v="1152"/>
    <s v="F0"/>
    <x v="60"/>
    <s v="H000004508"/>
    <s v="RT France Ezmekly Medical Activities"/>
    <s v="H000004506"/>
    <s v="New"/>
    <x v="0"/>
    <x v="0"/>
    <s v="HC"/>
    <m/>
    <m/>
    <s v="Henry Ifurung Jr."/>
  </r>
  <r>
    <n v="1153"/>
    <s v="F0"/>
    <x v="60"/>
    <s v="H000004509"/>
    <s v="RT France Local R&amp;D - Studies"/>
    <s v="H000004504"/>
    <s v="New"/>
    <x v="0"/>
    <x v="0"/>
    <s v="HC"/>
    <m/>
    <m/>
    <s v="Henry Ifurung Jr."/>
  </r>
  <r>
    <n v="1154"/>
    <s v="F0"/>
    <x v="60"/>
    <s v="H000004510"/>
    <s v="RT France Ogsiveo Local R&amp;D Studies"/>
    <s v="H000004509"/>
    <s v="New"/>
    <x v="0"/>
    <x v="0"/>
    <s v="HC"/>
    <m/>
    <m/>
    <s v="Henry Ifurung Jr."/>
  </r>
  <r>
    <n v="1155"/>
    <s v="F0"/>
    <x v="60"/>
    <s v="H000004511"/>
    <s v="RT France Ezmekly Local R&amp;D Studies"/>
    <s v="H000004509"/>
    <s v="New"/>
    <x v="0"/>
    <x v="0"/>
    <s v="HC"/>
    <m/>
    <m/>
    <s v="Henry Ifurung Jr."/>
  </r>
  <r>
    <n v="1156"/>
    <s v="F0"/>
    <x v="60"/>
    <s v="H000004512"/>
    <s v="RT Austria Commercial"/>
    <s v="H000004407"/>
    <s v="New"/>
    <x v="0"/>
    <x v="0"/>
    <s v="HC"/>
    <m/>
    <m/>
    <s v="Henry Ifurung Jr."/>
  </r>
  <r>
    <n v="1157"/>
    <s v="F0"/>
    <x v="60"/>
    <s v="H000004513"/>
    <s v="RT Austria Field Force"/>
    <s v="H000004512"/>
    <s v="New"/>
    <x v="0"/>
    <x v="0"/>
    <s v="HC"/>
    <m/>
    <m/>
    <s v="Henry Ifurung Jr."/>
  </r>
  <r>
    <n v="1158"/>
    <s v="F0"/>
    <x v="60"/>
    <s v="H000004514"/>
    <s v="RT Austria Marketing"/>
    <s v="H000004512"/>
    <s v="New"/>
    <x v="0"/>
    <x v="0"/>
    <s v="HC"/>
    <m/>
    <m/>
    <s v="Henry Ifurung Jr."/>
  </r>
  <r>
    <n v="1159"/>
    <s v="F0"/>
    <x v="60"/>
    <s v="H000004515"/>
    <s v="RT Austria Sales Promotion"/>
    <s v="H000004512"/>
    <s v="New"/>
    <x v="0"/>
    <x v="0"/>
    <s v="HC"/>
    <m/>
    <m/>
    <s v="Henry Ifurung Jr."/>
  </r>
  <r>
    <n v="1160"/>
    <s v="F0"/>
    <x v="60"/>
    <s v="H000004516"/>
    <s v="RT Austria Ogsiveo Sales Promotion"/>
    <s v="H000004515"/>
    <s v="New"/>
    <x v="0"/>
    <x v="0"/>
    <s v="HC"/>
    <m/>
    <m/>
    <s v="Henry Ifurung Jr."/>
  </r>
  <r>
    <n v="1161"/>
    <s v="F0"/>
    <x v="60"/>
    <s v="H000004517"/>
    <s v="RT Austria Ezmekly Sales Promotion"/>
    <s v="H000004515"/>
    <s v="New"/>
    <x v="0"/>
    <x v="0"/>
    <s v="HC"/>
    <m/>
    <m/>
    <s v="Henry Ifurung Jr."/>
  </r>
  <r>
    <n v="1162"/>
    <s v="F0"/>
    <x v="60"/>
    <s v="H000004518"/>
    <s v="RT Austria - General"/>
    <s v="H000004512"/>
    <s v="New"/>
    <x v="0"/>
    <x v="0"/>
    <s v="HC"/>
    <m/>
    <m/>
    <s v="Henry Ifurung Jr."/>
  </r>
  <r>
    <n v="1163"/>
    <s v="F0"/>
    <x v="60"/>
    <s v="H000004519"/>
    <s v="RT Austria - General Management"/>
    <s v="H000004518"/>
    <s v="New"/>
    <x v="0"/>
    <x v="0"/>
    <s v="HC"/>
    <m/>
    <m/>
    <s v="Henry Ifurung Jr."/>
  </r>
  <r>
    <n v="1164"/>
    <s v="F0"/>
    <x v="60"/>
    <s v="H000004520"/>
    <s v="RT Austria - MAP"/>
    <s v="H000004518"/>
    <s v="New"/>
    <x v="0"/>
    <x v="0"/>
    <s v="HC"/>
    <m/>
    <m/>
    <s v="Henry Ifurung Jr."/>
  </r>
  <r>
    <n v="1165"/>
    <s v="F0"/>
    <x v="60"/>
    <s v="H000004521"/>
    <s v="RT Austria - GAP"/>
    <s v="H000004518"/>
    <s v="New"/>
    <x v="0"/>
    <x v="0"/>
    <s v="HC"/>
    <m/>
    <m/>
    <s v="Henry Ifurung Jr."/>
  </r>
  <r>
    <n v="1166"/>
    <s v="F0"/>
    <x v="60"/>
    <s v="H000004522"/>
    <s v="RT Austria - Business Ops"/>
    <s v="H000004518"/>
    <s v="New"/>
    <x v="0"/>
    <x v="0"/>
    <s v="HC"/>
    <m/>
    <m/>
    <s v="Henry Ifurung Jr."/>
  </r>
  <r>
    <n v="1167"/>
    <s v="F0"/>
    <x v="60"/>
    <s v="H000004523"/>
    <s v="RT Austria - Other Operating Expense"/>
    <s v="H000004518"/>
    <s v="New"/>
    <x v="0"/>
    <x v="0"/>
    <s v="HC"/>
    <m/>
    <m/>
    <s v="Henry Ifurung Jr."/>
  </r>
  <r>
    <n v="1168"/>
    <s v="F0"/>
    <x v="60"/>
    <s v="H000004524"/>
    <s v="RT Austria Medical &amp; local R&amp;D"/>
    <s v="H000004409"/>
    <s v="New"/>
    <x v="0"/>
    <x v="0"/>
    <s v="HC"/>
    <m/>
    <m/>
    <s v="Henry Ifurung Jr."/>
  </r>
  <r>
    <n v="1169"/>
    <s v="F0"/>
    <x v="60"/>
    <s v="H000004525"/>
    <s v="RT Austria - Medical cost center"/>
    <s v="H000004524"/>
    <s v="New"/>
    <x v="0"/>
    <x v="0"/>
    <s v="HC"/>
    <m/>
    <m/>
    <s v="Henry Ifurung Jr."/>
  </r>
  <r>
    <n v="1170"/>
    <s v="F0"/>
    <x v="60"/>
    <s v="H000004526"/>
    <s v="RT Austria - Medical Non-R&amp;D Activities"/>
    <s v="H000004524"/>
    <s v="New"/>
    <x v="0"/>
    <x v="0"/>
    <s v="HC"/>
    <m/>
    <m/>
    <s v="Henry Ifurung Jr."/>
  </r>
  <r>
    <n v="1171"/>
    <s v="F0"/>
    <x v="60"/>
    <s v="H000004527"/>
    <s v="RT Austria Ogsiveo Medical Activities"/>
    <s v="H000004526"/>
    <s v="New"/>
    <x v="0"/>
    <x v="0"/>
    <s v="HC"/>
    <m/>
    <m/>
    <s v="Henry Ifurung Jr."/>
  </r>
  <r>
    <n v="1172"/>
    <s v="F0"/>
    <x v="60"/>
    <s v="H000004528"/>
    <s v="RT Austria Ezmekly Medical Activities"/>
    <s v="H000004526"/>
    <s v="New"/>
    <x v="0"/>
    <x v="0"/>
    <s v="HC"/>
    <m/>
    <m/>
    <s v="Henry Ifurung Jr."/>
  </r>
  <r>
    <n v="1173"/>
    <s v="F0"/>
    <x v="60"/>
    <s v="H000004529"/>
    <s v="RT Austria Local R&amp;D - Studies"/>
    <s v="H000004524"/>
    <s v="New"/>
    <x v="0"/>
    <x v="0"/>
    <s v="HC"/>
    <m/>
    <m/>
    <s v="Henry Ifurung Jr."/>
  </r>
  <r>
    <n v="1174"/>
    <s v="F0"/>
    <x v="60"/>
    <s v="H000004530"/>
    <s v="RT Austria Ogsiveo Local R&amp;D Studies"/>
    <s v="H000004529"/>
    <s v="New"/>
    <x v="0"/>
    <x v="0"/>
    <s v="HC"/>
    <m/>
    <m/>
    <s v="Henry Ifurung Jr."/>
  </r>
  <r>
    <n v="1175"/>
    <s v="F0"/>
    <x v="60"/>
    <s v="H000004531"/>
    <s v="RT Austria Ezmekly Local R&amp;D Studies"/>
    <s v="H000004529"/>
    <s v="New"/>
    <x v="0"/>
    <x v="0"/>
    <s v="HC"/>
    <m/>
    <m/>
    <s v="Henry Ifurung Jr."/>
  </r>
  <r>
    <n v="1176"/>
    <s v="F0"/>
    <x v="60"/>
    <s v="H000004532"/>
    <s v="RT Switzerland Commercial"/>
    <s v="H000004407"/>
    <s v="New"/>
    <x v="0"/>
    <x v="0"/>
    <s v="HC"/>
    <m/>
    <m/>
    <s v="Henry Ifurung Jr."/>
  </r>
  <r>
    <n v="1177"/>
    <s v="F0"/>
    <x v="60"/>
    <s v="H000004533"/>
    <s v="RT Switzerland Field Force"/>
    <s v="H000004532"/>
    <s v="New"/>
    <x v="0"/>
    <x v="0"/>
    <s v="HC"/>
    <m/>
    <m/>
    <s v="Henry Ifurung Jr."/>
  </r>
  <r>
    <n v="1178"/>
    <s v="F0"/>
    <x v="60"/>
    <s v="H000004534"/>
    <s v="RT Switzerland Marketing"/>
    <s v="H000004532"/>
    <s v="New"/>
    <x v="0"/>
    <x v="0"/>
    <s v="HC"/>
    <m/>
    <m/>
    <s v="Henry Ifurung Jr."/>
  </r>
  <r>
    <n v="1179"/>
    <s v="F0"/>
    <x v="60"/>
    <s v="H000004535"/>
    <s v="RT Switzerland Sales Promotion"/>
    <s v="H000004532"/>
    <s v="New"/>
    <x v="0"/>
    <x v="0"/>
    <s v="HC"/>
    <m/>
    <m/>
    <s v="Henry Ifurung Jr."/>
  </r>
  <r>
    <n v="1180"/>
    <s v="F0"/>
    <x v="60"/>
    <s v="H000004536"/>
    <s v="RT Switzerland Ogsiveo Sales Promotion"/>
    <s v="H000004535"/>
    <s v="New"/>
    <x v="0"/>
    <x v="0"/>
    <s v="HC"/>
    <m/>
    <m/>
    <s v="Henry Ifurung Jr."/>
  </r>
  <r>
    <n v="1181"/>
    <s v="F0"/>
    <x v="60"/>
    <s v="H000004537"/>
    <s v="RT Switzerland Ezmekly Sales Promotion"/>
    <s v="H000004535"/>
    <s v="New"/>
    <x v="0"/>
    <x v="0"/>
    <s v="HC"/>
    <m/>
    <m/>
    <s v="Henry Ifurung Jr."/>
  </r>
  <r>
    <n v="1182"/>
    <s v="F0"/>
    <x v="60"/>
    <s v="H000004538"/>
    <s v="RT Switzerland - General"/>
    <s v="H000004532"/>
    <s v="New"/>
    <x v="0"/>
    <x v="0"/>
    <s v="HC"/>
    <m/>
    <m/>
    <s v="Henry Ifurung Jr."/>
  </r>
  <r>
    <n v="1183"/>
    <s v="F0"/>
    <x v="60"/>
    <s v="H000004539"/>
    <s v="RT Switzerland - General Management"/>
    <s v="H000004538"/>
    <s v="New"/>
    <x v="0"/>
    <x v="0"/>
    <s v="HC"/>
    <m/>
    <m/>
    <s v="Henry Ifurung Jr."/>
  </r>
  <r>
    <n v="1184"/>
    <s v="F0"/>
    <x v="60"/>
    <s v="H000004540"/>
    <s v="RT Switzerland - MAP"/>
    <s v="H000004538"/>
    <s v="New"/>
    <x v="0"/>
    <x v="0"/>
    <s v="HC"/>
    <m/>
    <m/>
    <s v="Henry Ifurung Jr."/>
  </r>
  <r>
    <n v="1185"/>
    <s v="F0"/>
    <x v="60"/>
    <s v="H000004541"/>
    <s v="RT Switzerland - GAP"/>
    <s v="H000004538"/>
    <s v="New"/>
    <x v="0"/>
    <x v="0"/>
    <s v="HC"/>
    <m/>
    <m/>
    <s v="Henry Ifurung Jr."/>
  </r>
  <r>
    <n v="1186"/>
    <s v="F0"/>
    <x v="60"/>
    <s v="H000004542"/>
    <s v="RT Switzerland - Business Ops"/>
    <s v="H000004538"/>
    <s v="New"/>
    <x v="0"/>
    <x v="0"/>
    <s v="HC"/>
    <m/>
    <m/>
    <s v="Henry Ifurung Jr."/>
  </r>
  <r>
    <n v="1187"/>
    <s v="F0"/>
    <x v="60"/>
    <s v="H000004543"/>
    <s v="RT Switzerland - Other Operating Expense"/>
    <s v="H000004538"/>
    <s v="New"/>
    <x v="0"/>
    <x v="0"/>
    <s v="HC"/>
    <m/>
    <m/>
    <s v="Henry Ifurung Jr."/>
  </r>
  <r>
    <n v="1188"/>
    <s v="F0"/>
    <x v="60"/>
    <s v="H000004544"/>
    <s v="RT Switzerland Medical &amp; local R&amp;D"/>
    <s v="H000004409"/>
    <s v="New"/>
    <x v="0"/>
    <x v="0"/>
    <s v="HC"/>
    <m/>
    <m/>
    <s v="Henry Ifurung Jr."/>
  </r>
  <r>
    <n v="1189"/>
    <s v="F0"/>
    <x v="60"/>
    <s v="H000004545"/>
    <s v="RT Switzerland - Medical cost center"/>
    <s v="H000004544"/>
    <s v="New"/>
    <x v="0"/>
    <x v="0"/>
    <s v="HC"/>
    <m/>
    <m/>
    <s v="Henry Ifurung Jr."/>
  </r>
  <r>
    <n v="1190"/>
    <s v="F0"/>
    <x v="60"/>
    <s v="H000004546"/>
    <s v="RT Switzerland - Medical Non-R&amp;D Act"/>
    <s v="H000004544"/>
    <s v="New"/>
    <x v="0"/>
    <x v="0"/>
    <s v="HC"/>
    <m/>
    <m/>
    <s v="Henry Ifurung Jr."/>
  </r>
  <r>
    <n v="1191"/>
    <s v="F0"/>
    <x v="60"/>
    <s v="H000004547"/>
    <s v="RT Switzerland Ogsiveo Medical Act"/>
    <s v="H000004546"/>
    <s v="New"/>
    <x v="0"/>
    <x v="0"/>
    <s v="HC"/>
    <m/>
    <m/>
    <s v="Henry Ifurung Jr."/>
  </r>
  <r>
    <n v="1192"/>
    <s v="F0"/>
    <x v="60"/>
    <s v="H000004548"/>
    <s v="RT Switzerland Ezmekly Medical Act"/>
    <s v="H000004546"/>
    <s v="New"/>
    <x v="0"/>
    <x v="0"/>
    <s v="HC"/>
    <m/>
    <m/>
    <s v="Henry Ifurung Jr."/>
  </r>
  <r>
    <n v="1193"/>
    <s v="F0"/>
    <x v="60"/>
    <s v="H000004549"/>
    <s v="RT Switzerland Local R&amp;D - Studies"/>
    <s v="H000004544"/>
    <s v="New"/>
    <x v="0"/>
    <x v="0"/>
    <s v="HC"/>
    <m/>
    <m/>
    <s v="Henry Ifurung Jr."/>
  </r>
  <r>
    <n v="1194"/>
    <s v="F0"/>
    <x v="60"/>
    <s v="H000004550"/>
    <s v="RT Switzerland Ogsiveo Local R&amp;D Studies"/>
    <s v="H000004549"/>
    <s v="New"/>
    <x v="0"/>
    <x v="0"/>
    <s v="HC"/>
    <m/>
    <m/>
    <s v="Henry Ifurung Jr."/>
  </r>
  <r>
    <n v="1195"/>
    <s v="F0"/>
    <x v="60"/>
    <s v="H000004551"/>
    <s v="RT Switzerland Ezmekly Local R&amp;D Studies"/>
    <s v="H000004549"/>
    <s v="New"/>
    <x v="0"/>
    <x v="0"/>
    <s v="HC"/>
    <m/>
    <m/>
    <s v="Henry Ifurung Jr."/>
  </r>
  <r>
    <n v="1196"/>
    <s v="F0"/>
    <x v="60"/>
    <s v="H000004552"/>
    <s v="RT Portugal Commercial"/>
    <s v="H000004407"/>
    <s v="New"/>
    <x v="0"/>
    <x v="0"/>
    <s v="HC"/>
    <m/>
    <m/>
    <s v="Henry Ifurung Jr."/>
  </r>
  <r>
    <n v="1197"/>
    <s v="F0"/>
    <x v="60"/>
    <s v="H000004553"/>
    <s v="RT Portugal Field Force"/>
    <s v="H000004552"/>
    <s v="New"/>
    <x v="0"/>
    <x v="0"/>
    <s v="HC"/>
    <m/>
    <m/>
    <s v="Henry Ifurung Jr."/>
  </r>
  <r>
    <n v="1198"/>
    <s v="F0"/>
    <x v="60"/>
    <s v="H000004554"/>
    <s v="RT Portugal Marketing"/>
    <s v="H000004552"/>
    <s v="New"/>
    <x v="0"/>
    <x v="0"/>
    <s v="HC"/>
    <m/>
    <m/>
    <s v="Henry Ifurung Jr."/>
  </r>
  <r>
    <n v="1199"/>
    <s v="F0"/>
    <x v="60"/>
    <s v="H000004555"/>
    <s v="RT Portugal Sales Promotion"/>
    <s v="H000004552"/>
    <s v="New"/>
    <x v="0"/>
    <x v="0"/>
    <s v="HC"/>
    <m/>
    <m/>
    <s v="Henry Ifurung Jr."/>
  </r>
  <r>
    <n v="1200"/>
    <s v="F0"/>
    <x v="60"/>
    <s v="H000004556"/>
    <s v="RT Portugal Ogsiveo Sales Promotion"/>
    <s v="H000004555"/>
    <s v="New"/>
    <x v="0"/>
    <x v="0"/>
    <s v="HC"/>
    <m/>
    <m/>
    <s v="Henry Ifurung Jr."/>
  </r>
  <r>
    <n v="1201"/>
    <s v="F0"/>
    <x v="60"/>
    <s v="H000004557"/>
    <s v="RT Portugal Ezmekly Sales Promotion"/>
    <s v="H000004555"/>
    <s v="New"/>
    <x v="0"/>
    <x v="0"/>
    <s v="HC"/>
    <m/>
    <m/>
    <s v="Henry Ifurung Jr."/>
  </r>
  <r>
    <n v="1202"/>
    <s v="F0"/>
    <x v="60"/>
    <s v="H000004558"/>
    <s v="RT Portugal - General"/>
    <s v="H000004552"/>
    <s v="New"/>
    <x v="0"/>
    <x v="0"/>
    <s v="HC"/>
    <m/>
    <m/>
    <s v="Henry Ifurung Jr."/>
  </r>
  <r>
    <n v="1203"/>
    <s v="F0"/>
    <x v="60"/>
    <s v="H000004559"/>
    <s v="RT Portugal - General Management"/>
    <s v="H000004558"/>
    <s v="New"/>
    <x v="0"/>
    <x v="0"/>
    <s v="HC"/>
    <m/>
    <m/>
    <s v="Henry Ifurung Jr."/>
  </r>
  <r>
    <n v="1204"/>
    <s v="F0"/>
    <x v="60"/>
    <s v="H000004560"/>
    <s v="RT Portugal - MAP"/>
    <s v="H000004558"/>
    <s v="New"/>
    <x v="0"/>
    <x v="0"/>
    <s v="HC"/>
    <m/>
    <m/>
    <s v="Henry Ifurung Jr."/>
  </r>
  <r>
    <n v="1205"/>
    <s v="F0"/>
    <x v="60"/>
    <s v="H000004561"/>
    <s v="RT Portugal - GAP"/>
    <s v="H000004558"/>
    <s v="New"/>
    <x v="0"/>
    <x v="0"/>
    <s v="HC"/>
    <m/>
    <m/>
    <s v="Henry Ifurung Jr."/>
  </r>
  <r>
    <n v="1206"/>
    <s v="F0"/>
    <x v="60"/>
    <s v="H000004562"/>
    <s v="RT Portugal - Business Ops"/>
    <s v="H000004558"/>
    <s v="New"/>
    <x v="0"/>
    <x v="0"/>
    <s v="HC"/>
    <m/>
    <m/>
    <s v="Henry Ifurung Jr."/>
  </r>
  <r>
    <n v="1207"/>
    <s v="F0"/>
    <x v="60"/>
    <s v="H000004563"/>
    <s v="RT Portugal - Other Operating Expense"/>
    <s v="H000004558"/>
    <s v="New"/>
    <x v="0"/>
    <x v="0"/>
    <s v="HC"/>
    <m/>
    <m/>
    <s v="Henry Ifurung Jr."/>
  </r>
  <r>
    <n v="1208"/>
    <s v="F0"/>
    <x v="60"/>
    <s v="H000004564"/>
    <s v="RT Portugal Medical &amp; local R&amp;D"/>
    <s v="H000004409"/>
    <s v="New"/>
    <x v="0"/>
    <x v="0"/>
    <s v="HC"/>
    <m/>
    <m/>
    <s v="Henry Ifurung Jr."/>
  </r>
  <r>
    <n v="1209"/>
    <s v="F0"/>
    <x v="60"/>
    <s v="H000004565"/>
    <s v="RT Portugal - Medical cost center"/>
    <s v="H000004564"/>
    <s v="New"/>
    <x v="0"/>
    <x v="0"/>
    <s v="HC"/>
    <m/>
    <m/>
    <s v="Henry Ifurung Jr."/>
  </r>
  <r>
    <n v="1210"/>
    <s v="F0"/>
    <x v="60"/>
    <s v="H000004566"/>
    <s v="RT Portugal - Medical Non-R&amp;D Activities"/>
    <s v="H000004564"/>
    <s v="New"/>
    <x v="0"/>
    <x v="0"/>
    <s v="HC"/>
    <m/>
    <m/>
    <s v="Henry Ifurung Jr."/>
  </r>
  <r>
    <n v="1211"/>
    <s v="F0"/>
    <x v="60"/>
    <s v="H000004567"/>
    <s v="RT Portugal Ogsiveo Medical Activities"/>
    <s v="H000004566"/>
    <s v="New"/>
    <x v="0"/>
    <x v="0"/>
    <s v="HC"/>
    <m/>
    <m/>
    <s v="Henry Ifurung Jr."/>
  </r>
  <r>
    <n v="1212"/>
    <s v="F0"/>
    <x v="60"/>
    <s v="H000004568"/>
    <s v="RT Portugal Ezmekly Medical Activities"/>
    <s v="H000004566"/>
    <s v="New"/>
    <x v="0"/>
    <x v="0"/>
    <s v="HC"/>
    <m/>
    <m/>
    <s v="Henry Ifurung Jr."/>
  </r>
  <r>
    <n v="1213"/>
    <s v="F0"/>
    <x v="60"/>
    <s v="H000004569"/>
    <s v="RT Portugal Local R&amp;D - Studies"/>
    <s v="H000004564"/>
    <s v="New"/>
    <x v="0"/>
    <x v="0"/>
    <s v="HC"/>
    <m/>
    <m/>
    <s v="Henry Ifurung Jr."/>
  </r>
  <r>
    <n v="1214"/>
    <s v="F0"/>
    <x v="60"/>
    <s v="H000004570"/>
    <s v="RT Portugal Ogsiveo Local R&amp;D Studies"/>
    <s v="H000004569"/>
    <s v="New"/>
    <x v="0"/>
    <x v="0"/>
    <s v="HC"/>
    <m/>
    <m/>
    <s v="Henry Ifurung Jr."/>
  </r>
  <r>
    <n v="1215"/>
    <s v="F0"/>
    <x v="60"/>
    <s v="H000004571"/>
    <s v="RT Portugal Ezmekly Local R&amp;D Studies"/>
    <s v="H000004569"/>
    <s v="New"/>
    <x v="0"/>
    <x v="0"/>
    <s v="HC"/>
    <m/>
    <m/>
    <s v="Henry Ifurung Jr."/>
  </r>
  <r>
    <n v="1216"/>
    <s v="F0"/>
    <x v="60"/>
    <s v="H000004572"/>
    <s v="RT Israel Commercial"/>
    <s v="H000004407"/>
    <s v="New"/>
    <x v="0"/>
    <x v="0"/>
    <s v="HC"/>
    <m/>
    <m/>
    <s v="Henry Ifurung Jr."/>
  </r>
  <r>
    <n v="1217"/>
    <s v="F0"/>
    <x v="60"/>
    <s v="H000004573"/>
    <s v="RT Israel Field Force"/>
    <s v="H000004572"/>
    <s v="New"/>
    <x v="0"/>
    <x v="0"/>
    <s v="HC"/>
    <m/>
    <m/>
    <s v="Henry Ifurung Jr."/>
  </r>
  <r>
    <n v="1218"/>
    <s v="F0"/>
    <x v="60"/>
    <s v="H000004574"/>
    <s v="RT Israel Marketing"/>
    <s v="H000004572"/>
    <s v="New"/>
    <x v="0"/>
    <x v="0"/>
    <s v="HC"/>
    <m/>
    <m/>
    <s v="Henry Ifurung Jr."/>
  </r>
  <r>
    <n v="1219"/>
    <s v="F0"/>
    <x v="60"/>
    <s v="H000004575"/>
    <s v="RT Israel Sales Promotion"/>
    <s v="H000004572"/>
    <s v="New"/>
    <x v="0"/>
    <x v="0"/>
    <s v="HC"/>
    <m/>
    <m/>
    <s v="Henry Ifurung Jr."/>
  </r>
  <r>
    <n v="1220"/>
    <s v="F0"/>
    <x v="60"/>
    <s v="H000004576"/>
    <s v="RT Israel Ogsiveo Sales Promotion"/>
    <s v="H000004575"/>
    <s v="New"/>
    <x v="0"/>
    <x v="0"/>
    <s v="HC"/>
    <m/>
    <m/>
    <s v="Henry Ifurung Jr."/>
  </r>
  <r>
    <n v="1221"/>
    <s v="F0"/>
    <x v="60"/>
    <s v="H000004577"/>
    <s v="RT Israel Ezmekly Sales Promotion"/>
    <s v="H000004575"/>
    <s v="New"/>
    <x v="0"/>
    <x v="0"/>
    <s v="HC"/>
    <m/>
    <m/>
    <s v="Henry Ifurung Jr."/>
  </r>
  <r>
    <n v="1222"/>
    <s v="F0"/>
    <x v="60"/>
    <s v="H000004578"/>
    <s v="RT Israel - General"/>
    <s v="H000004572"/>
    <s v="New"/>
    <x v="0"/>
    <x v="0"/>
    <s v="HC"/>
    <m/>
    <m/>
    <s v="Henry Ifurung Jr."/>
  </r>
  <r>
    <n v="1223"/>
    <s v="F0"/>
    <x v="60"/>
    <s v="H000004579"/>
    <s v="RT Israel - General Management"/>
    <s v="H000004578"/>
    <s v="New"/>
    <x v="0"/>
    <x v="0"/>
    <s v="HC"/>
    <m/>
    <m/>
    <s v="Henry Ifurung Jr."/>
  </r>
  <r>
    <n v="1224"/>
    <s v="F0"/>
    <x v="60"/>
    <s v="H000004580"/>
    <s v="RT Israel - MAP"/>
    <s v="H000004578"/>
    <s v="New"/>
    <x v="0"/>
    <x v="0"/>
    <s v="HC"/>
    <m/>
    <m/>
    <s v="Henry Ifurung Jr."/>
  </r>
  <r>
    <n v="1225"/>
    <s v="F0"/>
    <x v="60"/>
    <s v="H000004581"/>
    <s v="RT Israel - GAP"/>
    <s v="H000004578"/>
    <s v="New"/>
    <x v="0"/>
    <x v="0"/>
    <s v="HC"/>
    <m/>
    <m/>
    <s v="Henry Ifurung Jr."/>
  </r>
  <r>
    <n v="1226"/>
    <s v="F0"/>
    <x v="60"/>
    <s v="H000004582"/>
    <s v="RT Israel - Business Ops"/>
    <s v="H000004578"/>
    <s v="New"/>
    <x v="0"/>
    <x v="0"/>
    <s v="HC"/>
    <m/>
    <m/>
    <s v="Henry Ifurung Jr."/>
  </r>
  <r>
    <n v="1227"/>
    <s v="F0"/>
    <x v="60"/>
    <s v="H000004583"/>
    <s v="RT Israel - Other Operating Expense"/>
    <s v="H000004578"/>
    <s v="New"/>
    <x v="0"/>
    <x v="0"/>
    <s v="HC"/>
    <m/>
    <m/>
    <s v="Henry Ifurung Jr."/>
  </r>
  <r>
    <n v="1228"/>
    <s v="F0"/>
    <x v="60"/>
    <s v="H000004584"/>
    <s v="RT Israel Medical &amp; local R&amp;D"/>
    <s v="H000004409"/>
    <s v="New"/>
    <x v="0"/>
    <x v="0"/>
    <s v="HC"/>
    <m/>
    <m/>
    <s v="Henry Ifurung Jr."/>
  </r>
  <r>
    <n v="1229"/>
    <s v="F0"/>
    <x v="60"/>
    <s v="H000004585"/>
    <s v="RT Israel - Medical cost center"/>
    <s v="H000004584"/>
    <s v="New"/>
    <x v="0"/>
    <x v="0"/>
    <s v="HC"/>
    <m/>
    <m/>
    <s v="Henry Ifurung Jr."/>
  </r>
  <r>
    <n v="1230"/>
    <s v="F0"/>
    <x v="60"/>
    <s v="H000004586"/>
    <s v="RT Israel - Medical Non-R&amp;D Activities"/>
    <s v="H000004584"/>
    <s v="New"/>
    <x v="0"/>
    <x v="0"/>
    <s v="HC"/>
    <m/>
    <m/>
    <s v="Henry Ifurung Jr."/>
  </r>
  <r>
    <n v="1231"/>
    <s v="F0"/>
    <x v="60"/>
    <s v="H000004587"/>
    <s v="RT Israel Ogsiveo Medical Activities"/>
    <s v="H000004586"/>
    <s v="New"/>
    <x v="0"/>
    <x v="0"/>
    <s v="HC"/>
    <m/>
    <m/>
    <s v="Henry Ifurung Jr."/>
  </r>
  <r>
    <n v="1232"/>
    <s v="F0"/>
    <x v="60"/>
    <s v="H000004588"/>
    <s v="RT Israel Ezmekly Medical Activities"/>
    <s v="H000004586"/>
    <s v="New"/>
    <x v="0"/>
    <x v="0"/>
    <s v="HC"/>
    <m/>
    <m/>
    <s v="Henry Ifurung Jr."/>
  </r>
  <r>
    <n v="1233"/>
    <s v="F0"/>
    <x v="60"/>
    <s v="H000004589"/>
    <s v="RT Israel Local R&amp;D - Studies"/>
    <s v="H000004584"/>
    <s v="New"/>
    <x v="0"/>
    <x v="0"/>
    <s v="HC"/>
    <m/>
    <m/>
    <s v="Henry Ifurung Jr."/>
  </r>
  <r>
    <n v="1234"/>
    <s v="F0"/>
    <x v="60"/>
    <s v="H000004590"/>
    <s v="RT Israel Ogsiveo Local R&amp;D Studies"/>
    <s v="H000004589"/>
    <s v="New"/>
    <x v="0"/>
    <x v="0"/>
    <s v="HC"/>
    <m/>
    <m/>
    <s v="Henry Ifurung Jr."/>
  </r>
  <r>
    <n v="1235"/>
    <s v="F0"/>
    <x v="60"/>
    <s v="H000004591"/>
    <s v="RT Israel Ezmekly Local R&amp;D Studies"/>
    <s v="H000004589"/>
    <s v="New"/>
    <x v="0"/>
    <x v="0"/>
    <s v="HC"/>
    <m/>
    <m/>
    <s v="Henry Ifurung Jr."/>
  </r>
  <r>
    <n v="1236"/>
    <s v="F0"/>
    <x v="60"/>
    <s v="H000004592"/>
    <s v="RT Poland Commercial"/>
    <s v="H000004407"/>
    <s v="New"/>
    <x v="0"/>
    <x v="0"/>
    <s v="HC"/>
    <m/>
    <m/>
    <s v="Henry Ifurung Jr."/>
  </r>
  <r>
    <n v="1237"/>
    <s v="F0"/>
    <x v="60"/>
    <s v="H000004593"/>
    <s v="RT Poland Field Force"/>
    <s v="H000004592"/>
    <s v="New"/>
    <x v="0"/>
    <x v="0"/>
    <s v="HC"/>
    <m/>
    <m/>
    <s v="Henry Ifurung Jr."/>
  </r>
  <r>
    <n v="1238"/>
    <s v="F0"/>
    <x v="60"/>
    <s v="H000004594"/>
    <s v="RT Poland Marketing"/>
    <s v="H000004592"/>
    <s v="New"/>
    <x v="0"/>
    <x v="0"/>
    <s v="HC"/>
    <m/>
    <m/>
    <s v="Henry Ifurung Jr."/>
  </r>
  <r>
    <n v="1239"/>
    <s v="F0"/>
    <x v="60"/>
    <s v="H000004595"/>
    <s v="RT Poland Sales Promotion"/>
    <s v="H000004592"/>
    <s v="New"/>
    <x v="0"/>
    <x v="0"/>
    <s v="HC"/>
    <m/>
    <m/>
    <s v="Henry Ifurung Jr."/>
  </r>
  <r>
    <n v="1240"/>
    <s v="F0"/>
    <x v="60"/>
    <s v="H000004596"/>
    <s v="RT Poland Ogsiveo Sales Promotion"/>
    <s v="H000004595"/>
    <s v="New"/>
    <x v="0"/>
    <x v="0"/>
    <s v="HC"/>
    <m/>
    <m/>
    <s v="Henry Ifurung Jr."/>
  </r>
  <r>
    <n v="1241"/>
    <s v="F0"/>
    <x v="60"/>
    <s v="H000004597"/>
    <s v="RT Poland Ezmekly Sales Promotion"/>
    <s v="H000004595"/>
    <s v="New"/>
    <x v="0"/>
    <x v="0"/>
    <s v="HC"/>
    <m/>
    <m/>
    <s v="Henry Ifurung Jr."/>
  </r>
  <r>
    <n v="1242"/>
    <s v="F0"/>
    <x v="60"/>
    <s v="H000004598"/>
    <s v="RT Poland - General"/>
    <s v="H000004592"/>
    <s v="New"/>
    <x v="0"/>
    <x v="0"/>
    <s v="HC"/>
    <m/>
    <m/>
    <s v="Henry Ifurung Jr."/>
  </r>
  <r>
    <n v="1243"/>
    <s v="F0"/>
    <x v="60"/>
    <s v="H000004599"/>
    <s v="RT Poland - General Management"/>
    <s v="H000004598"/>
    <s v="New"/>
    <x v="0"/>
    <x v="0"/>
    <s v="HC"/>
    <m/>
    <m/>
    <s v="Henry Ifurung Jr."/>
  </r>
  <r>
    <n v="1244"/>
    <s v="F0"/>
    <x v="60"/>
    <s v="H000004600"/>
    <s v="RT Poland - MAP"/>
    <s v="H000004598"/>
    <s v="New"/>
    <x v="0"/>
    <x v="0"/>
    <s v="HC"/>
    <m/>
    <m/>
    <s v="Henry Ifurung Jr."/>
  </r>
  <r>
    <n v="1245"/>
    <s v="F0"/>
    <x v="60"/>
    <s v="H000004601"/>
    <s v="RT Poland - GAP"/>
    <s v="H000004598"/>
    <s v="New"/>
    <x v="0"/>
    <x v="0"/>
    <s v="HC"/>
    <m/>
    <m/>
    <s v="Henry Ifurung Jr."/>
  </r>
  <r>
    <n v="1246"/>
    <s v="F0"/>
    <x v="60"/>
    <s v="H000004602"/>
    <s v="RT Poland - Business Ops"/>
    <s v="H000004598"/>
    <s v="New"/>
    <x v="0"/>
    <x v="0"/>
    <s v="HC"/>
    <m/>
    <m/>
    <s v="Henry Ifurung Jr."/>
  </r>
  <r>
    <n v="1247"/>
    <s v="F0"/>
    <x v="60"/>
    <s v="H000004603"/>
    <s v="RT Poland - Other Operating Expense"/>
    <s v="H000004598"/>
    <s v="New"/>
    <x v="0"/>
    <x v="0"/>
    <s v="HC"/>
    <m/>
    <m/>
    <s v="Henry Ifurung Jr."/>
  </r>
  <r>
    <n v="1248"/>
    <s v="F0"/>
    <x v="60"/>
    <s v="H000004604"/>
    <s v="RT Poland Medical &amp; local R&amp;D"/>
    <s v="H000004409"/>
    <s v="New"/>
    <x v="0"/>
    <x v="0"/>
    <s v="HC"/>
    <m/>
    <m/>
    <s v="Henry Ifurung Jr."/>
  </r>
  <r>
    <n v="1249"/>
    <s v="F0"/>
    <x v="60"/>
    <s v="H000004605"/>
    <s v="RT Poland - Medical cost center"/>
    <s v="H000004604"/>
    <s v="New"/>
    <x v="0"/>
    <x v="0"/>
    <s v="HC"/>
    <m/>
    <m/>
    <s v="Henry Ifurung Jr."/>
  </r>
  <r>
    <n v="1250"/>
    <s v="F0"/>
    <x v="60"/>
    <s v="H000004606"/>
    <s v="RT Poland - Medical Non-R&amp;D Activities"/>
    <s v="H000004604"/>
    <s v="New"/>
    <x v="0"/>
    <x v="0"/>
    <s v="HC"/>
    <m/>
    <m/>
    <s v="Henry Ifurung Jr."/>
  </r>
  <r>
    <n v="1251"/>
    <s v="F0"/>
    <x v="60"/>
    <s v="H000004607"/>
    <s v="RT Poland Ogsiveo Medical Activities"/>
    <s v="H000004606"/>
    <s v="New"/>
    <x v="0"/>
    <x v="0"/>
    <s v="HC"/>
    <m/>
    <m/>
    <s v="Henry Ifurung Jr."/>
  </r>
  <r>
    <n v="1252"/>
    <s v="F0"/>
    <x v="60"/>
    <s v="H000004608"/>
    <s v="RT Poland Ezmekly Medical Activities"/>
    <s v="H000004606"/>
    <s v="New"/>
    <x v="0"/>
    <x v="0"/>
    <s v="HC"/>
    <m/>
    <m/>
    <s v="Henry Ifurung Jr."/>
  </r>
  <r>
    <n v="1253"/>
    <s v="F0"/>
    <x v="60"/>
    <s v="H000004609"/>
    <s v="RT Poland Local R&amp;D - Studies"/>
    <s v="H000004604"/>
    <s v="New"/>
    <x v="0"/>
    <x v="0"/>
    <s v="HC"/>
    <m/>
    <m/>
    <s v="Henry Ifurung Jr."/>
  </r>
  <r>
    <n v="1254"/>
    <s v="F0"/>
    <x v="60"/>
    <s v="H000004610"/>
    <s v="RT Poland Ogsiveo Local R&amp;D Studies"/>
    <s v="H000004609"/>
    <s v="New"/>
    <x v="0"/>
    <x v="0"/>
    <s v="HC"/>
    <m/>
    <m/>
    <s v="Henry Ifurung Jr."/>
  </r>
  <r>
    <n v="1255"/>
    <s v="F0"/>
    <x v="60"/>
    <s v="H000004611"/>
    <s v="RT Poland Ezmekly Local R&amp;D Studies"/>
    <s v="H000004609"/>
    <s v="New"/>
    <x v="0"/>
    <x v="0"/>
    <s v="HC"/>
    <m/>
    <m/>
    <s v="Henry Ifurung Jr."/>
  </r>
  <r>
    <n v="1256"/>
    <s v="F0"/>
    <x v="60"/>
    <s v="H000004612"/>
    <s v="RT Belgium Commercial"/>
    <s v="H000004407"/>
    <s v="New"/>
    <x v="0"/>
    <x v="0"/>
    <s v="HC"/>
    <m/>
    <m/>
    <s v="Henry Ifurung Jr."/>
  </r>
  <r>
    <n v="1257"/>
    <s v="F0"/>
    <x v="60"/>
    <s v="H000004613"/>
    <s v="RT Belgium Field Force"/>
    <s v="H000004612"/>
    <s v="New"/>
    <x v="0"/>
    <x v="0"/>
    <s v="HC"/>
    <m/>
    <m/>
    <s v="Henry Ifurung Jr."/>
  </r>
  <r>
    <n v="1258"/>
    <s v="F0"/>
    <x v="60"/>
    <s v="H000004614"/>
    <s v="RT Belgium Marketing"/>
    <s v="H000004612"/>
    <s v="New"/>
    <x v="0"/>
    <x v="0"/>
    <s v="HC"/>
    <m/>
    <m/>
    <s v="Henry Ifurung Jr."/>
  </r>
  <r>
    <n v="1259"/>
    <s v="F0"/>
    <x v="60"/>
    <s v="H000004615"/>
    <s v="RT Belgium Sales Promotion"/>
    <s v="H000004612"/>
    <s v="New"/>
    <x v="0"/>
    <x v="0"/>
    <s v="HC"/>
    <m/>
    <m/>
    <s v="Henry Ifurung Jr."/>
  </r>
  <r>
    <n v="1260"/>
    <s v="F0"/>
    <x v="60"/>
    <s v="H000004616"/>
    <s v="RT Belgium Ogsiveo Sales Promotion"/>
    <s v="H000004615"/>
    <s v="New"/>
    <x v="0"/>
    <x v="0"/>
    <s v="HC"/>
    <m/>
    <m/>
    <s v="Henry Ifurung Jr."/>
  </r>
  <r>
    <n v="1261"/>
    <s v="F0"/>
    <x v="60"/>
    <s v="H000004617"/>
    <s v="RT Belgium Ezmekly Sales Promotion"/>
    <s v="H000004615"/>
    <s v="New"/>
    <x v="0"/>
    <x v="0"/>
    <s v="HC"/>
    <m/>
    <m/>
    <s v="Henry Ifurung Jr."/>
  </r>
  <r>
    <n v="1262"/>
    <s v="F0"/>
    <x v="60"/>
    <s v="H000004618"/>
    <s v="RT Belgium - General"/>
    <s v="H000004612"/>
    <s v="New"/>
    <x v="0"/>
    <x v="0"/>
    <s v="HC"/>
    <m/>
    <m/>
    <s v="Henry Ifurung Jr."/>
  </r>
  <r>
    <n v="1263"/>
    <s v="F0"/>
    <x v="60"/>
    <s v="H000004619"/>
    <s v="RT Belgium - General Management"/>
    <s v="H000004618"/>
    <s v="New"/>
    <x v="0"/>
    <x v="0"/>
    <s v="HC"/>
    <m/>
    <m/>
    <s v="Henry Ifurung Jr."/>
  </r>
  <r>
    <n v="1264"/>
    <s v="F0"/>
    <x v="60"/>
    <s v="H000004620"/>
    <s v="RT Belgium - MAP"/>
    <s v="H000004618"/>
    <s v="New"/>
    <x v="0"/>
    <x v="0"/>
    <s v="HC"/>
    <m/>
    <m/>
    <s v="Henry Ifurung Jr."/>
  </r>
  <r>
    <n v="1265"/>
    <s v="F0"/>
    <x v="60"/>
    <s v="H000004621"/>
    <s v="RT Belgium - GAP"/>
    <s v="H000004618"/>
    <s v="New"/>
    <x v="0"/>
    <x v="0"/>
    <s v="HC"/>
    <m/>
    <m/>
    <s v="Henry Ifurung Jr."/>
  </r>
  <r>
    <n v="1266"/>
    <s v="F0"/>
    <x v="60"/>
    <s v="H000004622"/>
    <s v="RT Belgium - Business Ops"/>
    <s v="H000004618"/>
    <s v="New"/>
    <x v="0"/>
    <x v="0"/>
    <s v="HC"/>
    <m/>
    <m/>
    <s v="Henry Ifurung Jr."/>
  </r>
  <r>
    <n v="1267"/>
    <s v="F0"/>
    <x v="60"/>
    <s v="H000004623"/>
    <s v="RT Belgium - Other Operating Expense"/>
    <s v="H000004618"/>
    <s v="New"/>
    <x v="0"/>
    <x v="0"/>
    <s v="HC"/>
    <m/>
    <m/>
    <s v="Henry Ifurung Jr."/>
  </r>
  <r>
    <n v="1268"/>
    <s v="F0"/>
    <x v="60"/>
    <s v="H000004624"/>
    <s v="RT Belgium Medical &amp; local R&amp;D"/>
    <s v="H000004409"/>
    <s v="New"/>
    <x v="0"/>
    <x v="0"/>
    <s v="HC"/>
    <m/>
    <m/>
    <s v="Henry Ifurung Jr."/>
  </r>
  <r>
    <n v="1269"/>
    <s v="F0"/>
    <x v="60"/>
    <s v="H000004625"/>
    <s v="RT Belgium - Medical cost center"/>
    <s v="H000004624"/>
    <s v="New"/>
    <x v="0"/>
    <x v="0"/>
    <s v="HC"/>
    <m/>
    <m/>
    <s v="Henry Ifurung Jr."/>
  </r>
  <r>
    <n v="1270"/>
    <s v="F0"/>
    <x v="60"/>
    <s v="H000004626"/>
    <s v="RT Belgium - Medical Non-R&amp;D Activities"/>
    <s v="H000004624"/>
    <s v="New"/>
    <x v="0"/>
    <x v="0"/>
    <s v="HC"/>
    <m/>
    <m/>
    <s v="Henry Ifurung Jr."/>
  </r>
  <r>
    <n v="1271"/>
    <s v="F0"/>
    <x v="60"/>
    <s v="H000004627"/>
    <s v="RT Belgium Ogsiveo Medical Activities"/>
    <s v="H000004626"/>
    <s v="New"/>
    <x v="0"/>
    <x v="0"/>
    <s v="HC"/>
    <m/>
    <m/>
    <s v="Henry Ifurung Jr."/>
  </r>
  <r>
    <n v="1272"/>
    <s v="F0"/>
    <x v="60"/>
    <s v="H000004628"/>
    <s v="RT Belgium Ezmekly Medical Activities"/>
    <s v="H000004626"/>
    <s v="New"/>
    <x v="0"/>
    <x v="0"/>
    <s v="HC"/>
    <m/>
    <m/>
    <s v="Henry Ifurung Jr."/>
  </r>
  <r>
    <n v="1273"/>
    <s v="F0"/>
    <x v="60"/>
    <s v="H000004629"/>
    <s v="RT Belgium Local R&amp;D - Studies"/>
    <s v="H000004624"/>
    <s v="New"/>
    <x v="0"/>
    <x v="0"/>
    <s v="HC"/>
    <m/>
    <m/>
    <s v="Henry Ifurung Jr."/>
  </r>
  <r>
    <n v="1274"/>
    <s v="F0"/>
    <x v="60"/>
    <s v="H000004630"/>
    <s v="RT Belgium Ogsiveo Local R&amp;D Studies"/>
    <s v="H000004629"/>
    <s v="New"/>
    <x v="0"/>
    <x v="0"/>
    <s v="HC"/>
    <m/>
    <m/>
    <s v="Henry Ifurung Jr."/>
  </r>
  <r>
    <n v="1275"/>
    <s v="F0"/>
    <x v="60"/>
    <s v="H000004631"/>
    <s v="RT Belgium Ezmekly Local R&amp;D Studies"/>
    <s v="H000004629"/>
    <s v="New"/>
    <x v="0"/>
    <x v="0"/>
    <s v="HC"/>
    <m/>
    <m/>
    <s v="Henry Ifurung Jr."/>
  </r>
  <r>
    <n v="1276"/>
    <s v="F0"/>
    <x v="60"/>
    <s v="H000004632"/>
    <s v="RT Netherlands Commercial"/>
    <s v="H000004407"/>
    <s v="New"/>
    <x v="0"/>
    <x v="0"/>
    <s v="HC"/>
    <m/>
    <m/>
    <s v="Henry Ifurung Jr."/>
  </r>
  <r>
    <n v="1277"/>
    <s v="F0"/>
    <x v="60"/>
    <s v="H000004633"/>
    <s v="RT Netherlands Field Force"/>
    <s v="H000004632"/>
    <s v="New"/>
    <x v="0"/>
    <x v="0"/>
    <s v="HC"/>
    <m/>
    <m/>
    <s v="Henry Ifurung Jr."/>
  </r>
  <r>
    <n v="1278"/>
    <s v="F0"/>
    <x v="60"/>
    <s v="H000004634"/>
    <s v="RT Netherlands Marketing"/>
    <s v="H000004632"/>
    <s v="New"/>
    <x v="0"/>
    <x v="0"/>
    <s v="HC"/>
    <m/>
    <m/>
    <s v="Henry Ifurung Jr."/>
  </r>
  <r>
    <n v="1279"/>
    <s v="F0"/>
    <x v="60"/>
    <s v="H000004635"/>
    <s v="RT Netherlands Sales Promotion"/>
    <s v="H000004632"/>
    <s v="New"/>
    <x v="0"/>
    <x v="0"/>
    <s v="HC"/>
    <m/>
    <m/>
    <s v="Henry Ifurung Jr."/>
  </r>
  <r>
    <n v="1280"/>
    <s v="F0"/>
    <x v="60"/>
    <s v="H000004636"/>
    <s v="RT Netherlands Ogsiveo Sales Promotion"/>
    <s v="H000004635"/>
    <s v="New"/>
    <x v="0"/>
    <x v="0"/>
    <s v="HC"/>
    <m/>
    <m/>
    <s v="Henry Ifurung Jr."/>
  </r>
  <r>
    <n v="1281"/>
    <s v="F0"/>
    <x v="60"/>
    <s v="H000004637"/>
    <s v="RT Netherlands Ezmekly Sales Promotion"/>
    <s v="H000004635"/>
    <s v="New"/>
    <x v="0"/>
    <x v="0"/>
    <s v="HC"/>
    <m/>
    <m/>
    <s v="Henry Ifurung Jr."/>
  </r>
  <r>
    <n v="1282"/>
    <s v="F0"/>
    <x v="60"/>
    <s v="H000004638"/>
    <s v="RT Netherlands - General"/>
    <s v="H000004632"/>
    <s v="New"/>
    <x v="0"/>
    <x v="0"/>
    <s v="HC"/>
    <m/>
    <m/>
    <s v="Henry Ifurung Jr."/>
  </r>
  <r>
    <n v="1283"/>
    <s v="F0"/>
    <x v="60"/>
    <s v="H000004639"/>
    <s v="RT Netherlands - General Management"/>
    <s v="H000004638"/>
    <s v="New"/>
    <x v="0"/>
    <x v="0"/>
    <s v="HC"/>
    <m/>
    <m/>
    <s v="Henry Ifurung Jr."/>
  </r>
  <r>
    <n v="1284"/>
    <s v="F0"/>
    <x v="60"/>
    <s v="H000004640"/>
    <s v="RT Netherlands - MAP"/>
    <s v="H000004638"/>
    <s v="New"/>
    <x v="0"/>
    <x v="0"/>
    <s v="HC"/>
    <m/>
    <m/>
    <s v="Henry Ifurung Jr."/>
  </r>
  <r>
    <n v="1285"/>
    <s v="F0"/>
    <x v="60"/>
    <s v="H000004641"/>
    <s v="RT Netherlands - GAP"/>
    <s v="H000004638"/>
    <s v="New"/>
    <x v="0"/>
    <x v="0"/>
    <s v="HC"/>
    <m/>
    <m/>
    <s v="Henry Ifurung Jr."/>
  </r>
  <r>
    <n v="1286"/>
    <s v="F0"/>
    <x v="60"/>
    <s v="H000004642"/>
    <s v="RT Netherlands - Business Ops"/>
    <s v="H000004638"/>
    <s v="New"/>
    <x v="0"/>
    <x v="0"/>
    <s v="HC"/>
    <m/>
    <m/>
    <s v="Henry Ifurung Jr."/>
  </r>
  <r>
    <n v="1287"/>
    <s v="F0"/>
    <x v="60"/>
    <s v="H000004643"/>
    <s v="RT Netherlands - Other Operating Expense"/>
    <s v="H000004638"/>
    <s v="New"/>
    <x v="0"/>
    <x v="0"/>
    <s v="HC"/>
    <m/>
    <m/>
    <s v="Henry Ifurung Jr."/>
  </r>
  <r>
    <n v="1288"/>
    <s v="F0"/>
    <x v="60"/>
    <s v="H000004644"/>
    <s v="RT Netherlands Medical &amp; local R&amp;D"/>
    <s v="H000004409"/>
    <s v="New"/>
    <x v="0"/>
    <x v="0"/>
    <s v="HC"/>
    <m/>
    <m/>
    <s v="Henry Ifurung Jr."/>
  </r>
  <r>
    <n v="1289"/>
    <s v="F0"/>
    <x v="60"/>
    <s v="H000004645"/>
    <s v="RT Netherlands - Medical cost center"/>
    <s v="H000004644"/>
    <s v="New"/>
    <x v="0"/>
    <x v="0"/>
    <s v="HC"/>
    <m/>
    <m/>
    <s v="Henry Ifurung Jr."/>
  </r>
  <r>
    <n v="1290"/>
    <s v="F0"/>
    <x v="60"/>
    <s v="H000004646"/>
    <s v="RT Netherlands - Medical Non-R&amp;D Act"/>
    <s v="H000004644"/>
    <s v="New"/>
    <x v="0"/>
    <x v="0"/>
    <s v="HC"/>
    <m/>
    <m/>
    <s v="Henry Ifurung Jr."/>
  </r>
  <r>
    <n v="1291"/>
    <s v="F0"/>
    <x v="60"/>
    <s v="H000004647"/>
    <s v="RT Netherlands Ogsiveo Medical Act"/>
    <s v="H000004646"/>
    <s v="New"/>
    <x v="0"/>
    <x v="0"/>
    <s v="HC"/>
    <m/>
    <m/>
    <s v="Henry Ifurung Jr."/>
  </r>
  <r>
    <n v="1292"/>
    <s v="F0"/>
    <x v="60"/>
    <s v="H000004648"/>
    <s v="RT Netherlands Ezmekly Medical Act"/>
    <s v="H000004646"/>
    <s v="New"/>
    <x v="0"/>
    <x v="0"/>
    <s v="HC"/>
    <m/>
    <m/>
    <s v="Henry Ifurung Jr."/>
  </r>
  <r>
    <n v="1293"/>
    <s v="F0"/>
    <x v="60"/>
    <s v="H000004649"/>
    <s v="RT Netherlands Local R&amp;D - Studies"/>
    <s v="H000004644"/>
    <s v="New"/>
    <x v="0"/>
    <x v="0"/>
    <s v="HC"/>
    <m/>
    <m/>
    <s v="Henry Ifurung Jr."/>
  </r>
  <r>
    <n v="1294"/>
    <s v="F0"/>
    <x v="60"/>
    <s v="H000004650"/>
    <s v="RT Netherlands Ogsiveo Local R&amp;D Studies"/>
    <s v="H000004649"/>
    <s v="New"/>
    <x v="0"/>
    <x v="0"/>
    <s v="HC"/>
    <m/>
    <m/>
    <s v="Henry Ifurung Jr."/>
  </r>
  <r>
    <n v="1295"/>
    <s v="F0"/>
    <x v="60"/>
    <s v="H000004651"/>
    <s v="RT Netherlands Ezmekly Local R&amp;D Studies"/>
    <s v="H000004649"/>
    <s v="New"/>
    <x v="0"/>
    <x v="0"/>
    <s v="HC"/>
    <m/>
    <m/>
    <s v="Henry Ifurung Jr."/>
  </r>
  <r>
    <n v="1296"/>
    <s v="F0"/>
    <x v="60"/>
    <s v="H000004652"/>
    <s v="RT Romania Commercial"/>
    <s v="H000004407"/>
    <s v="New"/>
    <x v="0"/>
    <x v="0"/>
    <s v="HC"/>
    <m/>
    <m/>
    <s v="Henry Ifurung Jr."/>
  </r>
  <r>
    <n v="1297"/>
    <s v="F0"/>
    <x v="60"/>
    <s v="H000004653"/>
    <s v="RT Romania Field Force"/>
    <s v="H000004652"/>
    <s v="New"/>
    <x v="0"/>
    <x v="0"/>
    <s v="HC"/>
    <m/>
    <m/>
    <s v="Henry Ifurung Jr."/>
  </r>
  <r>
    <n v="1298"/>
    <s v="F0"/>
    <x v="60"/>
    <s v="H000004654"/>
    <s v="RT Romania Marketing"/>
    <s v="H000004652"/>
    <s v="New"/>
    <x v="0"/>
    <x v="0"/>
    <s v="HC"/>
    <m/>
    <m/>
    <s v="Henry Ifurung Jr."/>
  </r>
  <r>
    <n v="1299"/>
    <s v="F0"/>
    <x v="60"/>
    <s v="H000004655"/>
    <s v="RT Romania Sales Promotion"/>
    <s v="H000004652"/>
    <s v="New"/>
    <x v="0"/>
    <x v="0"/>
    <s v="HC"/>
    <m/>
    <m/>
    <s v="Henry Ifurung Jr."/>
  </r>
  <r>
    <n v="1300"/>
    <s v="F0"/>
    <x v="60"/>
    <s v="H000004656"/>
    <s v="RT Romania Ogsiveo Sales Promotion"/>
    <s v="H000004655"/>
    <s v="New"/>
    <x v="0"/>
    <x v="0"/>
    <s v="HC"/>
    <m/>
    <m/>
    <s v="Henry Ifurung Jr."/>
  </r>
  <r>
    <n v="1301"/>
    <s v="F0"/>
    <x v="60"/>
    <s v="H000004657"/>
    <s v="RT Romania Ezmekly Sales Promotion"/>
    <s v="H000004655"/>
    <s v="New"/>
    <x v="0"/>
    <x v="0"/>
    <s v="HC"/>
    <m/>
    <m/>
    <s v="Henry Ifurung Jr."/>
  </r>
  <r>
    <n v="1302"/>
    <s v="F0"/>
    <x v="60"/>
    <s v="H000004658"/>
    <s v="RT Romania - General"/>
    <s v="H000004652"/>
    <s v="New"/>
    <x v="0"/>
    <x v="0"/>
    <s v="HC"/>
    <m/>
    <m/>
    <s v="Henry Ifurung Jr."/>
  </r>
  <r>
    <n v="1303"/>
    <s v="F0"/>
    <x v="60"/>
    <s v="H000004659"/>
    <s v="RT Romania - General Management"/>
    <s v="H000004658"/>
    <s v="New"/>
    <x v="0"/>
    <x v="0"/>
    <s v="HC"/>
    <m/>
    <m/>
    <s v="Henry Ifurung Jr."/>
  </r>
  <r>
    <n v="1304"/>
    <s v="F0"/>
    <x v="60"/>
    <s v="H000004660"/>
    <s v="RT Romania - MAP"/>
    <s v="H000004658"/>
    <s v="New"/>
    <x v="0"/>
    <x v="0"/>
    <s v="HC"/>
    <m/>
    <m/>
    <s v="Henry Ifurung Jr."/>
  </r>
  <r>
    <n v="1305"/>
    <s v="F0"/>
    <x v="60"/>
    <s v="H000004661"/>
    <s v="RT Romania - GAP"/>
    <s v="H000004658"/>
    <s v="New"/>
    <x v="0"/>
    <x v="0"/>
    <s v="HC"/>
    <m/>
    <m/>
    <s v="Henry Ifurung Jr."/>
  </r>
  <r>
    <n v="1306"/>
    <s v="F0"/>
    <x v="60"/>
    <s v="H000004662"/>
    <s v="RT Romania - Business Ops"/>
    <s v="H000004658"/>
    <s v="New"/>
    <x v="0"/>
    <x v="0"/>
    <s v="HC"/>
    <m/>
    <m/>
    <s v="Henry Ifurung Jr."/>
  </r>
  <r>
    <n v="1307"/>
    <s v="F0"/>
    <x v="60"/>
    <s v="H000004663"/>
    <s v="RT Romania - Other Operating Expense"/>
    <s v="H000004658"/>
    <s v="New"/>
    <x v="0"/>
    <x v="0"/>
    <s v="HC"/>
    <m/>
    <m/>
    <s v="Henry Ifurung Jr."/>
  </r>
  <r>
    <n v="1308"/>
    <s v="F0"/>
    <x v="60"/>
    <s v="H000004664"/>
    <s v="RT Romania Medical &amp; local R&amp;D"/>
    <s v="H000004409"/>
    <s v="New"/>
    <x v="0"/>
    <x v="0"/>
    <s v="HC"/>
    <m/>
    <m/>
    <s v="Henry Ifurung Jr."/>
  </r>
  <r>
    <n v="1309"/>
    <s v="F0"/>
    <x v="60"/>
    <s v="H000004665"/>
    <s v="RT Romania - Medical cost center"/>
    <s v="H000004664"/>
    <s v="New"/>
    <x v="0"/>
    <x v="0"/>
    <s v="HC"/>
    <m/>
    <m/>
    <s v="Henry Ifurung Jr."/>
  </r>
  <r>
    <n v="1310"/>
    <s v="F0"/>
    <x v="60"/>
    <s v="H000004666"/>
    <s v="RT Romania - Medical Non-R&amp;D Activities"/>
    <s v="H000004664"/>
    <s v="New"/>
    <x v="0"/>
    <x v="0"/>
    <s v="HC"/>
    <m/>
    <m/>
    <s v="Henry Ifurung Jr."/>
  </r>
  <r>
    <n v="1311"/>
    <s v="F0"/>
    <x v="60"/>
    <s v="H000004667"/>
    <s v="RT Romania Ogsiveo Medical Activities"/>
    <s v="H000004666"/>
    <s v="New"/>
    <x v="0"/>
    <x v="0"/>
    <s v="HC"/>
    <m/>
    <m/>
    <s v="Henry Ifurung Jr."/>
  </r>
  <r>
    <n v="1312"/>
    <s v="F0"/>
    <x v="60"/>
    <s v="H000004668"/>
    <s v="RT Romania Ezmekly Medical Activities"/>
    <s v="H000004666"/>
    <s v="New"/>
    <x v="0"/>
    <x v="0"/>
    <s v="HC"/>
    <m/>
    <m/>
    <s v="Henry Ifurung Jr."/>
  </r>
  <r>
    <n v="1313"/>
    <s v="F0"/>
    <x v="60"/>
    <s v="H000004669"/>
    <s v="RT Romania Local R&amp;D - Studies"/>
    <s v="H000004664"/>
    <s v="New"/>
    <x v="0"/>
    <x v="0"/>
    <s v="HC"/>
    <m/>
    <m/>
    <s v="Henry Ifurung Jr."/>
  </r>
  <r>
    <n v="1314"/>
    <s v="F0"/>
    <x v="60"/>
    <s v="H000004670"/>
    <s v="RT Romania Ogsiveo Local R&amp;D Studies"/>
    <s v="H000004669"/>
    <s v="New"/>
    <x v="0"/>
    <x v="0"/>
    <s v="HC"/>
    <m/>
    <m/>
    <s v="Henry Ifurung Jr."/>
  </r>
  <r>
    <n v="1315"/>
    <s v="F0"/>
    <x v="60"/>
    <s v="H000004671"/>
    <s v="RT Romania Ezmekly Local R&amp;D Studies"/>
    <s v="H000004669"/>
    <s v="New"/>
    <x v="0"/>
    <x v="0"/>
    <s v="HC"/>
    <m/>
    <m/>
    <s v="Henry Ifurung Jr."/>
  </r>
  <r>
    <n v="1316"/>
    <s v="F0"/>
    <x v="60"/>
    <s v="H000004672"/>
    <s v="RT Denmark Commercial"/>
    <s v="H000004407"/>
    <s v="New"/>
    <x v="0"/>
    <x v="0"/>
    <s v="HC"/>
    <m/>
    <m/>
    <s v="Henry Ifurung Jr."/>
  </r>
  <r>
    <n v="1317"/>
    <s v="F0"/>
    <x v="60"/>
    <s v="H000004673"/>
    <s v="RT Denmark Field Force"/>
    <s v="H000004672"/>
    <s v="New"/>
    <x v="0"/>
    <x v="0"/>
    <s v="HC"/>
    <m/>
    <m/>
    <s v="Henry Ifurung Jr."/>
  </r>
  <r>
    <n v="1318"/>
    <s v="F0"/>
    <x v="60"/>
    <s v="H000004674"/>
    <s v="RT Denmark Marketing"/>
    <s v="H000004672"/>
    <s v="New"/>
    <x v="0"/>
    <x v="0"/>
    <s v="HC"/>
    <m/>
    <m/>
    <s v="Henry Ifurung Jr."/>
  </r>
  <r>
    <n v="1319"/>
    <s v="F0"/>
    <x v="60"/>
    <s v="H000004675"/>
    <s v="RT Denmark Sales Promotion"/>
    <s v="H000004672"/>
    <s v="New"/>
    <x v="0"/>
    <x v="0"/>
    <s v="HC"/>
    <m/>
    <m/>
    <s v="Henry Ifurung Jr."/>
  </r>
  <r>
    <n v="1320"/>
    <s v="F0"/>
    <x v="60"/>
    <s v="H000004676"/>
    <s v="RT Denmark Ogsiveo Sales Promotion"/>
    <s v="H000004675"/>
    <s v="New"/>
    <x v="0"/>
    <x v="0"/>
    <s v="HC"/>
    <m/>
    <m/>
    <s v="Henry Ifurung Jr."/>
  </r>
  <r>
    <n v="1321"/>
    <s v="F0"/>
    <x v="60"/>
    <s v="H000004677"/>
    <s v="RT Denmark Ezmekly Sales Promotion"/>
    <s v="H000004675"/>
    <s v="New"/>
    <x v="0"/>
    <x v="0"/>
    <s v="HC"/>
    <m/>
    <m/>
    <s v="Henry Ifurung Jr."/>
  </r>
  <r>
    <n v="1322"/>
    <s v="F0"/>
    <x v="60"/>
    <s v="H000004678"/>
    <s v="RT Denmark - General"/>
    <s v="H000004672"/>
    <s v="New"/>
    <x v="0"/>
    <x v="0"/>
    <s v="HC"/>
    <m/>
    <m/>
    <s v="Henry Ifurung Jr."/>
  </r>
  <r>
    <n v="1323"/>
    <s v="F0"/>
    <x v="60"/>
    <s v="H000004679"/>
    <s v="RT Denmark - General Management"/>
    <s v="H000004678"/>
    <s v="New"/>
    <x v="0"/>
    <x v="0"/>
    <s v="HC"/>
    <m/>
    <m/>
    <s v="Henry Ifurung Jr."/>
  </r>
  <r>
    <n v="1324"/>
    <s v="F0"/>
    <x v="60"/>
    <s v="H000004680"/>
    <s v="RT Denmark - MAP"/>
    <s v="H000004678"/>
    <s v="New"/>
    <x v="0"/>
    <x v="0"/>
    <s v="HC"/>
    <m/>
    <m/>
    <s v="Henry Ifurung Jr."/>
  </r>
  <r>
    <n v="1325"/>
    <s v="F0"/>
    <x v="60"/>
    <s v="H000004681"/>
    <s v="RT Denmark - GAP"/>
    <s v="H000004678"/>
    <s v="New"/>
    <x v="0"/>
    <x v="0"/>
    <s v="HC"/>
    <m/>
    <m/>
    <s v="Henry Ifurung Jr."/>
  </r>
  <r>
    <n v="1326"/>
    <s v="F0"/>
    <x v="60"/>
    <s v="H000004682"/>
    <s v="RT Denmark - Business Ops"/>
    <s v="H000004678"/>
    <s v="New"/>
    <x v="0"/>
    <x v="0"/>
    <s v="HC"/>
    <m/>
    <m/>
    <s v="Henry Ifurung Jr."/>
  </r>
  <r>
    <n v="1327"/>
    <s v="F0"/>
    <x v="60"/>
    <s v="H000004683"/>
    <s v="RT Denmark - Other Operating Expense"/>
    <s v="H000004678"/>
    <s v="New"/>
    <x v="0"/>
    <x v="0"/>
    <s v="HC"/>
    <m/>
    <m/>
    <s v="Henry Ifurung Jr."/>
  </r>
  <r>
    <n v="1328"/>
    <s v="F0"/>
    <x v="60"/>
    <s v="H000004684"/>
    <s v="RT Denmark Medical &amp; local R&amp;D"/>
    <s v="H000004409"/>
    <s v="New"/>
    <x v="0"/>
    <x v="0"/>
    <s v="HC"/>
    <m/>
    <m/>
    <s v="Henry Ifurung Jr."/>
  </r>
  <r>
    <n v="1329"/>
    <s v="F0"/>
    <x v="60"/>
    <s v="H000004685"/>
    <s v="RT Denmark - Medical cost center"/>
    <s v="H000004684"/>
    <s v="New"/>
    <x v="0"/>
    <x v="0"/>
    <s v="HC"/>
    <m/>
    <m/>
    <s v="Henry Ifurung Jr."/>
  </r>
  <r>
    <n v="1330"/>
    <s v="F0"/>
    <x v="60"/>
    <s v="H000004686"/>
    <s v="RT Denmark - Medical Non-R&amp;D Activities"/>
    <s v="H000004684"/>
    <s v="New"/>
    <x v="0"/>
    <x v="0"/>
    <s v="HC"/>
    <m/>
    <m/>
    <s v="Henry Ifurung Jr."/>
  </r>
  <r>
    <n v="1331"/>
    <s v="F0"/>
    <x v="60"/>
    <s v="H000004687"/>
    <s v="RT Denmark Ogsiveo Medical Activities"/>
    <s v="H000004686"/>
    <s v="New"/>
    <x v="0"/>
    <x v="0"/>
    <s v="HC"/>
    <m/>
    <m/>
    <s v="Henry Ifurung Jr."/>
  </r>
  <r>
    <n v="1332"/>
    <s v="F0"/>
    <x v="60"/>
    <s v="H000004688"/>
    <s v="RT Denmark Ezmekly Medical Activities"/>
    <s v="H000004686"/>
    <s v="New"/>
    <x v="0"/>
    <x v="0"/>
    <s v="HC"/>
    <m/>
    <m/>
    <s v="Henry Ifurung Jr."/>
  </r>
  <r>
    <n v="1333"/>
    <s v="F0"/>
    <x v="60"/>
    <s v="H000004689"/>
    <s v="RT Denmark Local R&amp;D - Studies"/>
    <s v="H000004684"/>
    <s v="New"/>
    <x v="0"/>
    <x v="0"/>
    <s v="HC"/>
    <m/>
    <m/>
    <s v="Henry Ifurung Jr."/>
  </r>
  <r>
    <n v="1334"/>
    <s v="F0"/>
    <x v="60"/>
    <s v="H000004690"/>
    <s v="RT Denmark Ogsiveo Local R&amp;D Studies"/>
    <s v="H000004689"/>
    <s v="New"/>
    <x v="0"/>
    <x v="0"/>
    <s v="HC"/>
    <m/>
    <m/>
    <s v="Henry Ifurung Jr."/>
  </r>
  <r>
    <n v="1335"/>
    <s v="F0"/>
    <x v="60"/>
    <s v="H000004691"/>
    <s v="RT Denmark Ezmekly Local R&amp;D Studies"/>
    <s v="H000004689"/>
    <s v="New"/>
    <x v="0"/>
    <x v="0"/>
    <s v="HC"/>
    <m/>
    <m/>
    <s v="Henry Ifurung Jr."/>
  </r>
  <r>
    <n v="1336"/>
    <s v="F0"/>
    <x v="60"/>
    <s v="H000004692"/>
    <s v="RT Sweden Commercial"/>
    <s v="H000004407"/>
    <s v="New"/>
    <x v="0"/>
    <x v="0"/>
    <s v="HC"/>
    <m/>
    <m/>
    <s v="Henry Ifurung Jr."/>
  </r>
  <r>
    <n v="1337"/>
    <s v="F0"/>
    <x v="60"/>
    <s v="H000004693"/>
    <s v="RT Sweden Field Force"/>
    <s v="H000004692"/>
    <s v="New"/>
    <x v="0"/>
    <x v="0"/>
    <s v="HC"/>
    <m/>
    <m/>
    <s v="Henry Ifurung Jr."/>
  </r>
  <r>
    <n v="1338"/>
    <s v="F0"/>
    <x v="60"/>
    <s v="H000004694"/>
    <s v="RT Sweden Marketing"/>
    <s v="H000004692"/>
    <s v="New"/>
    <x v="0"/>
    <x v="0"/>
    <s v="HC"/>
    <m/>
    <m/>
    <s v="Henry Ifurung Jr."/>
  </r>
  <r>
    <n v="1339"/>
    <s v="F0"/>
    <x v="60"/>
    <s v="H000004695"/>
    <s v="RT Sweden Sales Promotion"/>
    <s v="H000004692"/>
    <s v="New"/>
    <x v="0"/>
    <x v="0"/>
    <s v="HC"/>
    <m/>
    <m/>
    <s v="Henry Ifurung Jr."/>
  </r>
  <r>
    <n v="1340"/>
    <s v="F0"/>
    <x v="60"/>
    <s v="H000004696"/>
    <s v="RT Sweden Ogsiveo Sales Promotion"/>
    <s v="H000004695"/>
    <s v="New"/>
    <x v="0"/>
    <x v="0"/>
    <s v="HC"/>
    <m/>
    <m/>
    <s v="Henry Ifurung Jr."/>
  </r>
  <r>
    <n v="1341"/>
    <s v="F0"/>
    <x v="60"/>
    <s v="H000004697"/>
    <s v="RT Sweden Ezmekly Sales Promotion"/>
    <s v="H000004695"/>
    <s v="New"/>
    <x v="0"/>
    <x v="0"/>
    <s v="HC"/>
    <m/>
    <m/>
    <s v="Henry Ifurung Jr."/>
  </r>
  <r>
    <n v="1342"/>
    <s v="F0"/>
    <x v="60"/>
    <s v="H000004698"/>
    <s v="RT Sweden - General"/>
    <s v="H000004692"/>
    <s v="New"/>
    <x v="0"/>
    <x v="0"/>
    <s v="HC"/>
    <m/>
    <m/>
    <s v="Henry Ifurung Jr."/>
  </r>
  <r>
    <n v="1343"/>
    <s v="F0"/>
    <x v="60"/>
    <s v="H000004699"/>
    <s v="RT Sweden - General Management"/>
    <s v="H000004698"/>
    <s v="New"/>
    <x v="0"/>
    <x v="0"/>
    <s v="HC"/>
    <m/>
    <m/>
    <s v="Henry Ifurung Jr."/>
  </r>
  <r>
    <n v="1344"/>
    <s v="F0"/>
    <x v="60"/>
    <s v="H000004700"/>
    <s v="RT Sweden - MAP"/>
    <s v="H000004698"/>
    <s v="New"/>
    <x v="0"/>
    <x v="0"/>
    <s v="HC"/>
    <m/>
    <m/>
    <s v="Henry Ifurung Jr."/>
  </r>
  <r>
    <n v="1345"/>
    <s v="F0"/>
    <x v="60"/>
    <s v="H000004701"/>
    <s v="RT Sweden - GAP"/>
    <s v="H000004698"/>
    <s v="New"/>
    <x v="0"/>
    <x v="0"/>
    <s v="HC"/>
    <m/>
    <m/>
    <s v="Henry Ifurung Jr."/>
  </r>
  <r>
    <n v="1346"/>
    <s v="F0"/>
    <x v="60"/>
    <s v="H000004702"/>
    <s v="RT Sweden - Business Ops"/>
    <s v="H000004698"/>
    <s v="New"/>
    <x v="0"/>
    <x v="0"/>
    <s v="HC"/>
    <m/>
    <m/>
    <s v="Henry Ifurung Jr."/>
  </r>
  <r>
    <n v="1347"/>
    <s v="F0"/>
    <x v="60"/>
    <s v="H000004703"/>
    <s v="RT Sweden - Other Operating Expense"/>
    <s v="H000004698"/>
    <s v="New"/>
    <x v="0"/>
    <x v="0"/>
    <s v="HC"/>
    <m/>
    <m/>
    <s v="Henry Ifurung Jr."/>
  </r>
  <r>
    <n v="1348"/>
    <s v="F0"/>
    <x v="60"/>
    <s v="H000004704"/>
    <s v="RT Sweden Medical &amp; local R&amp;D"/>
    <s v="H000004409"/>
    <s v="New"/>
    <x v="0"/>
    <x v="0"/>
    <s v="HC"/>
    <m/>
    <m/>
    <s v="Henry Ifurung Jr."/>
  </r>
  <r>
    <n v="1349"/>
    <s v="F0"/>
    <x v="60"/>
    <s v="H000004705"/>
    <s v="RT Sweden - Medical cost center"/>
    <s v="H000004704"/>
    <s v="New"/>
    <x v="0"/>
    <x v="0"/>
    <s v="HC"/>
    <m/>
    <m/>
    <s v="Henry Ifurung Jr."/>
  </r>
  <r>
    <n v="1350"/>
    <s v="F0"/>
    <x v="60"/>
    <s v="H000004706"/>
    <s v="RT Sweden - Medical Non-R&amp;D Activities"/>
    <s v="H000004704"/>
    <s v="New"/>
    <x v="0"/>
    <x v="0"/>
    <s v="HC"/>
    <m/>
    <m/>
    <s v="Henry Ifurung Jr."/>
  </r>
  <r>
    <n v="1351"/>
    <s v="F0"/>
    <x v="60"/>
    <s v="H000004707"/>
    <s v="RT Sweden Ogsiveo Medical Activities"/>
    <s v="H000004706"/>
    <s v="New"/>
    <x v="0"/>
    <x v="0"/>
    <s v="HC"/>
    <m/>
    <m/>
    <s v="Henry Ifurung Jr."/>
  </r>
  <r>
    <n v="1352"/>
    <s v="F0"/>
    <x v="60"/>
    <s v="H000004708"/>
    <s v="RT Sweden Ezmekly Medical Activities"/>
    <s v="H000004706"/>
    <s v="New"/>
    <x v="0"/>
    <x v="0"/>
    <s v="HC"/>
    <m/>
    <m/>
    <s v="Henry Ifurung Jr."/>
  </r>
  <r>
    <n v="1353"/>
    <s v="F0"/>
    <x v="60"/>
    <s v="H000004709"/>
    <s v="RT Sweden Local R&amp;D - Studies"/>
    <s v="H000004704"/>
    <s v="New"/>
    <x v="0"/>
    <x v="0"/>
    <s v="HC"/>
    <m/>
    <m/>
    <s v="Henry Ifurung Jr."/>
  </r>
  <r>
    <n v="1354"/>
    <s v="F0"/>
    <x v="60"/>
    <s v="H000004710"/>
    <s v="RT Sweden Ogsiveo Local R&amp;D Studies"/>
    <s v="H000004709"/>
    <s v="New"/>
    <x v="0"/>
    <x v="0"/>
    <s v="HC"/>
    <m/>
    <m/>
    <s v="Henry Ifurung Jr."/>
  </r>
  <r>
    <n v="1355"/>
    <s v="F0"/>
    <x v="60"/>
    <s v="H000004711"/>
    <s v="RT Sweden Ezmekly Local R&amp;D Studies"/>
    <s v="H000004709"/>
    <s v="New"/>
    <x v="0"/>
    <x v="0"/>
    <s v="HC"/>
    <m/>
    <m/>
    <s v="Henry Ifurung Jr."/>
  </r>
  <r>
    <n v="1356"/>
    <s v="F0"/>
    <x v="60"/>
    <s v="H000004712"/>
    <s v="RT Finland Commercial"/>
    <s v="H000004407"/>
    <s v="New"/>
    <x v="0"/>
    <x v="0"/>
    <s v="HC"/>
    <m/>
    <m/>
    <s v="Henry Ifurung Jr."/>
  </r>
  <r>
    <n v="1357"/>
    <s v="F0"/>
    <x v="60"/>
    <s v="H000004713"/>
    <s v="RT Finland Field Force"/>
    <s v="H000004712"/>
    <s v="New"/>
    <x v="0"/>
    <x v="0"/>
    <s v="HC"/>
    <m/>
    <m/>
    <s v="Henry Ifurung Jr."/>
  </r>
  <r>
    <n v="1358"/>
    <s v="F0"/>
    <x v="60"/>
    <s v="H000004714"/>
    <s v="RT Finland Marketing"/>
    <s v="H000004712"/>
    <s v="New"/>
    <x v="0"/>
    <x v="0"/>
    <s v="HC"/>
    <m/>
    <m/>
    <s v="Henry Ifurung Jr."/>
  </r>
  <r>
    <n v="1359"/>
    <s v="F0"/>
    <x v="60"/>
    <s v="H000004715"/>
    <s v="RT Finland Sales Promotion"/>
    <s v="H000004712"/>
    <s v="New"/>
    <x v="0"/>
    <x v="0"/>
    <s v="HC"/>
    <m/>
    <m/>
    <s v="Henry Ifurung Jr."/>
  </r>
  <r>
    <n v="1360"/>
    <s v="F0"/>
    <x v="60"/>
    <s v="H000004716"/>
    <s v="RT Finland Ogsiveo Sales Promotion"/>
    <s v="H000004715"/>
    <s v="New"/>
    <x v="0"/>
    <x v="0"/>
    <s v="HC"/>
    <m/>
    <m/>
    <s v="Henry Ifurung Jr."/>
  </r>
  <r>
    <n v="1361"/>
    <s v="F0"/>
    <x v="60"/>
    <s v="H000004717"/>
    <s v="RT Finland Ezmekly Sales Promotion"/>
    <s v="H000004715"/>
    <s v="New"/>
    <x v="0"/>
    <x v="0"/>
    <s v="HC"/>
    <m/>
    <m/>
    <s v="Henry Ifurung Jr."/>
  </r>
  <r>
    <n v="1362"/>
    <s v="F0"/>
    <x v="60"/>
    <s v="H000004718"/>
    <s v="RT Finland - General"/>
    <s v="H000004712"/>
    <s v="New"/>
    <x v="0"/>
    <x v="0"/>
    <s v="HC"/>
    <m/>
    <m/>
    <s v="Henry Ifurung Jr."/>
  </r>
  <r>
    <n v="1363"/>
    <s v="F0"/>
    <x v="60"/>
    <s v="H000004719"/>
    <s v="RT Finland - General Management"/>
    <s v="H000004718"/>
    <s v="New"/>
    <x v="0"/>
    <x v="0"/>
    <s v="HC"/>
    <m/>
    <m/>
    <s v="Henry Ifurung Jr."/>
  </r>
  <r>
    <n v="1364"/>
    <s v="F0"/>
    <x v="60"/>
    <s v="H000004720"/>
    <s v="RT Finland - MAP"/>
    <s v="H000004718"/>
    <s v="New"/>
    <x v="0"/>
    <x v="0"/>
    <s v="HC"/>
    <m/>
    <m/>
    <s v="Henry Ifurung Jr."/>
  </r>
  <r>
    <n v="1365"/>
    <s v="F0"/>
    <x v="60"/>
    <s v="H000004721"/>
    <s v="RT Finland - GAP"/>
    <s v="H000004718"/>
    <s v="New"/>
    <x v="0"/>
    <x v="0"/>
    <s v="HC"/>
    <m/>
    <m/>
    <s v="Henry Ifurung Jr."/>
  </r>
  <r>
    <n v="1366"/>
    <s v="F0"/>
    <x v="60"/>
    <s v="H000004722"/>
    <s v="RT Finland - Business Ops"/>
    <s v="H000004718"/>
    <s v="New"/>
    <x v="0"/>
    <x v="0"/>
    <s v="HC"/>
    <m/>
    <m/>
    <s v="Henry Ifurung Jr."/>
  </r>
  <r>
    <n v="1367"/>
    <s v="F0"/>
    <x v="60"/>
    <s v="H000004723"/>
    <s v="RT Finland - Other Operating Expense"/>
    <s v="H000004718"/>
    <s v="New"/>
    <x v="0"/>
    <x v="0"/>
    <s v="HC"/>
    <m/>
    <m/>
    <s v="Henry Ifurung Jr."/>
  </r>
  <r>
    <n v="1368"/>
    <s v="F0"/>
    <x v="60"/>
    <s v="H000004724"/>
    <s v="RT Finland Medical &amp; local R&amp;D"/>
    <s v="H000004409"/>
    <s v="New"/>
    <x v="0"/>
    <x v="0"/>
    <s v="HC"/>
    <m/>
    <m/>
    <s v="Henry Ifurung Jr."/>
  </r>
  <r>
    <n v="1369"/>
    <s v="F0"/>
    <x v="60"/>
    <s v="H000004725"/>
    <s v="RT Finland - Medical cost center"/>
    <s v="H000004724"/>
    <s v="New"/>
    <x v="0"/>
    <x v="0"/>
    <s v="HC"/>
    <m/>
    <m/>
    <s v="Henry Ifurung Jr."/>
  </r>
  <r>
    <n v="1370"/>
    <s v="F0"/>
    <x v="60"/>
    <s v="H000004726"/>
    <s v="RT Finland - Medical Non-R&amp;D Activities"/>
    <s v="H000004724"/>
    <s v="New"/>
    <x v="0"/>
    <x v="0"/>
    <s v="HC"/>
    <m/>
    <m/>
    <s v="Henry Ifurung Jr."/>
  </r>
  <r>
    <n v="1371"/>
    <s v="F0"/>
    <x v="60"/>
    <s v="H000004727"/>
    <s v="RT Finland Ogsiveo Medical Activities"/>
    <s v="H000004726"/>
    <s v="New"/>
    <x v="0"/>
    <x v="0"/>
    <s v="HC"/>
    <m/>
    <m/>
    <s v="Henry Ifurung Jr."/>
  </r>
  <r>
    <n v="1372"/>
    <s v="F0"/>
    <x v="60"/>
    <s v="H000004728"/>
    <s v="RT Finland Ezmekly Medical Activities"/>
    <s v="H000004726"/>
    <s v="New"/>
    <x v="0"/>
    <x v="0"/>
    <s v="HC"/>
    <m/>
    <m/>
    <s v="Henry Ifurung Jr."/>
  </r>
  <r>
    <n v="1373"/>
    <s v="F0"/>
    <x v="60"/>
    <s v="H000004729"/>
    <s v="RT Finland Local R&amp;D - Studies"/>
    <s v="H000004724"/>
    <s v="New"/>
    <x v="0"/>
    <x v="0"/>
    <s v="HC"/>
    <m/>
    <m/>
    <s v="Henry Ifurung Jr."/>
  </r>
  <r>
    <n v="1374"/>
    <s v="F0"/>
    <x v="60"/>
    <s v="H000004730"/>
    <s v="RT Finland Ogsiveo Local R&amp;D Studies"/>
    <s v="H000004729"/>
    <s v="New"/>
    <x v="0"/>
    <x v="0"/>
    <s v="HC"/>
    <m/>
    <m/>
    <s v="Henry Ifurung Jr."/>
  </r>
  <r>
    <n v="1375"/>
    <s v="F0"/>
    <x v="60"/>
    <s v="H000004731"/>
    <s v="RT Finland Ezmekly Local R&amp;D Studies"/>
    <s v="H000004729"/>
    <s v="New"/>
    <x v="0"/>
    <x v="0"/>
    <s v="HC"/>
    <m/>
    <m/>
    <s v="Henry Ifurung Jr."/>
  </r>
  <r>
    <n v="1376"/>
    <s v="F0"/>
    <x v="60"/>
    <s v="H000004732"/>
    <s v="RT Norway Commercial"/>
    <s v="H000004407"/>
    <s v="New"/>
    <x v="0"/>
    <x v="0"/>
    <s v="HC"/>
    <m/>
    <m/>
    <s v="Henry Ifurung Jr."/>
  </r>
  <r>
    <n v="1377"/>
    <s v="F0"/>
    <x v="60"/>
    <s v="H000004733"/>
    <s v="RT Norway Field Force"/>
    <s v="H000004732"/>
    <s v="New"/>
    <x v="0"/>
    <x v="0"/>
    <s v="HC"/>
    <m/>
    <m/>
    <s v="Henry Ifurung Jr."/>
  </r>
  <r>
    <n v="1378"/>
    <s v="F0"/>
    <x v="60"/>
    <s v="H000004734"/>
    <s v="RT Norway Marketing"/>
    <s v="H000004732"/>
    <s v="New"/>
    <x v="0"/>
    <x v="0"/>
    <s v="HC"/>
    <m/>
    <m/>
    <s v="Henry Ifurung Jr."/>
  </r>
  <r>
    <n v="1379"/>
    <s v="F0"/>
    <x v="60"/>
    <s v="H000004735"/>
    <s v="RT Norway Sales Promotion"/>
    <s v="H000004732"/>
    <s v="New"/>
    <x v="0"/>
    <x v="0"/>
    <s v="HC"/>
    <m/>
    <m/>
    <s v="Henry Ifurung Jr."/>
  </r>
  <r>
    <n v="1380"/>
    <s v="F0"/>
    <x v="60"/>
    <s v="H000004736"/>
    <s v="RT Norway Ogsiveo Sales Promotion"/>
    <s v="H000004735"/>
    <s v="New"/>
    <x v="0"/>
    <x v="0"/>
    <s v="HC"/>
    <m/>
    <m/>
    <s v="Henry Ifurung Jr."/>
  </r>
  <r>
    <n v="1381"/>
    <s v="F0"/>
    <x v="60"/>
    <s v="H000004737"/>
    <s v="RT Norway Ezmekly Sales Promotion"/>
    <s v="H000004735"/>
    <s v="New"/>
    <x v="0"/>
    <x v="0"/>
    <s v="HC"/>
    <m/>
    <m/>
    <s v="Henry Ifurung Jr."/>
  </r>
  <r>
    <n v="1382"/>
    <s v="F0"/>
    <x v="60"/>
    <s v="H000004738"/>
    <s v="RT Norway - General"/>
    <s v="H000004732"/>
    <s v="New"/>
    <x v="0"/>
    <x v="0"/>
    <s v="HC"/>
    <m/>
    <m/>
    <s v="Henry Ifurung Jr."/>
  </r>
  <r>
    <n v="1383"/>
    <s v="F0"/>
    <x v="60"/>
    <s v="H000004739"/>
    <s v="RT Norway - General Management"/>
    <s v="H000004738"/>
    <s v="New"/>
    <x v="0"/>
    <x v="0"/>
    <s v="HC"/>
    <m/>
    <m/>
    <s v="Henry Ifurung Jr."/>
  </r>
  <r>
    <n v="1384"/>
    <s v="F0"/>
    <x v="60"/>
    <s v="H000004740"/>
    <s v="RT Norway - MAP"/>
    <s v="H000004738"/>
    <s v="New"/>
    <x v="0"/>
    <x v="0"/>
    <s v="HC"/>
    <m/>
    <m/>
    <s v="Henry Ifurung Jr."/>
  </r>
  <r>
    <n v="1385"/>
    <s v="F0"/>
    <x v="60"/>
    <s v="H000004741"/>
    <s v="RT Norway - GAP"/>
    <s v="H000004738"/>
    <s v="New"/>
    <x v="0"/>
    <x v="0"/>
    <s v="HC"/>
    <m/>
    <m/>
    <s v="Henry Ifurung Jr."/>
  </r>
  <r>
    <n v="1386"/>
    <s v="F0"/>
    <x v="60"/>
    <s v="H000004742"/>
    <s v="RT Norway - Business Ops"/>
    <s v="H000004738"/>
    <s v="New"/>
    <x v="0"/>
    <x v="0"/>
    <s v="HC"/>
    <m/>
    <m/>
    <s v="Henry Ifurung Jr."/>
  </r>
  <r>
    <n v="1387"/>
    <s v="F0"/>
    <x v="60"/>
    <s v="H000004743"/>
    <s v="RT Norway - Other Operating Expense"/>
    <s v="H000004738"/>
    <s v="New"/>
    <x v="0"/>
    <x v="0"/>
    <s v="HC"/>
    <m/>
    <m/>
    <s v="Henry Ifurung Jr."/>
  </r>
  <r>
    <n v="1388"/>
    <s v="F0"/>
    <x v="60"/>
    <s v="H000004744"/>
    <s v="RT Norway Medical &amp; local R&amp;D"/>
    <s v="H000004409"/>
    <s v="New"/>
    <x v="0"/>
    <x v="0"/>
    <s v="HC"/>
    <m/>
    <m/>
    <s v="Henry Ifurung Jr."/>
  </r>
  <r>
    <n v="1389"/>
    <s v="F0"/>
    <x v="60"/>
    <s v="H000004745"/>
    <s v="RT Norway - Medical cost center"/>
    <s v="H000004744"/>
    <s v="New"/>
    <x v="0"/>
    <x v="0"/>
    <s v="HC"/>
    <m/>
    <m/>
    <s v="Henry Ifurung Jr."/>
  </r>
  <r>
    <n v="1390"/>
    <s v="F0"/>
    <x v="60"/>
    <s v="H000004746"/>
    <s v="RT Norway - Medical Non-R&amp;D Activities"/>
    <s v="H000004744"/>
    <s v="New"/>
    <x v="0"/>
    <x v="0"/>
    <s v="HC"/>
    <m/>
    <m/>
    <s v="Henry Ifurung Jr."/>
  </r>
  <r>
    <n v="1391"/>
    <s v="F0"/>
    <x v="60"/>
    <s v="H000004747"/>
    <s v="RT Norway Ogsiveo Medical Activities"/>
    <s v="H000004746"/>
    <s v="New"/>
    <x v="0"/>
    <x v="0"/>
    <s v="HC"/>
    <m/>
    <m/>
    <s v="Henry Ifurung Jr."/>
  </r>
  <r>
    <n v="1392"/>
    <s v="F0"/>
    <x v="60"/>
    <s v="H000004748"/>
    <s v="RT Norway Ezmekly Medical Activities"/>
    <s v="H000004746"/>
    <s v="New"/>
    <x v="0"/>
    <x v="0"/>
    <s v="HC"/>
    <m/>
    <m/>
    <s v="Henry Ifurung Jr."/>
  </r>
  <r>
    <n v="1393"/>
    <s v="F0"/>
    <x v="60"/>
    <s v="H000004749"/>
    <s v="RT Norway Local R&amp;D - Studies"/>
    <s v="H000004744"/>
    <s v="New"/>
    <x v="0"/>
    <x v="0"/>
    <s v="HC"/>
    <m/>
    <m/>
    <s v="Henry Ifurung Jr."/>
  </r>
  <r>
    <n v="1394"/>
    <s v="F0"/>
    <x v="60"/>
    <s v="H000004750"/>
    <s v="RT Norway Ogsiveo Local R&amp;D Studies"/>
    <s v="H000004749"/>
    <s v="New"/>
    <x v="0"/>
    <x v="0"/>
    <s v="HC"/>
    <m/>
    <m/>
    <s v="Henry Ifurung Jr."/>
  </r>
  <r>
    <n v="1395"/>
    <s v="F0"/>
    <x v="60"/>
    <s v="H000004751"/>
    <s v="RT Norway Ezmekly Local R&amp;D Studies"/>
    <s v="H000004749"/>
    <s v="New"/>
    <x v="0"/>
    <x v="0"/>
    <s v="HC"/>
    <m/>
    <m/>
    <s v="Henry Ifurung Jr."/>
  </r>
  <r>
    <n v="1396"/>
    <s v="F0"/>
    <x v="60"/>
    <s v="H000004752"/>
    <s v="RT Czech Rep Commercial"/>
    <s v="H000004407"/>
    <s v="New"/>
    <x v="0"/>
    <x v="0"/>
    <s v="HC"/>
    <m/>
    <m/>
    <s v="Henry Ifurung Jr."/>
  </r>
  <r>
    <n v="1397"/>
    <s v="F0"/>
    <x v="60"/>
    <s v="H000004753"/>
    <s v="RT Czech Rep Field Force"/>
    <s v="H000004752"/>
    <s v="New"/>
    <x v="0"/>
    <x v="0"/>
    <s v="HC"/>
    <m/>
    <m/>
    <s v="Henry Ifurung Jr."/>
  </r>
  <r>
    <n v="1398"/>
    <s v="F0"/>
    <x v="60"/>
    <s v="H000004754"/>
    <s v="RT Czech Rep Marketing"/>
    <s v="H000004752"/>
    <s v="New"/>
    <x v="0"/>
    <x v="0"/>
    <s v="HC"/>
    <m/>
    <m/>
    <s v="Henry Ifurung Jr."/>
  </r>
  <r>
    <n v="1399"/>
    <s v="F0"/>
    <x v="60"/>
    <s v="H000004755"/>
    <s v="RT Czech Rep Sales Promotion"/>
    <s v="H000004752"/>
    <s v="New"/>
    <x v="0"/>
    <x v="0"/>
    <s v="HC"/>
    <m/>
    <m/>
    <s v="Henry Ifurung Jr."/>
  </r>
  <r>
    <n v="1400"/>
    <s v="F0"/>
    <x v="60"/>
    <s v="H000004756"/>
    <s v="RT Czech Rep Ogsiveo Sales Promotion"/>
    <s v="H000004755"/>
    <s v="New"/>
    <x v="0"/>
    <x v="0"/>
    <s v="HC"/>
    <m/>
    <m/>
    <s v="Henry Ifurung Jr."/>
  </r>
  <r>
    <n v="1401"/>
    <s v="F0"/>
    <x v="60"/>
    <s v="H000004757"/>
    <s v="RT Czech Rep Ezmekly Sales Promotion"/>
    <s v="H000004755"/>
    <s v="New"/>
    <x v="0"/>
    <x v="0"/>
    <s v="HC"/>
    <m/>
    <m/>
    <s v="Henry Ifurung Jr."/>
  </r>
  <r>
    <n v="1402"/>
    <s v="F0"/>
    <x v="60"/>
    <s v="H000004758"/>
    <s v="RT Czech Rep - General"/>
    <s v="H000004752"/>
    <s v="New"/>
    <x v="0"/>
    <x v="0"/>
    <s v="HC"/>
    <m/>
    <m/>
    <s v="Henry Ifurung Jr."/>
  </r>
  <r>
    <n v="1403"/>
    <s v="F0"/>
    <x v="60"/>
    <s v="H000004759"/>
    <s v="RT Czech Rep - General Management"/>
    <s v="H000004758"/>
    <s v="New"/>
    <x v="0"/>
    <x v="0"/>
    <s v="HC"/>
    <m/>
    <m/>
    <s v="Henry Ifurung Jr."/>
  </r>
  <r>
    <n v="1404"/>
    <s v="F0"/>
    <x v="60"/>
    <s v="H000004760"/>
    <s v="RT Czech Rep - MAP"/>
    <s v="H000004758"/>
    <s v="New"/>
    <x v="0"/>
    <x v="0"/>
    <s v="HC"/>
    <m/>
    <m/>
    <s v="Henry Ifurung Jr."/>
  </r>
  <r>
    <n v="1405"/>
    <s v="F0"/>
    <x v="60"/>
    <s v="H000004761"/>
    <s v="RT Czech Rep - GAP"/>
    <s v="H000004758"/>
    <s v="New"/>
    <x v="0"/>
    <x v="0"/>
    <s v="HC"/>
    <m/>
    <m/>
    <s v="Henry Ifurung Jr."/>
  </r>
  <r>
    <n v="1406"/>
    <s v="F0"/>
    <x v="60"/>
    <s v="H000004762"/>
    <s v="RT Czech Rep - Business Ops"/>
    <s v="H000004758"/>
    <s v="New"/>
    <x v="0"/>
    <x v="0"/>
    <s v="HC"/>
    <m/>
    <m/>
    <s v="Henry Ifurung Jr."/>
  </r>
  <r>
    <n v="1407"/>
    <s v="F0"/>
    <x v="60"/>
    <s v="H000004763"/>
    <s v="RT Czech Rep - Other Operating Expense"/>
    <s v="H000004758"/>
    <s v="New"/>
    <x v="0"/>
    <x v="0"/>
    <s v="HC"/>
    <m/>
    <m/>
    <s v="Henry Ifurung Jr."/>
  </r>
  <r>
    <n v="1408"/>
    <s v="F0"/>
    <x v="60"/>
    <s v="H000004764"/>
    <s v="RT Czech Rep Medical &amp; local R&amp;D"/>
    <s v="H000004409"/>
    <s v="New"/>
    <x v="0"/>
    <x v="0"/>
    <s v="HC"/>
    <m/>
    <m/>
    <s v="Henry Ifurung Jr."/>
  </r>
  <r>
    <n v="1409"/>
    <s v="F0"/>
    <x v="60"/>
    <s v="H000004765"/>
    <s v="RT Czech Rep - Medical cost center"/>
    <s v="H000004764"/>
    <s v="New"/>
    <x v="0"/>
    <x v="0"/>
    <s v="HC"/>
    <m/>
    <m/>
    <s v="Henry Ifurung Jr."/>
  </r>
  <r>
    <n v="1410"/>
    <s v="F0"/>
    <x v="60"/>
    <s v="H000004766"/>
    <s v="RT Czech Rep-Medical Non-R&amp;D Activities"/>
    <s v="H000004764"/>
    <s v="New"/>
    <x v="0"/>
    <x v="0"/>
    <s v="HC"/>
    <m/>
    <m/>
    <s v="Henry Ifurung Jr."/>
  </r>
  <r>
    <n v="1411"/>
    <s v="F0"/>
    <x v="60"/>
    <s v="H000004767"/>
    <s v="RT Czech Rep Ogsiveo Medical Activities"/>
    <s v="H000004766"/>
    <s v="New"/>
    <x v="0"/>
    <x v="0"/>
    <s v="HC"/>
    <m/>
    <m/>
    <s v="Henry Ifurung Jr."/>
  </r>
  <r>
    <n v="1412"/>
    <s v="F0"/>
    <x v="60"/>
    <s v="H000004768"/>
    <s v="RT Czech Rep Ezmekly Medical Activities"/>
    <s v="H000004766"/>
    <s v="New"/>
    <x v="0"/>
    <x v="0"/>
    <s v="HC"/>
    <m/>
    <m/>
    <s v="Henry Ifurung Jr."/>
  </r>
  <r>
    <n v="1413"/>
    <s v="F0"/>
    <x v="60"/>
    <s v="H000004769"/>
    <s v="RT Czech Rep Local R&amp;D - Studies"/>
    <s v="H000004764"/>
    <s v="New"/>
    <x v="0"/>
    <x v="0"/>
    <s v="HC"/>
    <m/>
    <m/>
    <s v="Henry Ifurung Jr."/>
  </r>
  <r>
    <n v="1414"/>
    <s v="F0"/>
    <x v="60"/>
    <s v="H000004770"/>
    <s v="RT Czech Rep Ogsiveo Local R&amp;D Studies"/>
    <s v="H000004769"/>
    <s v="New"/>
    <x v="0"/>
    <x v="0"/>
    <s v="HC"/>
    <m/>
    <m/>
    <s v="Henry Ifurung Jr."/>
  </r>
  <r>
    <n v="1415"/>
    <s v="F0"/>
    <x v="60"/>
    <s v="H000004771"/>
    <s v="RT Czech Rep Ezmekly Local R&amp;D Studies"/>
    <s v="H000004769"/>
    <s v="New"/>
    <x v="0"/>
    <x v="0"/>
    <s v="HC"/>
    <m/>
    <m/>
    <s v="Henry Ifurung Jr."/>
  </r>
  <r>
    <n v="1416"/>
    <s v="F0"/>
    <x v="60"/>
    <s v="H000004772"/>
    <s v="RT Hungary Commercial"/>
    <s v="H000004407"/>
    <s v="New"/>
    <x v="0"/>
    <x v="0"/>
    <s v="HC"/>
    <m/>
    <m/>
    <s v="Henry Ifurung Jr."/>
  </r>
  <r>
    <n v="1417"/>
    <s v="F0"/>
    <x v="60"/>
    <s v="H000004773"/>
    <s v="RT Hungary Field Force"/>
    <s v="H000004772"/>
    <s v="New"/>
    <x v="0"/>
    <x v="0"/>
    <s v="HC"/>
    <m/>
    <m/>
    <s v="Henry Ifurung Jr."/>
  </r>
  <r>
    <n v="1418"/>
    <s v="F0"/>
    <x v="60"/>
    <s v="H000004774"/>
    <s v="RT Hungary Marketing"/>
    <s v="H000004772"/>
    <s v="New"/>
    <x v="0"/>
    <x v="0"/>
    <s v="HC"/>
    <m/>
    <m/>
    <s v="Henry Ifurung Jr."/>
  </r>
  <r>
    <n v="1419"/>
    <s v="F0"/>
    <x v="60"/>
    <s v="H000004775"/>
    <s v="RT Hungary Sales Promotion"/>
    <s v="H000004772"/>
    <s v="New"/>
    <x v="0"/>
    <x v="0"/>
    <s v="HC"/>
    <m/>
    <m/>
    <s v="Henry Ifurung Jr."/>
  </r>
  <r>
    <n v="1420"/>
    <s v="F0"/>
    <x v="60"/>
    <s v="H000004776"/>
    <s v="RT Hungary Ogsiveo Sales Promotion"/>
    <s v="H000004775"/>
    <s v="New"/>
    <x v="0"/>
    <x v="0"/>
    <s v="HC"/>
    <m/>
    <m/>
    <s v="Henry Ifurung Jr."/>
  </r>
  <r>
    <n v="1421"/>
    <s v="F0"/>
    <x v="60"/>
    <s v="H000004777"/>
    <s v="RT Hungary Ezmekly Sales Promotion"/>
    <s v="H000004775"/>
    <s v="New"/>
    <x v="0"/>
    <x v="0"/>
    <s v="HC"/>
    <m/>
    <m/>
    <s v="Henry Ifurung Jr."/>
  </r>
  <r>
    <n v="1422"/>
    <s v="F0"/>
    <x v="60"/>
    <s v="H000004778"/>
    <s v="RT Hungary - General"/>
    <s v="H000004772"/>
    <s v="New"/>
    <x v="0"/>
    <x v="0"/>
    <s v="HC"/>
    <m/>
    <m/>
    <s v="Henry Ifurung Jr."/>
  </r>
  <r>
    <n v="1423"/>
    <s v="F0"/>
    <x v="60"/>
    <s v="H000004779"/>
    <s v="RT Hungary - General Management"/>
    <s v="H000004778"/>
    <s v="New"/>
    <x v="0"/>
    <x v="0"/>
    <s v="HC"/>
    <m/>
    <m/>
    <s v="Henry Ifurung Jr."/>
  </r>
  <r>
    <n v="1424"/>
    <s v="F0"/>
    <x v="60"/>
    <s v="H000004780"/>
    <s v="RT Hungary - MAP"/>
    <s v="H000004778"/>
    <s v="New"/>
    <x v="0"/>
    <x v="0"/>
    <s v="HC"/>
    <m/>
    <m/>
    <s v="Henry Ifurung Jr."/>
  </r>
  <r>
    <n v="1425"/>
    <s v="F0"/>
    <x v="60"/>
    <s v="H000004781"/>
    <s v="RT Hungary - GAP"/>
    <s v="H000004778"/>
    <s v="New"/>
    <x v="0"/>
    <x v="0"/>
    <s v="HC"/>
    <m/>
    <m/>
    <s v="Henry Ifurung Jr."/>
  </r>
  <r>
    <n v="1426"/>
    <s v="F0"/>
    <x v="60"/>
    <s v="H000004782"/>
    <s v="RT Hungary - Business Ops"/>
    <s v="H000004778"/>
    <s v="New"/>
    <x v="0"/>
    <x v="0"/>
    <s v="HC"/>
    <m/>
    <m/>
    <s v="Henry Ifurung Jr."/>
  </r>
  <r>
    <n v="1427"/>
    <s v="F0"/>
    <x v="60"/>
    <s v="H000004783"/>
    <s v="RT Hungary - Other Operating Expense"/>
    <s v="H000004778"/>
    <s v="New"/>
    <x v="0"/>
    <x v="0"/>
    <s v="HC"/>
    <m/>
    <m/>
    <s v="Henry Ifurung Jr."/>
  </r>
  <r>
    <n v="1428"/>
    <s v="F0"/>
    <x v="60"/>
    <s v="H000004784"/>
    <s v="RT Hungary Medical &amp; local R&amp;D"/>
    <s v="H000004409"/>
    <s v="New"/>
    <x v="0"/>
    <x v="0"/>
    <s v="HC"/>
    <m/>
    <m/>
    <s v="Henry Ifurung Jr."/>
  </r>
  <r>
    <n v="1429"/>
    <s v="F0"/>
    <x v="60"/>
    <s v="H000004785"/>
    <s v="RT Hungary - Medical cost center"/>
    <s v="H000004784"/>
    <s v="New"/>
    <x v="0"/>
    <x v="0"/>
    <s v="HC"/>
    <m/>
    <m/>
    <s v="Henry Ifurung Jr."/>
  </r>
  <r>
    <n v="1430"/>
    <s v="F0"/>
    <x v="60"/>
    <s v="H000004786"/>
    <s v="RT Hungary - Medical Non-R&amp;D Activities"/>
    <s v="H000004784"/>
    <s v="New"/>
    <x v="0"/>
    <x v="0"/>
    <s v="HC"/>
    <m/>
    <m/>
    <s v="Henry Ifurung Jr."/>
  </r>
  <r>
    <n v="1431"/>
    <s v="F0"/>
    <x v="60"/>
    <s v="H000004787"/>
    <s v="RT Hungary Ogsiveo Medical Activities"/>
    <s v="H000004786"/>
    <s v="New"/>
    <x v="0"/>
    <x v="0"/>
    <s v="HC"/>
    <m/>
    <m/>
    <s v="Henry Ifurung Jr."/>
  </r>
  <r>
    <n v="1432"/>
    <s v="F0"/>
    <x v="60"/>
    <s v="H000004788"/>
    <s v="RT Hungary Ezmekly Medical Activities"/>
    <s v="H000004786"/>
    <s v="New"/>
    <x v="0"/>
    <x v="0"/>
    <s v="HC"/>
    <m/>
    <m/>
    <s v="Henry Ifurung Jr."/>
  </r>
  <r>
    <n v="1433"/>
    <s v="F0"/>
    <x v="60"/>
    <s v="H000004789"/>
    <s v="RT Hungary Local R&amp;D - Studies"/>
    <s v="H000004784"/>
    <s v="New"/>
    <x v="0"/>
    <x v="0"/>
    <s v="HC"/>
    <m/>
    <m/>
    <s v="Henry Ifurung Jr."/>
  </r>
  <r>
    <n v="1434"/>
    <s v="F0"/>
    <x v="60"/>
    <s v="H000004790"/>
    <s v="RT Hungary Ogsiveo Local R&amp;D Studies"/>
    <s v="H000004789"/>
    <s v="New"/>
    <x v="0"/>
    <x v="0"/>
    <s v="HC"/>
    <m/>
    <m/>
    <s v="Henry Ifurung Jr."/>
  </r>
  <r>
    <n v="1435"/>
    <s v="F0"/>
    <x v="60"/>
    <s v="H000004791"/>
    <s v="RT Hungary Ezmekly Local R&amp;D Studies"/>
    <s v="H000004789"/>
    <s v="New"/>
    <x v="0"/>
    <x v="0"/>
    <s v="HC"/>
    <m/>
    <m/>
    <s v="Henry Ifurung Jr."/>
  </r>
  <r>
    <n v="1436"/>
    <s v="F0"/>
    <x v="60"/>
    <s v="H000004792"/>
    <s v="RT Greece Commercial"/>
    <s v="H000004407"/>
    <s v="New"/>
    <x v="0"/>
    <x v="0"/>
    <s v="HC"/>
    <m/>
    <m/>
    <s v="Henry Ifurung Jr."/>
  </r>
  <r>
    <n v="1437"/>
    <s v="F0"/>
    <x v="60"/>
    <s v="H000004793"/>
    <s v="RT Greece Field Force"/>
    <s v="H000004792"/>
    <s v="New"/>
    <x v="0"/>
    <x v="0"/>
    <s v="HC"/>
    <m/>
    <m/>
    <s v="Henry Ifurung Jr."/>
  </r>
  <r>
    <n v="1438"/>
    <s v="F0"/>
    <x v="60"/>
    <s v="H000004794"/>
    <s v="RT Greece Marketing"/>
    <s v="H000004792"/>
    <s v="New"/>
    <x v="0"/>
    <x v="0"/>
    <s v="HC"/>
    <m/>
    <m/>
    <s v="Henry Ifurung Jr."/>
  </r>
  <r>
    <n v="1439"/>
    <s v="F0"/>
    <x v="60"/>
    <s v="H000004795"/>
    <s v="RT Greece Sales Promotion"/>
    <s v="H000004792"/>
    <s v="New"/>
    <x v="0"/>
    <x v="0"/>
    <s v="HC"/>
    <m/>
    <m/>
    <s v="Henry Ifurung Jr."/>
  </r>
  <r>
    <n v="1440"/>
    <s v="F0"/>
    <x v="60"/>
    <s v="H000004796"/>
    <s v="RT Greece Ogsiveo Sales Promotion"/>
    <s v="H000004795"/>
    <s v="New"/>
    <x v="0"/>
    <x v="0"/>
    <s v="HC"/>
    <m/>
    <m/>
    <s v="Henry Ifurung Jr."/>
  </r>
  <r>
    <n v="1441"/>
    <s v="F0"/>
    <x v="60"/>
    <s v="H000004797"/>
    <s v="RT Greece Ezmekly Sales Promotion"/>
    <s v="H000004795"/>
    <s v="New"/>
    <x v="0"/>
    <x v="0"/>
    <s v="HC"/>
    <m/>
    <m/>
    <s v="Henry Ifurung Jr."/>
  </r>
  <r>
    <n v="1442"/>
    <s v="F0"/>
    <x v="60"/>
    <s v="H000004798"/>
    <s v="RT Greece - General"/>
    <s v="H000004792"/>
    <s v="New"/>
    <x v="0"/>
    <x v="0"/>
    <s v="HC"/>
    <m/>
    <m/>
    <s v="Henry Ifurung Jr."/>
  </r>
  <r>
    <n v="1443"/>
    <s v="F0"/>
    <x v="60"/>
    <s v="H000004799"/>
    <s v="RT Greece - General Management"/>
    <s v="H000004798"/>
    <s v="New"/>
    <x v="0"/>
    <x v="0"/>
    <s v="HC"/>
    <m/>
    <m/>
    <s v="Henry Ifurung Jr."/>
  </r>
  <r>
    <n v="1444"/>
    <s v="F0"/>
    <x v="60"/>
    <s v="H000004800"/>
    <s v="RT Greece - MAP"/>
    <s v="H000004798"/>
    <s v="New"/>
    <x v="0"/>
    <x v="0"/>
    <s v="HC"/>
    <m/>
    <m/>
    <s v="Henry Ifurung Jr."/>
  </r>
  <r>
    <n v="1445"/>
    <s v="F0"/>
    <x v="60"/>
    <s v="H000004801"/>
    <s v="RT Greece - GAP"/>
    <s v="H000004798"/>
    <s v="New"/>
    <x v="0"/>
    <x v="0"/>
    <s v="HC"/>
    <m/>
    <m/>
    <s v="Henry Ifurung Jr."/>
  </r>
  <r>
    <n v="1446"/>
    <s v="F0"/>
    <x v="60"/>
    <s v="H000004802"/>
    <s v="RT Greece - Business Ops"/>
    <s v="H000004798"/>
    <s v="New"/>
    <x v="0"/>
    <x v="0"/>
    <s v="HC"/>
    <m/>
    <m/>
    <s v="Henry Ifurung Jr."/>
  </r>
  <r>
    <n v="1447"/>
    <s v="F0"/>
    <x v="60"/>
    <s v="H000004803"/>
    <s v="RT Greece - Other Operating Expense"/>
    <s v="H000004798"/>
    <s v="New"/>
    <x v="0"/>
    <x v="0"/>
    <s v="HC"/>
    <m/>
    <m/>
    <s v="Henry Ifurung Jr."/>
  </r>
  <r>
    <n v="1448"/>
    <s v="F0"/>
    <x v="60"/>
    <s v="H000004804"/>
    <s v="RT Greece Medical &amp; local R&amp;D"/>
    <s v="H000004409"/>
    <s v="New"/>
    <x v="0"/>
    <x v="0"/>
    <s v="HC"/>
    <m/>
    <m/>
    <s v="Henry Ifurung Jr."/>
  </r>
  <r>
    <n v="1449"/>
    <s v="F0"/>
    <x v="60"/>
    <s v="H000004805"/>
    <s v="RT Greece - Medical cost center"/>
    <s v="H000004804"/>
    <s v="New"/>
    <x v="0"/>
    <x v="0"/>
    <s v="HC"/>
    <m/>
    <m/>
    <s v="Henry Ifurung Jr."/>
  </r>
  <r>
    <n v="1450"/>
    <s v="F0"/>
    <x v="60"/>
    <s v="H000004806"/>
    <s v="RT Greece - Medical Non-R&amp;D Activities"/>
    <s v="H000004804"/>
    <s v="New"/>
    <x v="0"/>
    <x v="0"/>
    <s v="HC"/>
    <m/>
    <m/>
    <s v="Henry Ifurung Jr."/>
  </r>
  <r>
    <n v="1451"/>
    <s v="F0"/>
    <x v="60"/>
    <s v="H000004807"/>
    <s v="RT Greece Ogsiveo Medical Activities"/>
    <s v="H000004806"/>
    <s v="New"/>
    <x v="0"/>
    <x v="0"/>
    <s v="HC"/>
    <m/>
    <m/>
    <s v="Henry Ifurung Jr."/>
  </r>
  <r>
    <n v="1452"/>
    <s v="F0"/>
    <x v="60"/>
    <s v="H000004808"/>
    <s v="RT Greece Ezmekly Medical Activities"/>
    <s v="H000004806"/>
    <s v="New"/>
    <x v="0"/>
    <x v="0"/>
    <s v="HC"/>
    <m/>
    <m/>
    <s v="Henry Ifurung Jr."/>
  </r>
  <r>
    <n v="1453"/>
    <s v="F0"/>
    <x v="60"/>
    <s v="H000004809"/>
    <s v="RT Greece Local R&amp;D - Studies"/>
    <s v="H000004804"/>
    <s v="New"/>
    <x v="0"/>
    <x v="0"/>
    <s v="HC"/>
    <m/>
    <m/>
    <s v="Henry Ifurung Jr."/>
  </r>
  <r>
    <n v="1454"/>
    <s v="F0"/>
    <x v="60"/>
    <s v="H000004810"/>
    <s v="RT Greece Ogsiveo Local R&amp;D Studies"/>
    <s v="H000004809"/>
    <s v="New"/>
    <x v="0"/>
    <x v="0"/>
    <s v="HC"/>
    <m/>
    <m/>
    <s v="Henry Ifurung Jr."/>
  </r>
  <r>
    <n v="1455"/>
    <s v="F0"/>
    <x v="60"/>
    <s v="H000004811"/>
    <s v="RT Greece Ezmekly Local R&amp;D Studies"/>
    <s v="H000004809"/>
    <s v="New"/>
    <x v="0"/>
    <x v="0"/>
    <s v="HC"/>
    <m/>
    <m/>
    <s v="Henry Ifurung Jr."/>
  </r>
  <r>
    <n v="1456"/>
    <s v="F0"/>
    <x v="60"/>
    <s v="H000004812"/>
    <s v="RT Slovenia Commercial"/>
    <s v="H000004407"/>
    <s v="New"/>
    <x v="0"/>
    <x v="0"/>
    <s v="HC"/>
    <m/>
    <m/>
    <s v="Henry Ifurung Jr."/>
  </r>
  <r>
    <n v="1457"/>
    <s v="F0"/>
    <x v="60"/>
    <s v="H000004813"/>
    <s v="RT Slovenia Field Force"/>
    <s v="H000004812"/>
    <s v="New"/>
    <x v="0"/>
    <x v="0"/>
    <s v="HC"/>
    <m/>
    <m/>
    <s v="Henry Ifurung Jr."/>
  </r>
  <r>
    <n v="1458"/>
    <s v="F0"/>
    <x v="60"/>
    <s v="H000004814"/>
    <s v="RT Slovenia Marketing"/>
    <s v="H000004812"/>
    <s v="New"/>
    <x v="0"/>
    <x v="0"/>
    <s v="HC"/>
    <m/>
    <m/>
    <s v="Henry Ifurung Jr."/>
  </r>
  <r>
    <n v="1459"/>
    <s v="F0"/>
    <x v="60"/>
    <s v="H000004815"/>
    <s v="RT Slovenia Sales Promotion"/>
    <s v="H000004812"/>
    <s v="New"/>
    <x v="0"/>
    <x v="0"/>
    <s v="HC"/>
    <m/>
    <m/>
    <s v="Henry Ifurung Jr."/>
  </r>
  <r>
    <n v="1460"/>
    <s v="F0"/>
    <x v="60"/>
    <s v="H000004816"/>
    <s v="RT Slovenia Ogsiveo Sales Promotion"/>
    <s v="H000004815"/>
    <s v="New"/>
    <x v="0"/>
    <x v="0"/>
    <s v="HC"/>
    <m/>
    <m/>
    <s v="Henry Ifurung Jr."/>
  </r>
  <r>
    <n v="1461"/>
    <s v="F0"/>
    <x v="60"/>
    <s v="H000004817"/>
    <s v="RT Slovenia Ezmekly Sales Promotion"/>
    <s v="H000004815"/>
    <s v="New"/>
    <x v="0"/>
    <x v="0"/>
    <s v="HC"/>
    <m/>
    <m/>
    <s v="Henry Ifurung Jr."/>
  </r>
  <r>
    <n v="1462"/>
    <s v="F0"/>
    <x v="60"/>
    <s v="H000004818"/>
    <s v="RT Slovenia - General"/>
    <s v="H000004812"/>
    <s v="New"/>
    <x v="0"/>
    <x v="0"/>
    <s v="HC"/>
    <m/>
    <m/>
    <s v="Henry Ifurung Jr."/>
  </r>
  <r>
    <n v="1463"/>
    <s v="F0"/>
    <x v="60"/>
    <s v="H000004819"/>
    <s v="RT Slovenia - General Management"/>
    <s v="H000004818"/>
    <s v="New"/>
    <x v="0"/>
    <x v="0"/>
    <s v="HC"/>
    <m/>
    <m/>
    <s v="Henry Ifurung Jr."/>
  </r>
  <r>
    <n v="1464"/>
    <s v="F0"/>
    <x v="60"/>
    <s v="H000004820"/>
    <s v="RT Slovenia - MAP"/>
    <s v="H000004818"/>
    <s v="New"/>
    <x v="0"/>
    <x v="0"/>
    <s v="HC"/>
    <m/>
    <m/>
    <s v="Henry Ifurung Jr."/>
  </r>
  <r>
    <n v="1465"/>
    <s v="F0"/>
    <x v="60"/>
    <s v="H000004821"/>
    <s v="RT Slovenia - GAP"/>
    <s v="H000004818"/>
    <s v="New"/>
    <x v="0"/>
    <x v="0"/>
    <s v="HC"/>
    <m/>
    <m/>
    <s v="Henry Ifurung Jr."/>
  </r>
  <r>
    <n v="1466"/>
    <s v="F0"/>
    <x v="60"/>
    <s v="H000004822"/>
    <s v="RT Slovenia - Business Ops"/>
    <s v="H000004818"/>
    <s v="New"/>
    <x v="0"/>
    <x v="0"/>
    <s v="HC"/>
    <m/>
    <m/>
    <s v="Henry Ifurung Jr."/>
  </r>
  <r>
    <n v="1467"/>
    <s v="F0"/>
    <x v="60"/>
    <s v="H000004823"/>
    <s v="RT Slovenia - Other Operating Expense"/>
    <s v="H000004818"/>
    <s v="New"/>
    <x v="0"/>
    <x v="0"/>
    <s v="HC"/>
    <m/>
    <m/>
    <s v="Henry Ifurung Jr."/>
  </r>
  <r>
    <n v="1468"/>
    <s v="F0"/>
    <x v="60"/>
    <s v="H000004824"/>
    <s v="RT Slovenia Medical &amp; local R&amp;D"/>
    <s v="H000004409"/>
    <s v="New"/>
    <x v="0"/>
    <x v="0"/>
    <s v="HC"/>
    <m/>
    <m/>
    <s v="Henry Ifurung Jr."/>
  </r>
  <r>
    <n v="1469"/>
    <s v="F0"/>
    <x v="60"/>
    <s v="H000004825"/>
    <s v="RT Slovenia - Medical cost center"/>
    <s v="H000004824"/>
    <s v="New"/>
    <x v="0"/>
    <x v="0"/>
    <s v="HC"/>
    <m/>
    <m/>
    <s v="Henry Ifurung Jr."/>
  </r>
  <r>
    <n v="1470"/>
    <s v="F0"/>
    <x v="60"/>
    <s v="H000004826"/>
    <s v="RT Slovenia - Medical Non-R&amp;D Activities"/>
    <s v="H000004824"/>
    <s v="New"/>
    <x v="0"/>
    <x v="0"/>
    <s v="HC"/>
    <m/>
    <m/>
    <s v="Henry Ifurung Jr."/>
  </r>
  <r>
    <n v="1471"/>
    <s v="F0"/>
    <x v="60"/>
    <s v="H000004827"/>
    <s v="RT Slovenia Ogsiveo Medical Activities"/>
    <s v="H000004826"/>
    <s v="New"/>
    <x v="0"/>
    <x v="0"/>
    <s v="HC"/>
    <m/>
    <m/>
    <s v="Henry Ifurung Jr."/>
  </r>
  <r>
    <n v="1472"/>
    <s v="F0"/>
    <x v="60"/>
    <s v="H000004828"/>
    <s v="RT Slovenia Ezmekly Medical Activities"/>
    <s v="H000004826"/>
    <s v="New"/>
    <x v="0"/>
    <x v="0"/>
    <s v="HC"/>
    <m/>
    <m/>
    <s v="Henry Ifurung Jr."/>
  </r>
  <r>
    <n v="1473"/>
    <s v="F0"/>
    <x v="60"/>
    <s v="H000004829"/>
    <s v="RT Slovenia Local R&amp;D - Studies"/>
    <s v="H000004824"/>
    <s v="New"/>
    <x v="0"/>
    <x v="0"/>
    <s v="HC"/>
    <m/>
    <m/>
    <s v="Henry Ifurung Jr."/>
  </r>
  <r>
    <n v="1474"/>
    <s v="F0"/>
    <x v="60"/>
    <s v="H000004830"/>
    <s v="RT Slovenia Ogsiveo Local R&amp;D Studies"/>
    <s v="H000004829"/>
    <s v="New"/>
    <x v="0"/>
    <x v="0"/>
    <s v="HC"/>
    <m/>
    <m/>
    <s v="Henry Ifurung Jr."/>
  </r>
  <r>
    <n v="1475"/>
    <s v="F0"/>
    <x v="60"/>
    <s v="H000004831"/>
    <s v="RT Slovenia Ezmekly Local R&amp;D Studies"/>
    <s v="H000004829"/>
    <s v="New"/>
    <x v="0"/>
    <x v="0"/>
    <s v="HC"/>
    <m/>
    <m/>
    <s v="Henry Ifurung Jr."/>
  </r>
  <r>
    <n v="1476"/>
    <s v="F0"/>
    <x v="60"/>
    <s v="H000004832"/>
    <s v="RT Bulgaria Commercial"/>
    <s v="H000004407"/>
    <s v="New"/>
    <x v="0"/>
    <x v="0"/>
    <s v="HC"/>
    <m/>
    <m/>
    <s v="Henry Ifurung Jr."/>
  </r>
  <r>
    <n v="1477"/>
    <s v="F0"/>
    <x v="60"/>
    <s v="H000004833"/>
    <s v="RT Bulgaria Field Force"/>
    <s v="H000004832"/>
    <s v="New"/>
    <x v="0"/>
    <x v="0"/>
    <s v="HC"/>
    <m/>
    <m/>
    <s v="Henry Ifurung Jr."/>
  </r>
  <r>
    <n v="1478"/>
    <s v="F0"/>
    <x v="60"/>
    <s v="H000004834"/>
    <s v="RT Bulgaria Marketing"/>
    <s v="H000004832"/>
    <s v="New"/>
    <x v="0"/>
    <x v="0"/>
    <s v="HC"/>
    <m/>
    <m/>
    <s v="Henry Ifurung Jr."/>
  </r>
  <r>
    <n v="1479"/>
    <s v="F0"/>
    <x v="60"/>
    <s v="H000004835"/>
    <s v="RT Bulgaria Sales Promotion"/>
    <s v="H000004832"/>
    <s v="New"/>
    <x v="0"/>
    <x v="0"/>
    <s v="HC"/>
    <m/>
    <m/>
    <s v="Henry Ifurung Jr."/>
  </r>
  <r>
    <n v="1480"/>
    <s v="F0"/>
    <x v="60"/>
    <s v="H000004836"/>
    <s v="RT Bulgaria Ogsiveo Sales Promotion"/>
    <s v="H000004835"/>
    <s v="New"/>
    <x v="0"/>
    <x v="0"/>
    <s v="HC"/>
    <m/>
    <m/>
    <s v="Henry Ifurung Jr."/>
  </r>
  <r>
    <n v="1481"/>
    <s v="F0"/>
    <x v="60"/>
    <s v="H000004837"/>
    <s v="RT Bulgaria Ezmekly Sales Promotion"/>
    <s v="H000004835"/>
    <s v="New"/>
    <x v="0"/>
    <x v="0"/>
    <s v="HC"/>
    <m/>
    <m/>
    <s v="Henry Ifurung Jr."/>
  </r>
  <r>
    <n v="1482"/>
    <s v="F0"/>
    <x v="60"/>
    <s v="H000004838"/>
    <s v="RT Bulgaria - General"/>
    <s v="H000004832"/>
    <s v="New"/>
    <x v="0"/>
    <x v="0"/>
    <s v="HC"/>
    <m/>
    <m/>
    <s v="Henry Ifurung Jr."/>
  </r>
  <r>
    <n v="1483"/>
    <s v="F0"/>
    <x v="60"/>
    <s v="H000004839"/>
    <s v="RT Bulgaria - General Management"/>
    <s v="H000004838"/>
    <s v="New"/>
    <x v="0"/>
    <x v="0"/>
    <s v="HC"/>
    <m/>
    <m/>
    <s v="Henry Ifurung Jr."/>
  </r>
  <r>
    <n v="1484"/>
    <s v="F0"/>
    <x v="60"/>
    <s v="H000004840"/>
    <s v="RT Bulgaria - MAP"/>
    <s v="H000004838"/>
    <s v="New"/>
    <x v="0"/>
    <x v="0"/>
    <s v="HC"/>
    <m/>
    <m/>
    <s v="Henry Ifurung Jr."/>
  </r>
  <r>
    <n v="1485"/>
    <s v="F0"/>
    <x v="60"/>
    <s v="H000004841"/>
    <s v="RT Bulgaria - GAP"/>
    <s v="H000004838"/>
    <s v="New"/>
    <x v="0"/>
    <x v="0"/>
    <s v="HC"/>
    <m/>
    <m/>
    <s v="Henry Ifurung Jr."/>
  </r>
  <r>
    <n v="1486"/>
    <s v="F0"/>
    <x v="60"/>
    <s v="H000004842"/>
    <s v="RT Bulgaria - Business Ops"/>
    <s v="H000004838"/>
    <s v="New"/>
    <x v="0"/>
    <x v="0"/>
    <s v="HC"/>
    <m/>
    <m/>
    <s v="Henry Ifurung Jr."/>
  </r>
  <r>
    <n v="1487"/>
    <s v="F0"/>
    <x v="60"/>
    <s v="H000004843"/>
    <s v="RT Bulgaria - Other Operating Expense"/>
    <s v="H000004838"/>
    <s v="New"/>
    <x v="0"/>
    <x v="0"/>
    <s v="HC"/>
    <m/>
    <m/>
    <s v="Henry Ifurung Jr."/>
  </r>
  <r>
    <n v="1488"/>
    <s v="F0"/>
    <x v="60"/>
    <s v="H000004844"/>
    <s v="RT Bulgaria Medical &amp; local R&amp;D"/>
    <s v="H000004409"/>
    <s v="New"/>
    <x v="0"/>
    <x v="0"/>
    <s v="HC"/>
    <m/>
    <m/>
    <s v="Henry Ifurung Jr."/>
  </r>
  <r>
    <n v="1489"/>
    <s v="F0"/>
    <x v="60"/>
    <s v="H000004845"/>
    <s v="RT Bulgaria - Medical cost center"/>
    <s v="H000004844"/>
    <s v="New"/>
    <x v="0"/>
    <x v="0"/>
    <s v="HC"/>
    <m/>
    <m/>
    <s v="Henry Ifurung Jr."/>
  </r>
  <r>
    <n v="1490"/>
    <s v="F0"/>
    <x v="60"/>
    <s v="H000004846"/>
    <s v="RT Bulgaria - Medical Non-R&amp;D Activities"/>
    <s v="H000004844"/>
    <s v="New"/>
    <x v="0"/>
    <x v="0"/>
    <s v="HC"/>
    <m/>
    <m/>
    <s v="Henry Ifurung Jr."/>
  </r>
  <r>
    <n v="1491"/>
    <s v="F0"/>
    <x v="60"/>
    <s v="H000004847"/>
    <s v="RT Bulgaria Ogsiveo Medical Activities"/>
    <s v="H000004846"/>
    <s v="New"/>
    <x v="0"/>
    <x v="0"/>
    <s v="HC"/>
    <m/>
    <m/>
    <s v="Henry Ifurung Jr."/>
  </r>
  <r>
    <n v="1492"/>
    <s v="F0"/>
    <x v="60"/>
    <s v="H000004848"/>
    <s v="RT Bulgaria Ezmekly Medical Activities"/>
    <s v="H000004846"/>
    <s v="New"/>
    <x v="0"/>
    <x v="0"/>
    <s v="HC"/>
    <m/>
    <m/>
    <s v="Henry Ifurung Jr."/>
  </r>
  <r>
    <n v="1493"/>
    <s v="F0"/>
    <x v="60"/>
    <s v="H000004849"/>
    <s v="RT Bulgaria Local R&amp;D - Studies"/>
    <s v="H000004844"/>
    <s v="New"/>
    <x v="0"/>
    <x v="0"/>
    <s v="HC"/>
    <m/>
    <m/>
    <s v="Henry Ifurung Jr."/>
  </r>
  <r>
    <n v="1494"/>
    <s v="F0"/>
    <x v="60"/>
    <s v="H000004850"/>
    <s v="RT Bulgaria Ogsiveo Local R&amp;D Studies"/>
    <s v="H000004849"/>
    <s v="New"/>
    <x v="0"/>
    <x v="0"/>
    <s v="HC"/>
    <m/>
    <m/>
    <s v="Henry Ifurung Jr."/>
  </r>
  <r>
    <n v="1495"/>
    <s v="F0"/>
    <x v="60"/>
    <s v="H000004851"/>
    <s v="RT Bulgaria Ezmekly Local R&amp;D Studies"/>
    <s v="H000004849"/>
    <s v="New"/>
    <x v="0"/>
    <x v="0"/>
    <s v="HC"/>
    <m/>
    <m/>
    <s v="Henry Ifurung Jr."/>
  </r>
  <r>
    <n v="1496"/>
    <s v="F0"/>
    <x v="61"/>
    <s v="H000001071"/>
    <m/>
    <s v="H000000868"/>
    <s v="Move"/>
    <x v="0"/>
    <x v="0"/>
    <s v="MGF"/>
    <m/>
    <m/>
    <s v="Erjo Miguel Tagle"/>
  </r>
  <r>
    <n v="1497"/>
    <s v="F0"/>
    <x v="62"/>
    <s v="H000004852"/>
    <s v="North Cone"/>
    <s v="H000000332"/>
    <s v="New"/>
    <x v="0"/>
    <x v="0"/>
    <s v="HC"/>
    <m/>
    <m/>
    <s v="Henry Ifurung Jr."/>
  </r>
  <r>
    <n v="1498"/>
    <s v="F0"/>
    <x v="62"/>
    <s v="H000001105"/>
    <m/>
    <s v="H000004852"/>
    <s v="Move"/>
    <x v="0"/>
    <x v="0"/>
    <s v="HC"/>
    <m/>
    <m/>
    <s v="Henry Ifurung Jr."/>
  </r>
  <r>
    <n v="1499"/>
    <s v="F0"/>
    <x v="62"/>
    <s v="H000000340"/>
    <m/>
    <s v="H000004852"/>
    <s v="Move"/>
    <x v="0"/>
    <x v="0"/>
    <s v="HC"/>
    <m/>
    <m/>
    <s v="Henry Ifurung Jr."/>
  </r>
  <r>
    <n v="1500"/>
    <s v="F0"/>
    <x v="63"/>
    <s v="H000004853"/>
    <s v="CN - FD ISS MKT Dragon"/>
    <s v="H000001455"/>
    <s v="New"/>
    <x v="0"/>
    <x v="0"/>
    <s v="HC"/>
    <m/>
    <m/>
    <s v="John Poulie Borromeo"/>
  </r>
  <r>
    <n v="1501"/>
    <s v="F0"/>
    <x v="63"/>
    <s v="H000004854"/>
    <s v="CN - FD SP MKT Dragon"/>
    <s v="H000001485"/>
    <s v="New"/>
    <x v="0"/>
    <x v="0"/>
    <s v="HC"/>
    <m/>
    <m/>
    <s v="John Poulie Borromeo"/>
  </r>
  <r>
    <n v="1502"/>
    <s v="F0"/>
    <x v="63"/>
    <s v="H000004855"/>
    <s v="CN - CM&amp;E FF Thyrotropin"/>
    <s v="H000001341"/>
    <s v="New"/>
    <x v="0"/>
    <x v="0"/>
    <s v="HC"/>
    <m/>
    <m/>
    <s v="John Poulie Borromeo"/>
  </r>
  <r>
    <n v="1503"/>
    <s v="F0"/>
    <x v="63"/>
    <s v="H000004856"/>
    <s v="CN - CM&amp;E FF Retail"/>
    <s v="H000001341"/>
    <s v="New"/>
    <x v="0"/>
    <x v="0"/>
    <s v="HC"/>
    <m/>
    <m/>
    <s v="John Poulie Borromeo"/>
  </r>
  <r>
    <n v="1504"/>
    <s v="F0"/>
    <x v="63"/>
    <s v="H000004857"/>
    <s v="CN - CM&amp;E ISS Thyrotropin"/>
    <s v="H000001361"/>
    <s v="New"/>
    <x v="0"/>
    <x v="0"/>
    <s v="HC"/>
    <m/>
    <m/>
    <s v="John Poulie Borromeo"/>
  </r>
  <r>
    <n v="1505"/>
    <s v="F0"/>
    <x v="63"/>
    <s v="H000004858"/>
    <s v="CN - CM&amp;E ISS Retail"/>
    <s v="H000001361"/>
    <s v="New"/>
    <x v="0"/>
    <x v="0"/>
    <s v="HC"/>
    <m/>
    <m/>
    <s v="John Poulie Borromeo"/>
  </r>
  <r>
    <n v="1506"/>
    <s v="F0"/>
    <x v="63"/>
    <s v="H000004859"/>
    <s v="CN - CM&amp;E FF Thyrotropin Sales"/>
    <s v="H000004855"/>
    <s v="New"/>
    <x v="0"/>
    <x v="0"/>
    <s v="HC"/>
    <m/>
    <m/>
    <s v="John Poulie Borromeo"/>
  </r>
  <r>
    <n v="1507"/>
    <s v="F0"/>
    <x v="63"/>
    <s v="H000004860"/>
    <s v="CN - CM&amp;E FF Retail Sales"/>
    <s v="H000004856"/>
    <s v="New"/>
    <x v="0"/>
    <x v="0"/>
    <s v="HC"/>
    <m/>
    <m/>
    <s v="John Poulie Borromeo"/>
  </r>
  <r>
    <n v="1508"/>
    <s v="F0"/>
    <x v="63"/>
    <s v="H000004861"/>
    <s v="CN - CM&amp;E ISS Thyrotropin MKT"/>
    <s v="H000004857"/>
    <s v="New"/>
    <x v="0"/>
    <x v="0"/>
    <s v="HC"/>
    <m/>
    <m/>
    <s v="John Poulie Borromeo"/>
  </r>
  <r>
    <n v="1509"/>
    <s v="F0"/>
    <x v="63"/>
    <s v="H000004862"/>
    <s v="CN - CM&amp;E ISS Retail MKT"/>
    <s v="H000004858"/>
    <s v="New"/>
    <x v="0"/>
    <x v="0"/>
    <s v="HC"/>
    <m/>
    <m/>
    <s v="John Poulie Borromeo"/>
  </r>
  <r>
    <n v="1510"/>
    <s v="F0"/>
    <x v="63"/>
    <s v="H000001556"/>
    <s v="CN - SEI"/>
    <m/>
    <s v="Rename"/>
    <x v="0"/>
    <x v="0"/>
    <s v="HC"/>
    <m/>
    <m/>
    <s v="John Poulie Borromeo"/>
  </r>
  <r>
    <n v="1511"/>
    <s v="F0"/>
    <x v="63"/>
    <s v="H000001557"/>
    <s v="CN - Field Force SEI"/>
    <m/>
    <s v="Rename"/>
    <x v="0"/>
    <x v="0"/>
    <s v="HC"/>
    <m/>
    <m/>
    <s v="John Poulie Borromeo"/>
  </r>
  <r>
    <n v="1512"/>
    <s v="F0"/>
    <x v="63"/>
    <s v="H000001564"/>
    <s v="CN - Sales promotion activities SEI"/>
    <m/>
    <s v="Rename"/>
    <x v="0"/>
    <x v="0"/>
    <s v="HC"/>
    <m/>
    <m/>
    <s v="John Poulie Borromeo"/>
  </r>
  <r>
    <n v="1513"/>
    <s v="F0"/>
    <x v="63"/>
    <s v="H000001565"/>
    <s v="CN - GMA"/>
    <m/>
    <s v="Rename"/>
    <x v="0"/>
    <x v="0"/>
    <s v="HC"/>
    <m/>
    <m/>
    <s v="John Poulie Borromeo"/>
  </r>
  <r>
    <n v="1514"/>
    <s v="F0"/>
    <x v="63"/>
    <s v="H000001566"/>
    <s v="CN - Field Force GMA"/>
    <m/>
    <s v="Rename"/>
    <x v="0"/>
    <x v="0"/>
    <s v="HC"/>
    <m/>
    <m/>
    <s v="John Poulie Borromeo"/>
  </r>
  <r>
    <n v="1515"/>
    <s v="F0"/>
    <x v="63"/>
    <s v="H000001580"/>
    <s v="CN - Internal sales service GMA"/>
    <m/>
    <s v="Rename"/>
    <x v="0"/>
    <x v="0"/>
    <s v="HC"/>
    <m/>
    <m/>
    <s v="John Poulie Borromeo"/>
  </r>
  <r>
    <n v="1516"/>
    <s v="F0"/>
    <x v="63"/>
    <s v="H000001589"/>
    <s v="CN - Sales promotion activities GMA"/>
    <m/>
    <s v="Rename"/>
    <x v="0"/>
    <x v="0"/>
    <s v="HC"/>
    <m/>
    <m/>
    <s v="John Poulie Borromeo"/>
  </r>
  <r>
    <n v="1517"/>
    <s v="F0"/>
    <x v="64"/>
    <s v="G000001450"/>
    <s v="GMZ MBS Hub Bangalore - L&amp;D"/>
    <s v="G000001144"/>
    <s v="New"/>
    <x v="0"/>
    <x v="1"/>
    <s v="MGF"/>
    <s v="named/assigned"/>
    <e v="#N/A"/>
    <s v="Jojeff Tagnong"/>
  </r>
  <r>
    <n v="1518"/>
    <s v="F0"/>
    <x v="64"/>
    <s v="G000001451"/>
    <s v="GO8 HR - Healthcare Center and Wellbeing"/>
    <s v="G000000588"/>
    <s v="New"/>
    <x v="0"/>
    <x v="1"/>
    <s v="MGF"/>
    <s v="named/assigned"/>
    <e v="#N/A"/>
    <s v="Jojeff Tagnong"/>
  </r>
  <r>
    <n v="1519"/>
    <s v="F0"/>
    <x v="64"/>
    <s v="G000001452"/>
    <s v="F84 PS - Databases"/>
    <s v="G000000591"/>
    <s v="New"/>
    <x v="0"/>
    <x v="1"/>
    <s v="MGF"/>
    <s v="named/assigned"/>
    <e v="#N/A"/>
    <s v="Jojeff Tagnong"/>
  </r>
  <r>
    <n v="1520"/>
    <s v="F0"/>
    <x v="64"/>
    <s v="G000001453"/>
    <s v="F87 ST - SMARTfacturing Ripple"/>
    <s v="G000000597"/>
    <s v="New"/>
    <x v="0"/>
    <x v="1"/>
    <s v="MGF"/>
    <s v="named/assigned"/>
    <e v="#N/A"/>
    <s v="Jojeff Tagnong"/>
  </r>
  <r>
    <n v="1521"/>
    <s v="F0"/>
    <x v="64"/>
    <s v="G000001454"/>
    <s v="F87 ST - SMARTfacturing Ripple HC"/>
    <s v="G000001453"/>
    <s v="New"/>
    <x v="0"/>
    <x v="1"/>
    <s v="MGF"/>
    <s v="named/assigned"/>
    <e v="#N/A"/>
    <s v="Jojeff Tagnong"/>
  </r>
  <r>
    <n v="1522"/>
    <s v="F0"/>
    <x v="64"/>
    <s v="G000001455"/>
    <s v="F87 ST - SMARTfacturing Ripple LS"/>
    <s v="G000001453"/>
    <s v="New"/>
    <x v="0"/>
    <x v="1"/>
    <s v="MGF"/>
    <s v="named/assigned"/>
    <e v="#N/A"/>
    <s v="Jojeff Tagnong"/>
  </r>
  <r>
    <n v="1523"/>
    <s v="F0"/>
    <x v="64"/>
    <s v="G000001456"/>
    <s v="F87 ST - SMARTfacturing Ripple EL"/>
    <s v="G000001453"/>
    <s v="New"/>
    <x v="0"/>
    <x v="1"/>
    <s v="MGF"/>
    <s v="named/assigned"/>
    <e v="#N/A"/>
    <s v="Jojeff Tagnong"/>
  </r>
  <r>
    <n v="1524"/>
    <s v="F0"/>
    <x v="64"/>
    <s v="G000000828"/>
    <s v="GYF MBS PS&amp;P ES - Market BPE"/>
    <m/>
    <s v="Rename"/>
    <x v="0"/>
    <x v="1"/>
    <s v="MGF"/>
    <s v="named"/>
    <m/>
    <s v="Jojeff Tagnong"/>
  </r>
  <r>
    <n v="1525"/>
    <s v="F0"/>
    <x v="64"/>
    <s v="G000000044"/>
    <s v="FF1 GR - Group Reporting"/>
    <m/>
    <s v="Rename"/>
    <x v="0"/>
    <x v="1"/>
    <s v="MGF"/>
    <s v="named"/>
    <m/>
    <s v="Jojeff Tagnong"/>
  </r>
  <r>
    <n v="1526"/>
    <s v="F0"/>
    <x v="64"/>
    <s v="G000000574"/>
    <s v="GR - MGF Reporting"/>
    <m/>
    <s v="Rename"/>
    <x v="0"/>
    <x v="1"/>
    <s v="MGF"/>
    <s v="named"/>
    <m/>
    <s v="Jojeff Tagnong"/>
  </r>
  <r>
    <n v="1527"/>
    <s v="F0"/>
    <x v="64"/>
    <s v="G000000575"/>
    <s v="GR - non-MGF Reporting"/>
    <m/>
    <s v="Rename"/>
    <x v="0"/>
    <x v="1"/>
    <s v="MGF"/>
    <s v="named"/>
    <m/>
    <s v="Jojeff Tagnong"/>
  </r>
  <r>
    <n v="1528"/>
    <s v="F0"/>
    <x v="64"/>
    <s v="G000000046"/>
    <s v="GX6 GR - Group Financial Reporting"/>
    <m/>
    <s v="Rename"/>
    <x v="0"/>
    <x v="1"/>
    <s v="MGF"/>
    <s v="named"/>
    <m/>
    <s v="Jojeff Tagnong"/>
  </r>
  <r>
    <n v="1529"/>
    <s v="F0"/>
    <x v="64"/>
    <s v="G000000045"/>
    <s v="FF1 GR - Intercompany Charges"/>
    <m/>
    <s v="Rename"/>
    <x v="0"/>
    <x v="1"/>
    <s v="MGF"/>
    <s v="named"/>
    <m/>
    <s v="Jojeff Tagnong"/>
  </r>
  <r>
    <n v="1530"/>
    <s v="F0"/>
    <x v="64"/>
    <s v="G000000047"/>
    <s v="FF1 GR - Exceptionals"/>
    <m/>
    <s v="Rename"/>
    <x v="0"/>
    <x v="1"/>
    <s v="MGF"/>
    <s v="named"/>
    <m/>
    <s v="Jojeff Tagnong"/>
  </r>
  <r>
    <n v="1531"/>
    <s v="F0"/>
    <x v="64"/>
    <s v="G000001272"/>
    <s v="GXA GR - Sustainability Management"/>
    <m/>
    <s v="Rename"/>
    <x v="0"/>
    <x v="1"/>
    <s v="MGF"/>
    <s v="named"/>
    <m/>
    <s v="Jojeff Tagnong"/>
  </r>
  <r>
    <n v="1532"/>
    <s v="F0"/>
    <x v="64"/>
    <s v="G000001286"/>
    <s v="GYG MBS Hub Bangalore - SLS"/>
    <m/>
    <s v="Rename"/>
    <x v="0"/>
    <x v="1"/>
    <s v="MGF"/>
    <s v="named"/>
    <m/>
    <s v="Jojeff Tagnong"/>
  </r>
  <r>
    <n v="1533"/>
    <s v="F0"/>
    <x v="64"/>
    <s v="G000001298"/>
    <s v="GYH MBS Hub Bangalore - LSS"/>
    <m/>
    <s v="Rename"/>
    <x v="0"/>
    <x v="1"/>
    <s v="MGF"/>
    <s v="named"/>
    <m/>
    <s v="Jojeff Tagnong"/>
  </r>
  <r>
    <n v="1534"/>
    <s v="F0"/>
    <x v="64"/>
    <s v="G000001301"/>
    <s v="GYI MBS Hub Bangalore - PS"/>
    <m/>
    <s v="Rename"/>
    <x v="0"/>
    <x v="1"/>
    <s v="MGF"/>
    <s v="named"/>
    <m/>
    <s v="Jojeff Tagnong"/>
  </r>
  <r>
    <n v="1535"/>
    <s v="F0"/>
    <x v="64"/>
    <s v="G000001305"/>
    <s v="GYJ MBS Hub Bangalore - ISCO"/>
    <m/>
    <s v="Rename"/>
    <x v="0"/>
    <x v="1"/>
    <s v="MGF"/>
    <s v="named"/>
    <m/>
    <s v="Jojeff Tagnong"/>
  </r>
  <r>
    <n v="1536"/>
    <s v="F0"/>
    <x v="64"/>
    <s v="G000001313"/>
    <s v="GYK MBS Hub Bangalore - EF GSS COE"/>
    <m/>
    <s v="Rename"/>
    <x v="0"/>
    <x v="1"/>
    <s v="MGF"/>
    <s v="named"/>
    <m/>
    <s v="Jojeff Tagnong"/>
  </r>
  <r>
    <n v="1537"/>
    <s v="F0"/>
    <x v="64"/>
    <s v="G000001174"/>
    <s v="GNX MBS Hub Wroclaw - I2C EMEA"/>
    <m/>
    <s v="Rename"/>
    <x v="0"/>
    <x v="1"/>
    <s v="MGF"/>
    <s v="named"/>
    <m/>
    <s v="Jojeff Tagnong"/>
  </r>
  <r>
    <n v="1538"/>
    <s v="F0"/>
    <x v="64"/>
    <s v="G000001176"/>
    <s v="GNZ MBS Hub Wroclaw - R2R EMEA"/>
    <m/>
    <s v="Rename"/>
    <x v="0"/>
    <x v="1"/>
    <s v="MGF"/>
    <s v="named"/>
    <m/>
    <s v="Jojeff Tagnong"/>
  </r>
  <r>
    <n v="1539"/>
    <s v="F0"/>
    <x v="64"/>
    <s v="G000001263"/>
    <s v="GMP MBS Hub Wroclaw - R2R Germany"/>
    <m/>
    <s v="Rename"/>
    <x v="0"/>
    <x v="1"/>
    <s v="MGF"/>
    <s v="named"/>
    <m/>
    <s v="Jojeff Tagnong"/>
  </r>
  <r>
    <n v="1540"/>
    <s v="F0"/>
    <x v="64"/>
    <s v="G000001231"/>
    <s v="GMK RC - Governance, Risk &amp; Control"/>
    <s v="G000000574"/>
    <s v="Rename/Move"/>
    <x v="0"/>
    <x v="1"/>
    <s v="MGF"/>
    <s v="named/moved"/>
    <s v="G000001229"/>
    <s v="Jojeff Tagnong"/>
  </r>
  <r>
    <n v="1541"/>
    <s v="F0"/>
    <x v="64"/>
    <s v="G000000706"/>
    <m/>
    <s v="O000000009"/>
    <s v="Delete"/>
    <x v="0"/>
    <x v="1"/>
    <s v="MGF"/>
    <s v="named/moved; Please dump all objects to O000000007 – Closed Cost Centers"/>
    <m/>
    <s v="Jojeff Tagnong"/>
  </r>
  <r>
    <n v="1542"/>
    <s v="F0"/>
    <x v="64"/>
    <s v="G000000709"/>
    <m/>
    <s v="O000000009"/>
    <s v="Delete"/>
    <x v="0"/>
    <x v="1"/>
    <s v="MGF"/>
    <s v="named/moved; Please dump all objects to O000000007 – Closed Cost Centers"/>
    <m/>
    <s v="Jojeff Tagnong"/>
  </r>
  <r>
    <n v="1543"/>
    <s v="F0"/>
    <x v="64"/>
    <s v="G000001228"/>
    <m/>
    <s v="O000000009"/>
    <s v="Delete"/>
    <x v="0"/>
    <x v="1"/>
    <s v="MGF"/>
    <s v="named/moved; Please dump all objects to O000000007 – Closed Cost Centers"/>
    <m/>
    <s v="Jojeff Tagnong"/>
  </r>
  <r>
    <n v="1544"/>
    <s v="F0"/>
    <x v="64"/>
    <s v="G000001229"/>
    <m/>
    <s v="O000000009"/>
    <s v="Delete"/>
    <x v="0"/>
    <x v="1"/>
    <s v="MGF"/>
    <s v="named/moved; Please dump all objects to O000000007 – Closed Cost Centers"/>
    <m/>
    <s v="Jojeff Tagnong"/>
  </r>
  <r>
    <n v="1545"/>
    <s v="F0"/>
    <x v="64"/>
    <s v="G000001230"/>
    <m/>
    <s v="O000000009"/>
    <s v="Delete"/>
    <x v="0"/>
    <x v="1"/>
    <s v="MGF"/>
    <s v="named/moved; Please dump all objects to O000000007 – Closed Cost Centers"/>
    <m/>
    <s v="Jojeff Tagnong"/>
  </r>
  <r>
    <n v="1546"/>
    <s v="F0"/>
    <x v="64"/>
    <s v="G000001260"/>
    <m/>
    <s v="O000000009"/>
    <s v="Delete"/>
    <x v="0"/>
    <x v="1"/>
    <s v="MGF"/>
    <s v="named/moved; Please dump all objects to O000000007 – Closed Cost Centers"/>
    <m/>
    <s v="Jojeff Tagnong"/>
  </r>
  <r>
    <n v="1547"/>
    <s v="F0"/>
    <x v="64"/>
    <s v="G000001261"/>
    <m/>
    <s v="O000000009"/>
    <s v="Delete"/>
    <x v="0"/>
    <x v="1"/>
    <s v="MGF"/>
    <s v="named/moved; Please dump all objects to O000000007 – Closed Cost Centers"/>
    <m/>
    <s v="Jojeff Tagnong"/>
  </r>
  <r>
    <n v="1548"/>
    <s v="F0"/>
    <x v="64"/>
    <s v="G000000560"/>
    <m/>
    <s v="O000000009"/>
    <s v="Delete"/>
    <x v="0"/>
    <x v="1"/>
    <s v="MGF"/>
    <s v="named/moved; Please dump all objects to O000000007 – Closed Cost Centers"/>
    <m/>
    <s v="Jojeff Tagnong"/>
  </r>
  <r>
    <n v="1549"/>
    <s v="F0"/>
    <x v="65"/>
    <s v="L000013901"/>
    <s v="mRNA Innovation"/>
    <s v="L000013819"/>
    <s v="New"/>
    <x v="0"/>
    <x v="1"/>
    <s v="LS"/>
    <s v="named/assigned"/>
    <e v="#N/A"/>
    <s v="Ruby Grace Garcia"/>
  </r>
  <r>
    <n v="1550"/>
    <s v="F0"/>
    <x v="65"/>
    <s v="L000013902"/>
    <s v="LS Business Growth &amp; Customer Value"/>
    <s v="L000013623"/>
    <s v="New"/>
    <x v="0"/>
    <x v="1"/>
    <s v="LS"/>
    <s v="named/assigned"/>
    <e v="#N/A"/>
    <s v="Ruby Grace Garcia"/>
  </r>
  <r>
    <n v="1551"/>
    <s v="F0"/>
    <x v="65"/>
    <s v="L000013903"/>
    <s v="LS China Core &amp; Capabilities"/>
    <s v="L000013623"/>
    <s v="New"/>
    <x v="0"/>
    <x v="1"/>
    <s v="LS"/>
    <s v="named/assigned"/>
    <e v="#N/A"/>
    <s v="Ruby Grace Garcia"/>
  </r>
  <r>
    <n v="1552"/>
    <s v="F0"/>
    <x v="65"/>
    <s v="L000013904"/>
    <s v="Buiness Process Excellence"/>
    <s v="L000013623"/>
    <s v="New"/>
    <x v="0"/>
    <x v="1"/>
    <s v="LS"/>
    <s v="named/assigned"/>
    <e v="#N/A"/>
    <s v="Ruby Grace Garcia"/>
  </r>
  <r>
    <n v="1553"/>
    <s v="F0"/>
    <x v="65"/>
    <s v="L000013905"/>
    <s v="Project Eagle"/>
    <s v="L000011321"/>
    <s v="New"/>
    <x v="0"/>
    <x v="1"/>
    <s v="LS"/>
    <s v="named/assigned"/>
    <e v="#N/A"/>
    <s v="Ruby Grace Garcia"/>
  </r>
  <r>
    <n v="1554"/>
    <s v="F0"/>
    <x v="65"/>
    <s v="L000013906"/>
    <s v="Technology Fund Projects - UWMadison"/>
    <s v="L000013326"/>
    <s v="New"/>
    <x v="0"/>
    <x v="1"/>
    <s v="LS"/>
    <s v="named/assigned"/>
    <e v="#N/A"/>
    <s v="Ruby Grace Garcia"/>
  </r>
  <r>
    <n v="1555"/>
    <s v="F0"/>
    <x v="65"/>
    <s v="L000013907"/>
    <s v="Technology Fund Projects - UPENN"/>
    <s v="L000013326"/>
    <s v="New"/>
    <x v="0"/>
    <x v="1"/>
    <s v="LS"/>
    <s v="named/assigned"/>
    <e v="#N/A"/>
    <s v="Ruby Grace Garcia"/>
  </r>
  <r>
    <n v="1556"/>
    <s v="F0"/>
    <x v="65"/>
    <s v="L000013908"/>
    <s v="GSA Attrition"/>
    <s v="L000011690"/>
    <s v="New"/>
    <x v="0"/>
    <x v="1"/>
    <s v="LS"/>
    <s v="named/assigned"/>
    <e v="#N/A"/>
    <s v="Ruby Grace Garcia"/>
  </r>
  <r>
    <n v="1557"/>
    <s v="F0"/>
    <x v="65"/>
    <s v="L000013909"/>
    <s v="GSA Adjustments"/>
    <s v="L000011690"/>
    <s v="New"/>
    <x v="0"/>
    <x v="1"/>
    <s v="LS"/>
    <s v="named/assigned"/>
    <e v="#N/A"/>
    <s v="Ruby Grace Garcia"/>
  </r>
  <r>
    <n v="1558"/>
    <s v="F0"/>
    <x v="65"/>
    <s v="L000013910"/>
    <s v="TFF"/>
    <s v="L000013856"/>
    <s v="New"/>
    <x v="0"/>
    <x v="1"/>
    <s v="LS"/>
    <s v="named/assigned"/>
    <e v="#N/A"/>
    <s v="Ruby Grace Garcia"/>
  </r>
  <r>
    <n v="1559"/>
    <s v="F0"/>
    <x v="65"/>
    <s v="L000013911"/>
    <s v="Virus"/>
    <s v="L000013856"/>
    <s v="New"/>
    <x v="0"/>
    <x v="1"/>
    <s v="LS"/>
    <s v="named/assigned"/>
    <e v="#N/A"/>
    <s v="Ruby Grace Garcia"/>
  </r>
  <r>
    <n v="1560"/>
    <s v="F0"/>
    <x v="65"/>
    <s v="L000013912"/>
    <s v="Chromatography"/>
    <s v="L000013856"/>
    <s v="New"/>
    <x v="0"/>
    <x v="1"/>
    <s v="LS"/>
    <s v="named/assigned"/>
    <e v="#N/A"/>
    <s v="Ruby Grace Garcia"/>
  </r>
  <r>
    <n v="1561"/>
    <s v="F0"/>
    <x v="65"/>
    <s v="L000013913"/>
    <s v="Clarification"/>
    <s v="L000013856"/>
    <s v="New"/>
    <x v="0"/>
    <x v="1"/>
    <s v="LS"/>
    <s v="named/assigned"/>
    <e v="#N/A"/>
    <s v="Ruby Grace Garcia"/>
  </r>
  <r>
    <n v="1562"/>
    <s v="F0"/>
    <x v="65"/>
    <s v="L000013914"/>
    <s v="Aseptic"/>
    <s v="L000013856"/>
    <s v="New"/>
    <x v="0"/>
    <x v="1"/>
    <s v="LS"/>
    <s v="named/assigned"/>
    <e v="#N/A"/>
    <s v="Ruby Grace Garcia"/>
  </r>
  <r>
    <n v="1563"/>
    <s v="F0"/>
    <x v="65"/>
    <s v="L000013915"/>
    <s v="Supply Communications &amp; Change Execution"/>
    <s v="L000011719"/>
    <s v="New"/>
    <x v="0"/>
    <x v="1"/>
    <s v="LS"/>
    <s v="named/assigned"/>
    <e v="#N/A"/>
    <s v="Ruby Grace Garcia"/>
  </r>
  <r>
    <n v="1564"/>
    <s v="F0"/>
    <x v="65"/>
    <s v="L000013388"/>
    <s v="LS-DDIT Life Science"/>
    <m/>
    <s v="Rename"/>
    <x v="0"/>
    <x v="1"/>
    <s v="LS"/>
    <s v="named"/>
    <m/>
    <s v="Ruby Grace Garcia"/>
  </r>
  <r>
    <n v="1565"/>
    <s v="F0"/>
    <x v="65"/>
    <s v="L000011321"/>
    <s v="LS Strategy &amp; BD"/>
    <m/>
    <s v="Rename"/>
    <x v="0"/>
    <x v="1"/>
    <s v="LS"/>
    <s v="named"/>
    <m/>
    <s v="Ruby Grace Garcia"/>
  </r>
  <r>
    <n v="1566"/>
    <s v="F0"/>
    <x v="65"/>
    <s v="L000013625"/>
    <s v="Tech Leadership Fund - LS Product Design"/>
    <m/>
    <s v="Rename"/>
    <x v="0"/>
    <x v="1"/>
    <s v="LS"/>
    <s v="named"/>
    <m/>
    <s v="Ruby Grace Garcia"/>
  </r>
  <r>
    <n v="1567"/>
    <s v="F0"/>
    <x v="65"/>
    <s v="L000013375"/>
    <s v="LS Finance"/>
    <m/>
    <s v="Rename"/>
    <x v="0"/>
    <x v="1"/>
    <s v="LS"/>
    <s v="named"/>
    <m/>
    <s v="Ruby Grace Garcia"/>
  </r>
  <r>
    <n v="1568"/>
    <s v="F0"/>
    <x v="65"/>
    <s v="L000012328"/>
    <s v="GSA Cluster 1"/>
    <m/>
    <s v="Rename"/>
    <x v="0"/>
    <x v="1"/>
    <s v="LS"/>
    <s v="named"/>
    <m/>
    <s v="Ruby Grace Garcia"/>
  </r>
  <r>
    <n v="1569"/>
    <s v="F0"/>
    <x v="65"/>
    <s v="L000012329"/>
    <s v="GSA Cluster 3"/>
    <m/>
    <s v="Rename"/>
    <x v="0"/>
    <x v="1"/>
    <s v="LS"/>
    <s v="named"/>
    <m/>
    <s v="Ruby Grace Garcia"/>
  </r>
  <r>
    <n v="1570"/>
    <s v="F0"/>
    <x v="65"/>
    <s v="L000012330"/>
    <s v="GSA Cluster 5"/>
    <m/>
    <s v="Rename"/>
    <x v="0"/>
    <x v="1"/>
    <s v="LS"/>
    <s v="named"/>
    <m/>
    <s v="Ruby Grace Garcia"/>
  </r>
  <r>
    <n v="1571"/>
    <s v="F0"/>
    <x v="65"/>
    <s v="L000012332"/>
    <s v="GSA Cluster 4"/>
    <m/>
    <s v="Rename"/>
    <x v="0"/>
    <x v="1"/>
    <s v="LS"/>
    <s v="named"/>
    <m/>
    <s v="Ruby Grace Garcia"/>
  </r>
  <r>
    <n v="1572"/>
    <s v="F0"/>
    <x v="65"/>
    <s v="L000013520"/>
    <s v="GSA Innovative Solutions"/>
    <m/>
    <s v="Rename"/>
    <x v="0"/>
    <x v="1"/>
    <s v="LS"/>
    <s v="named"/>
    <m/>
    <s v="Ruby Grace Garcia"/>
  </r>
  <r>
    <n v="1573"/>
    <s v="F0"/>
    <x v="65"/>
    <s v="L000013523"/>
    <s v="GSA Cluster 2"/>
    <m/>
    <s v="Rename"/>
    <x v="0"/>
    <x v="1"/>
    <s v="LS"/>
    <s v="named"/>
    <m/>
    <s v="Ruby Grace Garcia"/>
  </r>
  <r>
    <n v="1574"/>
    <s v="F0"/>
    <x v="65"/>
    <s v="L000006562"/>
    <s v="UPM Royalty Expenses"/>
    <m/>
    <s v="Rename"/>
    <x v="0"/>
    <x v="1"/>
    <s v="LS"/>
    <s v="named"/>
    <m/>
    <s v="Ruby Grace Garcia"/>
  </r>
  <r>
    <n v="1575"/>
    <s v="F0"/>
    <x v="65"/>
    <s v="L000013139"/>
    <s v="UPM Royalty Income"/>
    <m/>
    <s v="Rename"/>
    <x v="0"/>
    <x v="1"/>
    <s v="LS"/>
    <s v="named"/>
    <m/>
    <s v="Ruby Grace Garcia"/>
  </r>
  <r>
    <n v="1576"/>
    <s v="F0"/>
    <x v="65"/>
    <s v="L000006435"/>
    <s v="Innovation Others &amp; Capitalization"/>
    <s v="L000013785"/>
    <s v="Rename/Move"/>
    <x v="0"/>
    <x v="1"/>
    <s v="LS"/>
    <s v="named/moved"/>
    <m/>
    <s v="Ruby Grace Garcia"/>
  </r>
  <r>
    <n v="1577"/>
    <s v="F0"/>
    <x v="65"/>
    <s v="L000006552"/>
    <s v="Bioprocessing royalties"/>
    <s v="L000013847"/>
    <s v="Rename/Move"/>
    <x v="0"/>
    <x v="1"/>
    <s v="LS"/>
    <s v="named/moved"/>
    <m/>
    <s v="Ruby Grace Garcia"/>
  </r>
  <r>
    <n v="1578"/>
    <s v="F0"/>
    <x v="65"/>
    <s v="L000006432"/>
    <m/>
    <s v="L000013785"/>
    <s v="Move"/>
    <x v="0"/>
    <x v="1"/>
    <s v="LS"/>
    <s v="named/moved"/>
    <m/>
    <s v="Ruby Grace Garcia"/>
  </r>
  <r>
    <n v="1579"/>
    <s v="F0"/>
    <x v="65"/>
    <s v="L000013819"/>
    <m/>
    <s v="L000013785"/>
    <s v="Move"/>
    <x v="0"/>
    <x v="1"/>
    <s v="LS"/>
    <s v="named/moved"/>
    <m/>
    <s v="Ruby Grace Garcia"/>
  </r>
  <r>
    <n v="1580"/>
    <s v="F0"/>
    <x v="65"/>
    <s v="L000013820"/>
    <m/>
    <s v="L000013785"/>
    <s v="Move"/>
    <x v="0"/>
    <x v="1"/>
    <s v="LS"/>
    <s v="named/moved"/>
    <m/>
    <s v="Ruby Grace Garcia"/>
  </r>
  <r>
    <n v="1581"/>
    <s v="F0"/>
    <x v="65"/>
    <s v="L000007087"/>
    <m/>
    <s v="L000013785"/>
    <s v="Move"/>
    <x v="0"/>
    <x v="1"/>
    <s v="LS"/>
    <s v="named/moved"/>
    <m/>
    <s v="Ruby Grace Garcia"/>
  </r>
  <r>
    <n v="1582"/>
    <s v="F0"/>
    <x v="65"/>
    <s v="L000008862"/>
    <m/>
    <s v="L000008669"/>
    <s v="Move"/>
    <x v="0"/>
    <x v="1"/>
    <s v="LS"/>
    <s v="named/moved"/>
    <m/>
    <s v="Ruby Grace Garcia"/>
  </r>
  <r>
    <n v="1583"/>
    <s v="F0"/>
    <x v="65"/>
    <s v="L000013589"/>
    <m/>
    <s v="L000013859"/>
    <s v="Move"/>
    <x v="0"/>
    <x v="1"/>
    <s v="LS"/>
    <s v="named/moved"/>
    <m/>
    <s v="Ruby Grace Garcia"/>
  </r>
  <r>
    <n v="1584"/>
    <s v="F0"/>
    <x v="65"/>
    <s v="L000006600"/>
    <m/>
    <s v="L000013563"/>
    <s v="Move"/>
    <x v="0"/>
    <x v="1"/>
    <s v="LS"/>
    <s v="named/moved"/>
    <m/>
    <s v="Ruby Grace Garcia"/>
  </r>
  <r>
    <n v="1585"/>
    <s v="F0"/>
    <x v="65"/>
    <s v="L000012678"/>
    <m/>
    <s v="L000013850"/>
    <s v="Move"/>
    <x v="0"/>
    <x v="1"/>
    <s v="LS"/>
    <s v="named/moved"/>
    <m/>
    <s v="Ruby Grace Garcia"/>
  </r>
  <r>
    <n v="1586"/>
    <s v="F0"/>
    <x v="65"/>
    <s v="L000011434"/>
    <m/>
    <s v="L000013850"/>
    <s v="Move"/>
    <x v="0"/>
    <x v="1"/>
    <s v="LS"/>
    <s v="named/moved"/>
    <m/>
    <s v="Ruby Grace Garcia"/>
  </r>
  <r>
    <n v="1587"/>
    <s v="F0"/>
    <x v="65"/>
    <s v="L000006569"/>
    <m/>
    <s v="L000013856"/>
    <s v="Move"/>
    <x v="0"/>
    <x v="1"/>
    <s v="LS"/>
    <s v="named/moved"/>
    <m/>
    <s v="Ruby Grace Garcia"/>
  </r>
  <r>
    <n v="1588"/>
    <s v="F0"/>
    <x v="65"/>
    <s v="L000006570"/>
    <m/>
    <s v="L000013910"/>
    <s v="Move"/>
    <x v="0"/>
    <x v="1"/>
    <s v="LS"/>
    <s v="named/moved"/>
    <m/>
    <s v="Ruby Grace Garcia"/>
  </r>
  <r>
    <n v="1589"/>
    <s v="F0"/>
    <x v="65"/>
    <s v="L000006571"/>
    <m/>
    <s v="L000013914"/>
    <s v="Move"/>
    <x v="0"/>
    <x v="1"/>
    <s v="LS"/>
    <s v="named/moved"/>
    <m/>
    <s v="Ruby Grace Garcia"/>
  </r>
  <r>
    <n v="1590"/>
    <s v="F0"/>
    <x v="65"/>
    <s v="L000006572"/>
    <m/>
    <s v="L000013913"/>
    <s v="Move"/>
    <x v="0"/>
    <x v="1"/>
    <s v="LS"/>
    <s v="named/moved"/>
    <m/>
    <s v="Ruby Grace Garcia"/>
  </r>
  <r>
    <n v="1591"/>
    <s v="F0"/>
    <x v="65"/>
    <s v="L000006578"/>
    <m/>
    <s v="L000013915"/>
    <s v="Move"/>
    <x v="0"/>
    <x v="1"/>
    <s v="LS"/>
    <s v="named/moved"/>
    <m/>
    <s v="Ruby Grace Garcia"/>
  </r>
  <r>
    <n v="1592"/>
    <s v="F0"/>
    <x v="65"/>
    <s v="L000012682"/>
    <m/>
    <s v="L000013915"/>
    <s v="Move"/>
    <x v="0"/>
    <x v="1"/>
    <s v="LS"/>
    <s v="named/moved"/>
    <m/>
    <s v="Ruby Grace Garcia"/>
  </r>
  <r>
    <n v="1593"/>
    <s v="F0"/>
    <x v="65"/>
    <s v="L000005386"/>
    <m/>
    <s v="L000013680"/>
    <s v="Delete"/>
    <x v="0"/>
    <x v="1"/>
    <s v="LS"/>
    <s v="named/moved"/>
    <m/>
    <s v="Ruby Grace Garcia"/>
  </r>
  <r>
    <n v="1594"/>
    <s v="F0"/>
    <x v="65"/>
    <s v="L000005404"/>
    <m/>
    <s v="L000013680"/>
    <s v="Delete"/>
    <x v="0"/>
    <x v="1"/>
    <s v="LS"/>
    <s v="named/moved"/>
    <m/>
    <s v="Ruby Grace Garcia"/>
  </r>
  <r>
    <n v="1595"/>
    <s v="F0"/>
    <x v="65"/>
    <s v="L000011969"/>
    <m/>
    <s v="L000013680"/>
    <s v="Delete"/>
    <x v="0"/>
    <x v="1"/>
    <s v="LS"/>
    <s v="named/moved"/>
    <m/>
    <s v="Ruby Grace Garcia"/>
  </r>
  <r>
    <n v="1596"/>
    <s v="F0"/>
    <x v="65"/>
    <s v="L000012785"/>
    <m/>
    <s v="L000013680"/>
    <s v="Delete"/>
    <x v="0"/>
    <x v="1"/>
    <s v="LS"/>
    <s v="named/moved"/>
    <m/>
    <s v="Ruby Grace Garcia"/>
  </r>
  <r>
    <n v="1597"/>
    <s v="F0"/>
    <x v="65"/>
    <s v="L000005422"/>
    <m/>
    <s v="L000013680"/>
    <s v="Delete"/>
    <x v="0"/>
    <x v="1"/>
    <s v="LS"/>
    <s v="named/moved"/>
    <m/>
    <s v="Ruby Grace Garcia"/>
  </r>
  <r>
    <n v="1598"/>
    <s v="F0"/>
    <x v="65"/>
    <s v="L000012494"/>
    <m/>
    <s v="L000013680"/>
    <s v="Delete"/>
    <x v="0"/>
    <x v="1"/>
    <s v="LS"/>
    <s v="named/moved"/>
    <m/>
    <s v="Ruby Grace Garcia"/>
  </r>
  <r>
    <n v="1599"/>
    <s v="F0"/>
    <x v="65"/>
    <s v="L000005380"/>
    <m/>
    <s v="L000013680"/>
    <s v="Delete"/>
    <x v="0"/>
    <x v="1"/>
    <s v="LS"/>
    <s v="named/moved"/>
    <m/>
    <s v="Ruby Grace Garcia"/>
  </r>
  <r>
    <n v="1600"/>
    <s v="F0"/>
    <x v="65"/>
    <s v="L000005417"/>
    <m/>
    <s v="L000013680"/>
    <s v="Delete"/>
    <x v="0"/>
    <x v="1"/>
    <s v="LS"/>
    <s v="named/moved"/>
    <m/>
    <s v="Ruby Grace Garcia"/>
  </r>
  <r>
    <n v="1601"/>
    <s v="F0"/>
    <x v="65"/>
    <s v="L000011992"/>
    <m/>
    <s v="L000013680"/>
    <s v="Delete"/>
    <x v="0"/>
    <x v="1"/>
    <s v="LS"/>
    <s v="named/moved"/>
    <m/>
    <s v="Ruby Grace Garcia"/>
  </r>
  <r>
    <n v="1602"/>
    <s v="F0"/>
    <x v="65"/>
    <s v="L000013524"/>
    <m/>
    <s v="L000013679"/>
    <s v="Delete"/>
    <x v="0"/>
    <x v="1"/>
    <s v="LS"/>
    <s v="named/moved"/>
    <m/>
    <s v="Ruby Grace Garcia"/>
  </r>
  <r>
    <n v="1603"/>
    <s v="F0"/>
    <x v="65"/>
    <s v="L000013525"/>
    <m/>
    <s v="L000013679"/>
    <s v="Delete"/>
    <x v="0"/>
    <x v="1"/>
    <s v="LS"/>
    <s v="named/moved"/>
    <m/>
    <s v="Ruby Grace Garcia"/>
  </r>
  <r>
    <n v="1604"/>
    <s v="F0"/>
    <x v="65"/>
    <s v="L000012331"/>
    <m/>
    <s v="L000013679"/>
    <s v="Delete"/>
    <x v="0"/>
    <x v="1"/>
    <s v="LS"/>
    <s v="named/moved"/>
    <m/>
    <s v="Ruby Grace Garcia"/>
  </r>
  <r>
    <n v="1605"/>
    <s v="F0"/>
    <x v="65"/>
    <s v="L000006587"/>
    <m/>
    <s v="L000013679"/>
    <s v="Delete"/>
    <x v="0"/>
    <x v="1"/>
    <s v="LS"/>
    <s v="named/moved"/>
    <m/>
    <s v="Ruby Grace Garcia"/>
  </r>
  <r>
    <n v="1606"/>
    <s v="F0"/>
    <x v="65"/>
    <s v="L000006588"/>
    <m/>
    <s v="L000013679"/>
    <s v="Delete"/>
    <x v="0"/>
    <x v="1"/>
    <s v="LS"/>
    <s v="named/moved"/>
    <m/>
    <s v="Ruby Grace Garcia"/>
  </r>
  <r>
    <n v="1607"/>
    <s v="F0"/>
    <x v="65"/>
    <s v="L000006589"/>
    <m/>
    <s v="L000013679"/>
    <s v="Delete"/>
    <x v="0"/>
    <x v="1"/>
    <s v="LS"/>
    <s v="named/moved"/>
    <m/>
    <s v="Ruby Grace Garcia"/>
  </r>
  <r>
    <n v="1608"/>
    <s v="F0"/>
    <x v="65"/>
    <s v="L000006590"/>
    <m/>
    <s v="L000013679"/>
    <s v="Delete"/>
    <x v="0"/>
    <x v="1"/>
    <s v="LS"/>
    <s v="named/moved"/>
    <m/>
    <s v="Ruby Grace Garcia"/>
  </r>
  <r>
    <n v="1609"/>
    <s v="F0"/>
    <x v="65"/>
    <s v="L000006591"/>
    <m/>
    <s v="L000013679"/>
    <s v="Delete"/>
    <x v="0"/>
    <x v="1"/>
    <s v="LS"/>
    <s v="named/moved"/>
    <m/>
    <s v="Ruby Grace Garcia"/>
  </r>
  <r>
    <n v="1610"/>
    <s v="F0"/>
    <x v="65"/>
    <s v="L000007088"/>
    <m/>
    <s v="L000013679"/>
    <s v="Delete"/>
    <x v="0"/>
    <x v="1"/>
    <s v="LS"/>
    <s v="named/moved"/>
    <m/>
    <s v="Ruby Grace Garcia"/>
  </r>
  <r>
    <n v="1611"/>
    <s v="F0"/>
    <x v="65"/>
    <s v="L000007038"/>
    <m/>
    <s v="L000013679"/>
    <s v="Delete"/>
    <x v="0"/>
    <x v="1"/>
    <s v="LS"/>
    <s v="named/moved"/>
    <m/>
    <s v="Ruby Grace Garcia"/>
  </r>
  <r>
    <n v="1612"/>
    <s v="F0"/>
    <x v="65"/>
    <s v="L000011508"/>
    <m/>
    <s v="L000013679"/>
    <s v="Delete"/>
    <x v="0"/>
    <x v="1"/>
    <s v="LS"/>
    <s v="named/moved"/>
    <m/>
    <s v="Ruby Grace Garcia"/>
  </r>
  <r>
    <n v="1613"/>
    <s v="F0"/>
    <x v="65"/>
    <s v="L000011511"/>
    <m/>
    <s v="L000013679"/>
    <s v="Delete"/>
    <x v="0"/>
    <x v="1"/>
    <s v="LS"/>
    <s v="named/moved"/>
    <m/>
    <s v="Ruby Grace Garcia"/>
  </r>
  <r>
    <n v="1614"/>
    <s v="F0"/>
    <x v="65"/>
    <s v="L000011514"/>
    <m/>
    <s v="L000013679"/>
    <s v="Delete"/>
    <x v="0"/>
    <x v="1"/>
    <s v="LS"/>
    <s v="named/moved"/>
    <m/>
    <s v="Ruby Grace Garcia"/>
  </r>
  <r>
    <n v="1615"/>
    <s v="F0"/>
    <x v="65"/>
    <s v="L000012861"/>
    <m/>
    <s v="L000013679"/>
    <s v="Delete"/>
    <x v="0"/>
    <x v="1"/>
    <s v="LS"/>
    <s v="named/moved"/>
    <m/>
    <s v="Ruby Grace Garcia"/>
  </r>
  <r>
    <n v="1616"/>
    <s v="F0"/>
    <x v="65"/>
    <s v="L000013218"/>
    <m/>
    <s v="L000013679"/>
    <s v="Delete"/>
    <x v="0"/>
    <x v="1"/>
    <s v="LS"/>
    <s v="named/moved"/>
    <m/>
    <s v="Ruby Grace Garcia"/>
  </r>
  <r>
    <n v="1617"/>
    <s v="F0"/>
    <x v="65"/>
    <s v="L000006525"/>
    <m/>
    <s v="L000013679"/>
    <s v="Delete"/>
    <x v="0"/>
    <x v="1"/>
    <s v="LS"/>
    <s v="named/moved"/>
    <m/>
    <s v="Ruby Grace Garcia"/>
  </r>
  <r>
    <n v="1618"/>
    <s v="F0"/>
    <x v="65"/>
    <s v="L000006528"/>
    <m/>
    <s v="L000013679"/>
    <s v="Delete"/>
    <x v="0"/>
    <x v="1"/>
    <s v="LS"/>
    <s v="named/moved"/>
    <m/>
    <s v="Ruby Grace Garcia"/>
  </r>
  <r>
    <n v="1619"/>
    <s v="F0"/>
    <x v="65"/>
    <s v="L000006532"/>
    <m/>
    <s v="L000013679"/>
    <s v="Delete"/>
    <x v="0"/>
    <x v="1"/>
    <s v="LS"/>
    <s v="named/moved"/>
    <m/>
    <s v="Ruby Grace Garcia"/>
  </r>
  <r>
    <n v="1620"/>
    <s v="F0"/>
    <x v="66"/>
    <s v="IT09020100"/>
    <s v="EF-DS-SGA IT Audit &amp; Compliance"/>
    <s v="G000000785"/>
    <s v="New"/>
    <x v="0"/>
    <x v="1"/>
    <s v="LS"/>
    <s v="named/assigned"/>
    <e v="#N/A"/>
    <s v="Jay-R Lizardo"/>
  </r>
  <r>
    <n v="1621"/>
    <s v="F0"/>
    <x v="67"/>
    <s v="P000001335"/>
    <s v=" EL Insurance"/>
    <s v="P000000962"/>
    <s v="New"/>
    <x v="0"/>
    <x v="1"/>
    <s v="EL"/>
    <s v="named/assigned"/>
    <e v="#N/A"/>
    <s v="Roselle Delos Angeles"/>
  </r>
  <r>
    <n v="1622"/>
    <s v="F0"/>
    <x v="67"/>
    <s v="P000001336"/>
    <s v=" GoGlobal Trainee Program"/>
    <s v="P000000757"/>
    <s v="New"/>
    <x v="0"/>
    <x v="1"/>
    <s v="EL"/>
    <s v="named/assigned"/>
    <e v="#N/A"/>
    <s v="Roselle Delos Angeles"/>
  </r>
  <r>
    <n v="1623"/>
    <s v="F0"/>
    <x v="67"/>
    <s v="P000001337"/>
    <s v="EL-SC-DG Semiconductor"/>
    <s v="P000000494"/>
    <s v="New"/>
    <x v="0"/>
    <x v="1"/>
    <s v="EL"/>
    <s v="named/assigned"/>
    <e v="#N/A"/>
    <s v="Roselle Delos Angeles"/>
  </r>
  <r>
    <n v="1624"/>
    <s v="F0"/>
    <x v="67"/>
    <s v="P000001338"/>
    <s v="EL-SC-DU Service Lab"/>
    <s v="P000000494"/>
    <s v="New"/>
    <x v="0"/>
    <x v="1"/>
    <s v="EL"/>
    <s v="named/assigned"/>
    <e v="#N/A"/>
    <s v="Roselle Delos Angeles"/>
  </r>
  <r>
    <n v="1625"/>
    <s v="F0"/>
    <x v="67"/>
    <s v="P000001339"/>
    <s v="EL-BP-IR Electronics ERP"/>
    <s v="P000000758"/>
    <s v="New"/>
    <x v="0"/>
    <x v="1"/>
    <s v="EL"/>
    <s v="named/assigned"/>
    <e v="#N/A"/>
    <s v="Roselle Delos Angeles"/>
  </r>
  <r>
    <n v="1626"/>
    <s v="F0"/>
    <x v="67"/>
    <s v="P000001340"/>
    <s v="EL-BP-IQ Portfolio &amp; Strategy"/>
    <s v="P000001319 "/>
    <s v="New"/>
    <x v="0"/>
    <x v="1"/>
    <s v="EL"/>
    <s v="named/assigned"/>
    <e v="#N/A"/>
    <s v="Roselle Delos Angeles"/>
  </r>
  <r>
    <n v="1627"/>
    <s v="F0"/>
    <x v="67"/>
    <s v="P000001341"/>
    <s v="EL-BP-IEM Data Solutions"/>
    <s v="P000000765"/>
    <s v="New"/>
    <x v="0"/>
    <x v="1"/>
    <s v="EL"/>
    <s v="named/assigned"/>
    <e v="#N/A"/>
    <s v="Roselle Delos Angeles"/>
  </r>
  <r>
    <n v="1628"/>
    <s v="F0"/>
    <x v="67"/>
    <s v="P000001342"/>
    <s v="EL-BP-IE Electronics Processes TechOps"/>
    <s v="P000000758"/>
    <s v="New"/>
    <x v="0"/>
    <x v="1"/>
    <s v="EL"/>
    <s v="named/assigned"/>
    <e v="#N/A"/>
    <s v="Roselle Delos Angeles"/>
  </r>
  <r>
    <n v="1629"/>
    <s v="F0"/>
    <x v="67"/>
    <s v="P000001343"/>
    <s v="SPICE Capital Gains"/>
    <s v="P000001198"/>
    <s v="New"/>
    <x v="0"/>
    <x v="1"/>
    <s v="EL"/>
    <s v="named/assigned"/>
    <e v="#N/A"/>
    <s v="Roselle Delos Angeles"/>
  </r>
  <r>
    <n v="1630"/>
    <s v="F0"/>
    <x v="67"/>
    <s v="P000001344"/>
    <s v="CF Asia 1 Freight"/>
    <s v="P000000469"/>
    <s v="New"/>
    <x v="0"/>
    <x v="1"/>
    <s v="EL"/>
    <s v="named/assigned"/>
    <e v="#N/A"/>
    <s v="Roselle Delos Angeles"/>
  </r>
  <r>
    <n v="1631"/>
    <s v="F0"/>
    <x v="67"/>
    <s v="P000001345"/>
    <s v="CF Asia 1 Warehouse/Distribution"/>
    <s v="P000000469"/>
    <s v="New"/>
    <x v="0"/>
    <x v="1"/>
    <s v="EL"/>
    <s v="named/assigned"/>
    <e v="#N/A"/>
    <s v="Roselle Delos Angeles"/>
  </r>
  <r>
    <n v="1632"/>
    <s v="F0"/>
    <x v="67"/>
    <s v="P000001346"/>
    <s v="CF Asia 1 Warehouse "/>
    <s v="P000001345"/>
    <s v="New"/>
    <x v="0"/>
    <x v="1"/>
    <s v="EL"/>
    <s v="named/assigned"/>
    <e v="#N/A"/>
    <s v="Roselle Delos Angeles"/>
  </r>
  <r>
    <n v="1633"/>
    <s v="F0"/>
    <x v="67"/>
    <s v="P000001347"/>
    <s v="CF Asia 1 Admin/Overhead"/>
    <s v="P000001345"/>
    <s v="New"/>
    <x v="0"/>
    <x v="1"/>
    <s v="EL"/>
    <s v="named/assigned"/>
    <e v="#N/A"/>
    <s v="Roselle Delos Angeles"/>
  </r>
  <r>
    <n v="1634"/>
    <s v="F0"/>
    <x v="67"/>
    <s v="P000001348"/>
    <s v="CF Asia 1 Customs/Duties"/>
    <s v="P000000469"/>
    <s v="New"/>
    <x v="0"/>
    <x v="1"/>
    <s v="EL"/>
    <s v="named/assigned"/>
    <e v="#N/A"/>
    <s v="Roselle Delos Angeles"/>
  </r>
  <r>
    <n v="1635"/>
    <s v="F0"/>
    <x v="67"/>
    <s v="P000001349"/>
    <s v="CF Asia 1 Global Demand Plan/Cust Svc"/>
    <s v="P000000469"/>
    <s v="New"/>
    <x v="0"/>
    <x v="1"/>
    <s v="EL"/>
    <s v="named/assigned"/>
    <e v="#N/A"/>
    <s v="Roselle Delos Angeles"/>
  </r>
  <r>
    <n v="1636"/>
    <s v="F0"/>
    <x v="67"/>
    <s v="P000001350"/>
    <s v="CF Asia 2 Freight"/>
    <s v="P000000470"/>
    <s v="New"/>
    <x v="0"/>
    <x v="1"/>
    <s v="EL"/>
    <s v="named/assigned"/>
    <e v="#N/A"/>
    <s v="Roselle Delos Angeles"/>
  </r>
  <r>
    <n v="1637"/>
    <s v="F0"/>
    <x v="67"/>
    <s v="P000001351"/>
    <s v="CF Asia 2 Warehouse/Distribution"/>
    <s v="P000000470"/>
    <s v="New"/>
    <x v="0"/>
    <x v="1"/>
    <s v="EL"/>
    <s v="named/assigned"/>
    <e v="#N/A"/>
    <s v="Roselle Delos Angeles"/>
  </r>
  <r>
    <n v="1638"/>
    <s v="F0"/>
    <x v="67"/>
    <s v="P000001352"/>
    <s v="CF Asia 2 Warehouse "/>
    <s v="P000001351"/>
    <s v="New"/>
    <x v="0"/>
    <x v="1"/>
    <s v="EL"/>
    <s v="named/assigned"/>
    <e v="#N/A"/>
    <s v="Roselle Delos Angeles"/>
  </r>
  <r>
    <n v="1639"/>
    <s v="F0"/>
    <x v="67"/>
    <s v="P000001353"/>
    <s v="CF Asia 2 Admin/Overhead"/>
    <s v="P000001351"/>
    <s v="New"/>
    <x v="0"/>
    <x v="1"/>
    <s v="EL"/>
    <s v="named/assigned"/>
    <e v="#N/A"/>
    <s v="Roselle Delos Angeles"/>
  </r>
  <r>
    <n v="1640"/>
    <s v="F0"/>
    <x v="67"/>
    <s v="P000001354"/>
    <s v="CF Asia 2 Customs/Duties"/>
    <s v="P000000470"/>
    <s v="New"/>
    <x v="0"/>
    <x v="1"/>
    <s v="EL"/>
    <s v="named/assigned"/>
    <e v="#N/A"/>
    <s v="Roselle Delos Angeles"/>
  </r>
  <r>
    <n v="1641"/>
    <s v="F0"/>
    <x v="67"/>
    <s v="P000001355"/>
    <s v="CF Asia 2 Global Demand Plan/Cust Svc"/>
    <s v="P000000470"/>
    <s v="New"/>
    <x v="0"/>
    <x v="1"/>
    <s v="EL"/>
    <s v="named/assigned"/>
    <e v="#N/A"/>
    <s v="Roselle Delos Angeles"/>
  </r>
  <r>
    <n v="1642"/>
    <s v="F0"/>
    <x v="67"/>
    <s v="P000001356"/>
    <s v="CF US Freight"/>
    <s v="P000000475"/>
    <s v="New"/>
    <x v="0"/>
    <x v="1"/>
    <s v="EL"/>
    <s v="named/assigned"/>
    <e v="#N/A"/>
    <s v="Roselle Delos Angeles"/>
  </r>
  <r>
    <n v="1643"/>
    <s v="F0"/>
    <x v="67"/>
    <s v="P000001357"/>
    <s v="CF US Warehouse/Distribution"/>
    <s v="P000000475"/>
    <s v="New"/>
    <x v="0"/>
    <x v="1"/>
    <s v="EL"/>
    <s v="named/assigned"/>
    <e v="#N/A"/>
    <s v="Roselle Delos Angeles"/>
  </r>
  <r>
    <n v="1644"/>
    <s v="F0"/>
    <x v="67"/>
    <s v="P000001358"/>
    <s v="CF US Warehouse "/>
    <s v="P000001357"/>
    <s v="New"/>
    <x v="0"/>
    <x v="1"/>
    <s v="EL"/>
    <s v="named/assigned"/>
    <e v="#N/A"/>
    <s v="Roselle Delos Angeles"/>
  </r>
  <r>
    <n v="1645"/>
    <s v="F0"/>
    <x v="67"/>
    <s v="P000001359"/>
    <s v="CF US Admin/Overhead"/>
    <s v="P000001357"/>
    <s v="New"/>
    <x v="0"/>
    <x v="1"/>
    <s v="EL"/>
    <s v="named/assigned"/>
    <e v="#N/A"/>
    <s v="Roselle Delos Angeles"/>
  </r>
  <r>
    <n v="1646"/>
    <s v="F0"/>
    <x v="67"/>
    <s v="P000001360"/>
    <s v="CF US Customs/Duties"/>
    <s v="P000000475"/>
    <s v="New"/>
    <x v="0"/>
    <x v="1"/>
    <s v="EL"/>
    <s v="named/assigned"/>
    <e v="#N/A"/>
    <s v="Roselle Delos Angeles"/>
  </r>
  <r>
    <n v="1647"/>
    <s v="F0"/>
    <x v="67"/>
    <s v="P000001361"/>
    <s v="CF US Global Demand Plan/Cust Svc"/>
    <s v="P000000475"/>
    <s v="New"/>
    <x v="0"/>
    <x v="1"/>
    <s v="EL"/>
    <s v="named/assigned"/>
    <e v="#N/A"/>
    <s v="Roselle Delos Angeles"/>
  </r>
  <r>
    <n v="1648"/>
    <s v="F0"/>
    <x v="67"/>
    <s v="P000001362"/>
    <s v="CF EU Others"/>
    <s v="P000000472"/>
    <s v="New"/>
    <x v="0"/>
    <x v="1"/>
    <s v="EL"/>
    <s v="named/assigned"/>
    <e v="#N/A"/>
    <s v="Roselle Delos Angeles"/>
  </r>
  <r>
    <n v="1649"/>
    <s v="F0"/>
    <x v="67"/>
    <s v="P000001363"/>
    <s v="CF Asia 1 Others"/>
    <s v="P000000469"/>
    <s v="New"/>
    <x v="0"/>
    <x v="1"/>
    <s v="EL"/>
    <s v="named/assigned"/>
    <e v="#N/A"/>
    <s v="Roselle Delos Angeles"/>
  </r>
  <r>
    <n v="1650"/>
    <s v="F0"/>
    <x v="67"/>
    <s v="P000001364"/>
    <s v="CF Asia 2 Others"/>
    <s v="P000000470"/>
    <s v="New"/>
    <x v="0"/>
    <x v="1"/>
    <s v="EL"/>
    <s v="named/assigned"/>
    <e v="#N/A"/>
    <s v="Roselle Delos Angeles"/>
  </r>
  <r>
    <n v="1651"/>
    <s v="F0"/>
    <x v="67"/>
    <s v="P000001365"/>
    <s v="CF US Others"/>
    <s v="P000000475"/>
    <s v="New"/>
    <x v="0"/>
    <x v="1"/>
    <s v="EL"/>
    <s v="named/assigned"/>
    <e v="#N/A"/>
    <s v="Roselle Delos Angeles"/>
  </r>
  <r>
    <n v="1652"/>
    <s v="F0"/>
    <x v="67"/>
    <s v="P000001366"/>
    <s v="GrEx, THF-TW-KA2, Kaohsiung, Taiwan"/>
    <s v="P000000808"/>
    <s v="New"/>
    <x v="0"/>
    <x v="1"/>
    <s v="EL"/>
    <s v="named/assigned"/>
    <e v="#N/A"/>
    <s v="Roselle Delos Angeles"/>
  </r>
  <r>
    <n v="1653"/>
    <s v="F0"/>
    <x v="67"/>
    <s v="P000001367"/>
    <s v="Non-GrEx, THF-TW-KA2, Kaohsiung, Taiwan"/>
    <s v="P000000808"/>
    <s v="New"/>
    <x v="0"/>
    <x v="1"/>
    <s v="EL"/>
    <s v="named/assigned"/>
    <e v="#N/A"/>
    <s v="Roselle Delos Angeles"/>
  </r>
  <r>
    <n v="1654"/>
    <s v="F0"/>
    <x v="67"/>
    <s v="P000001368"/>
    <s v="THF-TW-KA2 Production (T1)"/>
    <s v="P000000808"/>
    <s v="New"/>
    <x v="0"/>
    <x v="1"/>
    <s v="EL"/>
    <s v="named/assigned"/>
    <e v="#N/A"/>
    <s v="Roselle Delos Angeles"/>
  </r>
  <r>
    <n v="1655"/>
    <s v="F0"/>
    <x v="67"/>
    <s v="P000001369"/>
    <s v="THF-TW-KA2 Analytics (T6c)"/>
    <s v="P000000808"/>
    <s v="New"/>
    <x v="0"/>
    <x v="1"/>
    <s v="EL"/>
    <s v="named/assigned"/>
    <e v="#N/A"/>
    <s v="Roselle Delos Angeles"/>
  </r>
  <r>
    <n v="1656"/>
    <s v="F0"/>
    <x v="67"/>
    <s v="P000001370"/>
    <s v="THF-TW-KA2 Maintenance/Engineering (T3)"/>
    <s v="P000000808"/>
    <s v="New"/>
    <x v="0"/>
    <x v="1"/>
    <s v="EL"/>
    <s v="named/assigned"/>
    <e v="#N/A"/>
    <s v="Roselle Delos Angeles"/>
  </r>
  <r>
    <n v="1657"/>
    <s v="F0"/>
    <x v="67"/>
    <s v="P000001371"/>
    <s v="THF-TW-KA2 Energies/Utilities(T4)"/>
    <s v="P000000808"/>
    <s v="New"/>
    <x v="0"/>
    <x v="1"/>
    <s v="EL"/>
    <s v="named/assigned"/>
    <e v="#N/A"/>
    <s v="Roselle Delos Angeles"/>
  </r>
  <r>
    <n v="1658"/>
    <s v="F0"/>
    <x v="67"/>
    <s v="P000001372"/>
    <s v="THF-TW-KA2 Environmental(T5)"/>
    <s v="P000000808"/>
    <s v="New"/>
    <x v="0"/>
    <x v="1"/>
    <s v="EL"/>
    <s v="named/assigned"/>
    <e v="#N/A"/>
    <s v="Roselle Delos Angeles"/>
  </r>
  <r>
    <n v="1659"/>
    <s v="F0"/>
    <x v="67"/>
    <s v="P000001373"/>
    <s v="THF-TW-KA2 Prod.infrast.&amp;non-off-buil."/>
    <s v="P000000808"/>
    <s v="New"/>
    <x v="0"/>
    <x v="1"/>
    <s v="EL"/>
    <s v="named/assigned"/>
    <e v="#N/A"/>
    <s v="Roselle Delos Angeles"/>
  </r>
  <r>
    <n v="1660"/>
    <s v="F0"/>
    <x v="67"/>
    <s v="P000001374"/>
    <s v="THF-TW-KA2 Incom. storage&amp;handling (T7)"/>
    <s v="P000000808"/>
    <s v="New"/>
    <x v="0"/>
    <x v="1"/>
    <s v="EL"/>
    <s v="named/assigned"/>
    <e v="#N/A"/>
    <s v="Roselle Delos Angeles"/>
  </r>
  <r>
    <n v="1661"/>
    <s v="F0"/>
    <x v="67"/>
    <s v="P000001375"/>
    <s v="THF-TW-KA2 Local Prod.Dev. &amp; Opt."/>
    <s v="P000000808"/>
    <s v="New"/>
    <x v="0"/>
    <x v="1"/>
    <s v="EL"/>
    <s v="named/assigned"/>
    <e v="#N/A"/>
    <s v="Roselle Delos Angeles"/>
  </r>
  <r>
    <n v="1662"/>
    <s v="F0"/>
    <x v="67"/>
    <s v="P000001376"/>
    <s v="THF-TW-KA2 Other"/>
    <s v="P000000808"/>
    <s v="New"/>
    <x v="0"/>
    <x v="1"/>
    <s v="EL"/>
    <s v="named/assigned"/>
    <e v="#N/A"/>
    <s v="Roselle Delos Angeles"/>
  </r>
  <r>
    <n v="1663"/>
    <s v="F0"/>
    <x v="67"/>
    <s v="P000001377"/>
    <s v="THF-TW-KA2  Local Quality "/>
    <s v="P000000808"/>
    <s v="New"/>
    <x v="0"/>
    <x v="1"/>
    <s v="EL"/>
    <s v="named/assigned"/>
    <e v="#N/A"/>
    <s v="Roselle Delos Angeles"/>
  </r>
  <r>
    <n v="1664"/>
    <s v="F0"/>
    <x v="67"/>
    <s v="P000001378"/>
    <s v="THF-TW-KA2  Warehouse"/>
    <s v="P000000808"/>
    <s v="New"/>
    <x v="0"/>
    <x v="1"/>
    <s v="EL"/>
    <s v="named/assigned"/>
    <e v="#N/A"/>
    <s v="Roselle Delos Angeles"/>
  </r>
  <r>
    <n v="1665"/>
    <s v="F0"/>
    <x v="67"/>
    <s v="P000001379"/>
    <s v="EL AP Accruals"/>
    <s v="P000000962"/>
    <s v="New"/>
    <x v="0"/>
    <x v="1"/>
    <s v="EL"/>
    <s v="named/assigned"/>
    <e v="#N/A"/>
    <s v="Roselle Delos Angeles"/>
  </r>
  <r>
    <n v="1666"/>
    <s v="F0"/>
    <x v="67"/>
    <s v="P000001380"/>
    <s v="EL-CN-S9 Customer Fulfillment China"/>
    <s v="P000000571"/>
    <s v="New"/>
    <x v="0"/>
    <x v="1"/>
    <s v="EL"/>
    <s v="named/assigned"/>
    <e v="#N/A"/>
    <s v="Roselle Delos Angeles"/>
  </r>
  <r>
    <n v="1667"/>
    <s v="F0"/>
    <x v="67"/>
    <s v="P000001166"/>
    <m/>
    <s v="P000000757"/>
    <s v="Move"/>
    <x v="0"/>
    <x v="1"/>
    <s v="EL"/>
    <s v="named/moved"/>
    <s v="P000000748"/>
    <s v="Roselle Delos Angeles"/>
  </r>
  <r>
    <n v="1668"/>
    <s v="F0"/>
    <x v="67"/>
    <s v="P000001178"/>
    <m/>
    <s v="P000000494"/>
    <s v="Move"/>
    <x v="0"/>
    <x v="1"/>
    <s v="EL"/>
    <s v="named/moved"/>
    <s v="P000000500"/>
    <s v="Roselle Delos Angeles"/>
  </r>
  <r>
    <n v="1669"/>
    <s v="F0"/>
    <x v="67"/>
    <s v="P000000759"/>
    <m/>
    <s v="P000001319 "/>
    <s v="Move"/>
    <x v="0"/>
    <x v="1"/>
    <s v="EL"/>
    <s v="named/moved"/>
    <s v="P000000758"/>
    <s v="Roselle Delos Angeles"/>
  </r>
  <r>
    <n v="1670"/>
    <s v="F0"/>
    <x v="67"/>
    <s v="P000000766"/>
    <m/>
    <s v="P000001319 "/>
    <s v="Move"/>
    <x v="0"/>
    <x v="1"/>
    <s v="EL"/>
    <s v="named/moved"/>
    <s v="P000000758"/>
    <s v="Roselle Delos Angeles"/>
  </r>
  <r>
    <n v="1671"/>
    <s v="F0"/>
    <x v="67"/>
    <s v="P000000767"/>
    <m/>
    <s v="P000001319 "/>
    <s v="Move"/>
    <x v="0"/>
    <x v="1"/>
    <s v="EL"/>
    <s v="named/moved"/>
    <s v="P000000758"/>
    <s v="Roselle Delos Angeles"/>
  </r>
  <r>
    <n v="1672"/>
    <s v="F0"/>
    <x v="67"/>
    <s v="P000000768"/>
    <m/>
    <s v="P000001319 "/>
    <s v="Move"/>
    <x v="0"/>
    <x v="1"/>
    <s v="EL"/>
    <s v="named/moved"/>
    <s v="P000000758"/>
    <s v="Roselle Delos Angeles"/>
  </r>
  <r>
    <n v="1673"/>
    <s v="F0"/>
    <x v="67"/>
    <s v="P000000760"/>
    <m/>
    <s v="P000001319 "/>
    <s v="Move"/>
    <x v="0"/>
    <x v="1"/>
    <s v="EL"/>
    <s v="named/moved"/>
    <s v="P000000758"/>
    <s v="Roselle Delos Angeles"/>
  </r>
  <r>
    <n v="1674"/>
    <s v="F0"/>
    <x v="67"/>
    <s v="P000000762"/>
    <m/>
    <s v="P000001319 "/>
    <s v="Move"/>
    <x v="0"/>
    <x v="1"/>
    <s v="EL"/>
    <s v="named/moved"/>
    <s v="P000000758"/>
    <s v="Roselle Delos Angeles"/>
  </r>
  <r>
    <n v="1675"/>
    <s v="F0"/>
    <x v="67"/>
    <s v="P000000765"/>
    <m/>
    <s v="P000001319 "/>
    <s v="Move"/>
    <x v="0"/>
    <x v="1"/>
    <s v="EL"/>
    <s v="named/moved"/>
    <s v="P000000758"/>
    <s v="Roselle Delos Angeles"/>
  </r>
  <r>
    <n v="1676"/>
    <s v="F0"/>
    <x v="67"/>
    <s v="P000000411"/>
    <m/>
    <s v="P000000962"/>
    <s v="Move"/>
    <x v="0"/>
    <x v="1"/>
    <s v="EL"/>
    <s v="named/moved"/>
    <s v="P000001159"/>
    <s v="Roselle Delos Angeles"/>
  </r>
  <r>
    <n v="1677"/>
    <s v="F0"/>
    <x v="67"/>
    <s v="P000000662"/>
    <m/>
    <s v="O000000009"/>
    <s v="Delete"/>
    <x v="0"/>
    <x v="1"/>
    <s v="EL"/>
    <s v="named/moved"/>
    <m/>
    <s v="Roselle Delos Angeles"/>
  </r>
  <r>
    <n v="1678"/>
    <s v="F0"/>
    <x v="67"/>
    <s v="P000000663"/>
    <m/>
    <s v="O000000009"/>
    <s v="Delete"/>
    <x v="0"/>
    <x v="1"/>
    <s v="EL"/>
    <s v="named/moved"/>
    <m/>
    <s v="Roselle Delos Angeles"/>
  </r>
  <r>
    <n v="1679"/>
    <s v="F0"/>
    <x v="67"/>
    <s v="P000000760"/>
    <s v="EL-BP-IO Business Partner Optronics"/>
    <m/>
    <s v="Rename"/>
    <x v="0"/>
    <x v="1"/>
    <s v="EL"/>
    <s v="named"/>
    <m/>
    <s v="Roselle Delos Angeles"/>
  </r>
  <r>
    <n v="1680"/>
    <s v="F0"/>
    <x v="67"/>
    <s v="P000000762"/>
    <s v="EL-BP-IA Architecture, Engineering &amp; Ops"/>
    <m/>
    <s v="Rename"/>
    <x v="0"/>
    <x v="1"/>
    <s v="EL"/>
    <s v="named"/>
    <m/>
    <s v="Roselle Delos Angeles"/>
  </r>
  <r>
    <n v="1681"/>
    <s v="F0"/>
    <x v="67"/>
    <s v="P000000765"/>
    <s v="EL-BP-IE Electronics Processes"/>
    <m/>
    <s v="Rename"/>
    <x v="0"/>
    <x v="1"/>
    <s v="EL"/>
    <s v="named"/>
    <m/>
    <s v="Roselle Delos Angeles"/>
  </r>
  <r>
    <n v="1682"/>
    <s v="F0"/>
    <x v="67"/>
    <s v="P000000763"/>
    <s v="EL-BP SPICE"/>
    <m/>
    <s v="Rename"/>
    <x v="0"/>
    <x v="1"/>
    <s v="EL"/>
    <s v="named"/>
    <m/>
    <s v="Roselle Delos Angeles"/>
  </r>
  <r>
    <n v="1683"/>
    <s v="F0"/>
    <x v="68"/>
    <s v="G000000317"/>
    <s v="EF-DS-E DDIT Enabling Functions"/>
    <s v="G000001375"/>
    <s v="Rename/Move"/>
    <x v="0"/>
    <x v="1"/>
    <s v="MGF"/>
    <s v="todo in 2026"/>
    <m/>
    <s v="Jay-R Lizardo"/>
  </r>
  <r>
    <n v="1684"/>
    <s v="F0"/>
    <x v="69"/>
    <s v="G000001457"/>
    <s v="EF-DS-SIA Integration &amp; Transformation A"/>
    <s v="G000001419"/>
    <s v="New"/>
    <x v="0"/>
    <x v="1"/>
    <s v="MGF"/>
    <s v="todo in 2026"/>
    <m/>
    <s v="Jay-R Lizardo"/>
  </r>
  <r>
    <n v="1685"/>
    <s v="F0"/>
    <x v="69"/>
    <s v="IT09030200"/>
    <s v="EF-DS-SIA Integration &amp; Transformation A"/>
    <s v="G000001457"/>
    <s v="Rename/Move"/>
    <x v="0"/>
    <x v="1"/>
    <s v="MGF"/>
    <s v="todo in 2026"/>
    <m/>
    <s v="Jay-R Lizardo"/>
  </r>
  <r>
    <n v="1686"/>
    <s v="F0"/>
    <x v="69"/>
    <s v="G000001458"/>
    <s v="EF-DS-SIE Integration &amp; Transformation E"/>
    <s v="G000001419"/>
    <s v="New"/>
    <x v="0"/>
    <x v="1"/>
    <s v="MGF"/>
    <s v="todo in 2026"/>
    <m/>
    <s v="Jay-R Lizardo"/>
  </r>
  <r>
    <n v="1687"/>
    <s v="F0"/>
    <x v="69"/>
    <s v="IT09030300"/>
    <s v="EF-DS-SIE Integration &amp; Transformation E"/>
    <s v="G000001458"/>
    <s v="Rename/Move"/>
    <x v="0"/>
    <x v="1"/>
    <s v="MGF"/>
    <s v="todo in 2026"/>
    <m/>
    <s v="Jay-R Lizardo"/>
  </r>
  <r>
    <n v="1688"/>
    <s v="F0"/>
    <x v="69"/>
    <s v="G000001459"/>
    <s v="EF-DS-SIP Integration &amp; Transformation P"/>
    <s v="G000001419"/>
    <s v="New"/>
    <x v="0"/>
    <x v="1"/>
    <s v="MGF"/>
    <s v="todo in 2026"/>
    <m/>
    <s v="Jay-R Lizardo"/>
  </r>
  <r>
    <n v="1689"/>
    <s v="F0"/>
    <x v="69"/>
    <s v="IT09030400"/>
    <s v="EF-DS-SIP Integration &amp; Transformation P"/>
    <s v="G000001459"/>
    <s v="Rename/Move"/>
    <x v="0"/>
    <x v="1"/>
    <s v="MGF"/>
    <s v="todo in 2026"/>
    <m/>
    <s v="Jay-R Lizardo"/>
  </r>
  <r>
    <n v="1690"/>
    <s v="F0"/>
    <x v="69"/>
    <s v="G000001460"/>
    <s v="EF-DS-SOM Performance Management"/>
    <s v="G000000789"/>
    <s v="New"/>
    <x v="0"/>
    <x v="1"/>
    <s v="MGF"/>
    <s v="todo in 2026"/>
    <m/>
    <s v="Jay-R Lizardo"/>
  </r>
  <r>
    <n v="1691"/>
    <s v="F0"/>
    <x v="69"/>
    <s v="IT09040400"/>
    <s v="EF-DS-SOM Performance Management"/>
    <s v="G000001460"/>
    <s v="Rename/Move"/>
    <x v="0"/>
    <x v="1"/>
    <s v="MGF"/>
    <s v="todo in 2026"/>
    <m/>
    <s v="Jay-R Lizardo"/>
  </r>
  <r>
    <n v="1692"/>
    <s v="F0"/>
    <x v="69"/>
    <s v="G000000318"/>
    <s v="EF-DS-E DDIT Enabling Functions"/>
    <m/>
    <s v="Rename"/>
    <x v="0"/>
    <x v="1"/>
    <s v="MGF"/>
    <s v="todo in 2026"/>
    <m/>
    <s v="Jay-R Lizardo"/>
  </r>
  <r>
    <n v="1693"/>
    <s v="F0"/>
    <x v="69"/>
    <s v="G000000324"/>
    <s v="EF-DS-ET Portfolio Mngmt &amp; Excellence"/>
    <m/>
    <s v="Rename"/>
    <x v="0"/>
    <x v="1"/>
    <s v="MGF"/>
    <s v="todo in 2026"/>
    <m/>
    <s v="Jay-R Lizardo"/>
  </r>
  <r>
    <n v="1694"/>
    <s v="F0"/>
    <x v="69"/>
    <s v="G000000325"/>
    <s v="EF-DS-EH Busi Partnering HR &amp; Various EF"/>
    <m/>
    <s v="Rename"/>
    <x v="0"/>
    <x v="1"/>
    <s v="MGF"/>
    <s v="todo in 2026"/>
    <m/>
    <s v="Jay-R Lizardo"/>
  </r>
  <r>
    <n v="1695"/>
    <s v="F0"/>
    <x v="69"/>
    <s v="G000000786"/>
    <s v="EF-DS-EF Business Partnering Finance"/>
    <m/>
    <s v="Rename"/>
    <x v="0"/>
    <x v="1"/>
    <s v="MGF"/>
    <s v="todo in 2026"/>
    <m/>
    <s v="Jay-R Lizardo"/>
  </r>
  <r>
    <n v="1696"/>
    <s v="F0"/>
    <x v="69"/>
    <s v="G000001123"/>
    <s v="EF-DS-ED Data &amp; AI Organization"/>
    <m/>
    <s v="Rename"/>
    <x v="0"/>
    <x v="1"/>
    <s v="MGF"/>
    <s v="todo in 2026"/>
    <m/>
    <s v="Jay-R Lizardo"/>
  </r>
  <r>
    <n v="1697"/>
    <s v="F0"/>
    <x v="69"/>
    <s v="G000001233"/>
    <s v="EF-DS-EA Group Solutions"/>
    <m/>
    <s v="Rename"/>
    <x v="0"/>
    <x v="1"/>
    <s v="MGF"/>
    <s v="todo in 2026"/>
    <m/>
    <s v="Jay-R Lizardo"/>
  </r>
  <r>
    <n v="1698"/>
    <s v="F0"/>
    <x v="69"/>
    <s v="G000001234"/>
    <s v="EF-DS-EI MITC Office"/>
    <m/>
    <s v="Rename"/>
    <x v="0"/>
    <x v="1"/>
    <s v="MGF"/>
    <s v="todo in 2026"/>
    <m/>
    <s v="Jay-R Lizardo"/>
  </r>
  <r>
    <n v="1699"/>
    <s v="F0"/>
    <x v="69"/>
    <s v="G000001276"/>
    <s v="EF-DS-EG Busi Partner Procurement&amp;GES"/>
    <m/>
    <s v="Rename"/>
    <x v="0"/>
    <x v="1"/>
    <s v="MGF"/>
    <s v="todo in 2026"/>
    <m/>
    <s v="Jay-R Lizardo"/>
  </r>
  <r>
    <n v="1700"/>
    <s v="F0"/>
    <x v="69"/>
    <s v="G000001277"/>
    <s v="EF-DS-EO Strategy &amp; Transformation"/>
    <m/>
    <s v="Rename"/>
    <x v="0"/>
    <x v="1"/>
    <s v="MGF"/>
    <s v="todo in 2026"/>
    <m/>
    <s v="Jay-R Lizardo"/>
  </r>
  <r>
    <n v="1701"/>
    <s v="F0"/>
    <x v="69"/>
    <s v="G000001278"/>
    <s v="EF-DS-EX Architecture &amp; Security"/>
    <m/>
    <s v="Rename"/>
    <x v="0"/>
    <x v="1"/>
    <s v="MGF"/>
    <s v="todo in 2026"/>
    <m/>
    <s v="Jay-R Lizardo"/>
  </r>
  <r>
    <n v="1702"/>
    <s v="F0"/>
    <x v="69"/>
    <s v="IT06070000"/>
    <s v="EF-DS-E DDIT Enabling Functions"/>
    <m/>
    <s v="Rename"/>
    <x v="0"/>
    <x v="1"/>
    <s v="MGF"/>
    <s v="todo in 2026"/>
    <m/>
    <s v="Jay-R Lizardo"/>
  </r>
  <r>
    <n v="1703"/>
    <s v="F0"/>
    <x v="69"/>
    <s v="IT06070600"/>
    <s v="EF-DS-ET Portfolio Mngmt &amp; Excellence"/>
    <m/>
    <s v="Rename"/>
    <x v="0"/>
    <x v="1"/>
    <s v="MGF"/>
    <s v="todo in 2026"/>
    <m/>
    <s v="Jay-R Lizardo"/>
  </r>
  <r>
    <n v="1704"/>
    <s v="F0"/>
    <x v="69"/>
    <s v="IT06070700"/>
    <s v="EF-DS-EH Busi Partnering HR &amp; Various EF"/>
    <m/>
    <s v="Rename"/>
    <x v="0"/>
    <x v="1"/>
    <s v="MGF"/>
    <s v="todo in 2026"/>
    <m/>
    <s v="Jay-R Lizardo"/>
  </r>
  <r>
    <n v="1705"/>
    <s v="F0"/>
    <x v="69"/>
    <s v="IT06071100"/>
    <s v="EF-DS-EF Business Partnering Finance"/>
    <m/>
    <s v="Rename"/>
    <x v="0"/>
    <x v="1"/>
    <s v="MGF"/>
    <s v="todo in 2026"/>
    <m/>
    <s v="Jay-R Lizardo"/>
  </r>
  <r>
    <n v="1706"/>
    <s v="F0"/>
    <x v="69"/>
    <s v="IT06071400"/>
    <s v="EF-DS-ED Data &amp; AI Organization"/>
    <m/>
    <s v="Rename"/>
    <x v="0"/>
    <x v="1"/>
    <s v="MGF"/>
    <s v="todo in 2026"/>
    <m/>
    <s v="Jay-R Lizardo"/>
  </r>
  <r>
    <n v="1707"/>
    <s v="F0"/>
    <x v="69"/>
    <s v="IT06071800"/>
    <s v="EF-DS-EA Group Solutions"/>
    <m/>
    <s v="Rename"/>
    <x v="0"/>
    <x v="1"/>
    <s v="MGF"/>
    <s v="todo in 2026"/>
    <m/>
    <s v="Jay-R Lizardo"/>
  </r>
  <r>
    <n v="1708"/>
    <s v="F0"/>
    <x v="69"/>
    <s v="IT06071900"/>
    <s v="EF-DS-EI MITC Office"/>
    <m/>
    <s v="Rename"/>
    <x v="0"/>
    <x v="1"/>
    <s v="MGF"/>
    <s v="todo in 2026"/>
    <m/>
    <s v="Jay-R Lizardo"/>
  </r>
  <r>
    <n v="1709"/>
    <s v="F0"/>
    <x v="69"/>
    <s v="IT06072000"/>
    <s v="EF-DS-EG Busi Partner Procurement&amp;GES"/>
    <m/>
    <s v="Rename"/>
    <x v="0"/>
    <x v="1"/>
    <s v="MGF"/>
    <s v="todo in 2026"/>
    <m/>
    <s v="Jay-R Lizardo"/>
  </r>
  <r>
    <n v="1710"/>
    <s v="F0"/>
    <x v="69"/>
    <s v="IT06072100"/>
    <s v="EF-DS-EO Strategy &amp; Transformation"/>
    <m/>
    <s v="Rename"/>
    <x v="0"/>
    <x v="1"/>
    <s v="MGF"/>
    <s v="todo in 2026"/>
    <m/>
    <s v="Jay-R Lizardo"/>
  </r>
  <r>
    <n v="1711"/>
    <s v="F0"/>
    <x v="69"/>
    <s v="IT06072200"/>
    <s v="EF-DS-EX Architecture &amp; Security"/>
    <m/>
    <s v="Rename"/>
    <x v="0"/>
    <x v="1"/>
    <s v="MGF"/>
    <s v="todo in 2026"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91">
        <item m="1" x="83"/>
        <item m="1" x="71"/>
        <item m="1" x="77"/>
        <item m="1" x="84"/>
        <item m="1" x="75"/>
        <item m="1" x="85"/>
        <item m="1" x="72"/>
        <item m="1" x="87"/>
        <item m="1" x="70"/>
        <item m="1" x="79"/>
        <item m="1" x="80"/>
        <item m="1" x="86"/>
        <item m="1" x="82"/>
        <item m="1" x="78"/>
        <item m="1" x="81"/>
        <item m="1" x="76"/>
        <item m="1" x="89"/>
        <item m="1" x="74"/>
        <item m="1" x="88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3"/>
        <item x="20"/>
        <item x="24"/>
        <item x="25"/>
        <item x="26"/>
        <item x="27"/>
        <item x="29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8">
        <item x="0"/>
        <item m="1" x="5"/>
        <item m="1" x="3"/>
        <item m="1" x="6"/>
        <item m="1" x="2"/>
        <item m="1" x="4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53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E23" sqref="E23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45" t="s">
        <v>0</v>
      </c>
      <c r="B1" t="s">
        <v>7903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10</v>
      </c>
      <c r="B4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53"/>
  <sheetViews>
    <sheetView tabSelected="1" topLeftCell="A27" zoomScale="115" zoomScaleNormal="115" workbookViewId="0">
      <selection activeCell="A51" sqref="A51:A53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2">
        <v>1</v>
      </c>
      <c r="B2" s="36" t="s">
        <v>4</v>
      </c>
      <c r="C2" s="9" t="s">
        <v>7908</v>
      </c>
      <c r="D2" s="9" t="s">
        <v>7904</v>
      </c>
      <c r="E2" s="38" t="s">
        <v>7910</v>
      </c>
      <c r="F2" s="54" t="s">
        <v>3707</v>
      </c>
      <c r="G2" s="9" t="s">
        <v>14</v>
      </c>
      <c r="H2" s="36">
        <f>IFERROR(VLOOKUP(Table2[[#This Row], [Ticket]],Okey!A:B,2,0),"")</f>
        <v>0</v>
      </c>
      <c r="J2" s="36" t="s">
        <v>17</v>
      </c>
      <c r="M2" s="9" t="s">
        <v>1230</v>
      </c>
    </row>
    <row r="3" spans="1:13" x14ac:dyDescent="0.25">
      <c r="A3" s="42">
        <f t="shared" ref="A3:A19" si="0">1+A2</f>
        <v>2</v>
      </c>
      <c r="B3" s="36" t="s">
        <v>4</v>
      </c>
      <c r="C3" s="36" t="s">
        <v>7908</v>
      </c>
      <c r="D3" s="9" t="s">
        <v>7863</v>
      </c>
      <c r="F3" s="9" t="s">
        <v>387</v>
      </c>
      <c r="G3" s="9" t="s">
        <v>13</v>
      </c>
      <c r="H3" s="36">
        <f>IFERROR(VLOOKUP(Table2[[#This Row], [Ticket]],Okey!A:B,2,0),"")</f>
        <v>0</v>
      </c>
      <c r="J3" s="36" t="s">
        <v>17</v>
      </c>
      <c r="K3" s="9" t="s">
        <v>7909</v>
      </c>
      <c r="M3" s="9" t="s">
        <v>4777</v>
      </c>
    </row>
    <row r="4" spans="1:13" x14ac:dyDescent="0.25">
      <c r="A4" s="42">
        <f t="shared" si="0"/>
        <v>3</v>
      </c>
      <c r="B4" s="36" t="s">
        <v>4</v>
      </c>
      <c r="C4" s="36" t="s">
        <v>7908</v>
      </c>
      <c r="D4" s="9" t="s">
        <v>7866</v>
      </c>
      <c r="E4" s="9" t="s">
        <v>7905</v>
      </c>
      <c r="F4" s="9" t="s">
        <v>5725</v>
      </c>
      <c r="G4" s="9" t="s">
        <v>16</v>
      </c>
      <c r="H4" s="36">
        <f>IFERROR(VLOOKUP(Table2[[#This Row], [Ticket]],Okey!A:B,2,0),"")</f>
        <v>0</v>
      </c>
      <c r="J4" s="36" t="s">
        <v>17</v>
      </c>
      <c r="K4" s="36" t="s">
        <v>7909</v>
      </c>
      <c r="M4" s="36" t="s">
        <v>4777</v>
      </c>
    </row>
    <row r="5" spans="1:13" x14ac:dyDescent="0.25">
      <c r="A5" s="42">
        <f t="shared" si="0"/>
        <v>4</v>
      </c>
      <c r="B5" s="36" t="s">
        <v>4</v>
      </c>
      <c r="C5" s="36" t="s">
        <v>7908</v>
      </c>
      <c r="D5" s="9" t="s">
        <v>7867</v>
      </c>
      <c r="E5" s="9" t="s">
        <v>7905</v>
      </c>
      <c r="F5" s="9" t="s">
        <v>5725</v>
      </c>
      <c r="G5" s="36" t="s">
        <v>16</v>
      </c>
      <c r="H5" s="36">
        <f>IFERROR(VLOOKUP(Table2[[#This Row], [Ticket]],Okey!A:B,2,0),"")</f>
        <v>0</v>
      </c>
      <c r="J5" s="36" t="s">
        <v>17</v>
      </c>
      <c r="K5" s="36" t="s">
        <v>7909</v>
      </c>
      <c r="M5" s="36" t="s">
        <v>4777</v>
      </c>
    </row>
    <row r="6" spans="1:13" x14ac:dyDescent="0.25">
      <c r="A6" s="42">
        <f t="shared" si="0"/>
        <v>5</v>
      </c>
      <c r="B6" s="36" t="s">
        <v>4</v>
      </c>
      <c r="C6" s="36" t="s">
        <v>7908</v>
      </c>
      <c r="D6" s="9" t="s">
        <v>7862</v>
      </c>
      <c r="E6" s="9" t="s">
        <v>7905</v>
      </c>
      <c r="F6" s="9" t="s">
        <v>5725</v>
      </c>
      <c r="G6" s="36" t="s">
        <v>16</v>
      </c>
      <c r="H6" s="36">
        <f>IFERROR(VLOOKUP(Table2[[#This Row], [Ticket]],Okey!A:B,2,0),"")</f>
        <v>0</v>
      </c>
      <c r="J6" s="36" t="s">
        <v>17</v>
      </c>
      <c r="K6" s="36" t="s">
        <v>7909</v>
      </c>
      <c r="M6" s="36" t="s">
        <v>4777</v>
      </c>
    </row>
    <row r="7" spans="1:13" x14ac:dyDescent="0.25">
      <c r="A7" s="42">
        <f t="shared" si="0"/>
        <v>6</v>
      </c>
      <c r="B7" s="36" t="s">
        <v>4</v>
      </c>
      <c r="C7" s="36" t="s">
        <v>7908</v>
      </c>
      <c r="D7" s="9" t="s">
        <v>7864</v>
      </c>
      <c r="E7" s="9" t="s">
        <v>7905</v>
      </c>
      <c r="F7" s="9" t="s">
        <v>5725</v>
      </c>
      <c r="G7" s="36" t="s">
        <v>16</v>
      </c>
      <c r="H7" s="36">
        <f>IFERROR(VLOOKUP(Table2[[#This Row], [Ticket]],Okey!A:B,2,0),"")</f>
        <v>0</v>
      </c>
      <c r="J7" s="36" t="s">
        <v>17</v>
      </c>
      <c r="K7" s="36" t="s">
        <v>7909</v>
      </c>
      <c r="M7" s="36" t="s">
        <v>4777</v>
      </c>
    </row>
    <row r="8" spans="1:13" x14ac:dyDescent="0.25">
      <c r="A8" s="42">
        <f t="shared" si="0"/>
        <v>7</v>
      </c>
      <c r="B8" s="36" t="s">
        <v>4</v>
      </c>
      <c r="C8" s="36" t="s">
        <v>7908</v>
      </c>
      <c r="D8" s="9" t="s">
        <v>7861</v>
      </c>
      <c r="E8" s="9" t="s">
        <v>7906</v>
      </c>
      <c r="G8" s="9" t="s">
        <v>15</v>
      </c>
      <c r="H8" s="36">
        <f>IFERROR(VLOOKUP(Table2[[#This Row], [Ticket]],Okey!A:B,2,0),"")</f>
        <v>0</v>
      </c>
      <c r="J8" s="36" t="s">
        <v>17</v>
      </c>
      <c r="K8" s="36" t="s">
        <v>7909</v>
      </c>
      <c r="M8" s="36" t="s">
        <v>4777</v>
      </c>
    </row>
    <row r="9" spans="1:13" x14ac:dyDescent="0.25">
      <c r="A9" s="42">
        <f t="shared" si="0"/>
        <v>8</v>
      </c>
      <c r="B9" s="36" t="s">
        <v>4</v>
      </c>
      <c r="C9" s="36" t="s">
        <v>7908</v>
      </c>
      <c r="D9" s="9" t="s">
        <v>7865</v>
      </c>
      <c r="E9" s="9" t="s">
        <v>7907</v>
      </c>
      <c r="G9" s="36" t="s">
        <v>15</v>
      </c>
      <c r="H9" s="36">
        <f>IFERROR(VLOOKUP(Table2[[#This Row], [Ticket]],Okey!A:B,2,0),"")</f>
        <v>0</v>
      </c>
      <c r="J9" s="36" t="s">
        <v>17</v>
      </c>
      <c r="K9" s="36" t="s">
        <v>7909</v>
      </c>
      <c r="M9" s="36" t="s">
        <v>4777</v>
      </c>
    </row>
    <row r="10" spans="1:13" x14ac:dyDescent="0.25">
      <c r="A10" s="42">
        <f t="shared" si="0"/>
        <v>9</v>
      </c>
      <c r="B10" s="36" t="s">
        <v>4</v>
      </c>
      <c r="C10" s="36" t="s">
        <v>7908</v>
      </c>
      <c r="D10" s="9" t="s">
        <v>7868</v>
      </c>
      <c r="E10" s="9" t="s">
        <v>7905</v>
      </c>
      <c r="G10" s="36" t="s">
        <v>15</v>
      </c>
      <c r="H10" s="36">
        <f>IFERROR(VLOOKUP(Table2[[#This Row], [Ticket]],Okey!A:B,2,0),"")</f>
        <v>0</v>
      </c>
      <c r="J10" s="36" t="s">
        <v>17</v>
      </c>
      <c r="K10" s="36" t="s">
        <v>7909</v>
      </c>
      <c r="M10" s="36" t="s">
        <v>4777</v>
      </c>
    </row>
    <row r="11" spans="1:13" x14ac:dyDescent="0.25">
      <c r="A11" s="42">
        <f t="shared" si="0"/>
        <v>10</v>
      </c>
      <c r="B11" s="36" t="s">
        <v>4</v>
      </c>
      <c r="C11" s="36" t="s">
        <v>7908</v>
      </c>
      <c r="D11" s="9" t="s">
        <v>7869</v>
      </c>
      <c r="E11" s="9" t="s">
        <v>7905</v>
      </c>
      <c r="G11" s="36" t="s">
        <v>15</v>
      </c>
      <c r="H11" s="36">
        <f>IFERROR(VLOOKUP(Table2[[#This Row], [Ticket]],Okey!A:B,2,0),"")</f>
        <v>0</v>
      </c>
      <c r="J11" s="36" t="s">
        <v>17</v>
      </c>
      <c r="K11" s="36" t="s">
        <v>7909</v>
      </c>
      <c r="M11" s="36" t="s">
        <v>4777</v>
      </c>
    </row>
    <row r="12" spans="1:13" x14ac:dyDescent="0.25">
      <c r="A12" s="42">
        <f t="shared" si="0"/>
        <v>11</v>
      </c>
      <c r="B12" s="36" t="s">
        <v>4</v>
      </c>
      <c r="C12" s="36" t="s">
        <v>7908</v>
      </c>
      <c r="D12" s="9" t="s">
        <v>7870</v>
      </c>
      <c r="E12" s="9" t="s">
        <v>7905</v>
      </c>
      <c r="G12" s="36" t="s">
        <v>15</v>
      </c>
      <c r="H12" s="36">
        <f>IFERROR(VLOOKUP(Table2[[#This Row], [Ticket]],Okey!A:B,2,0),"")</f>
        <v>0</v>
      </c>
      <c r="J12" s="36" t="s">
        <v>17</v>
      </c>
      <c r="K12" s="36" t="s">
        <v>7909</v>
      </c>
      <c r="M12" s="36" t="s">
        <v>4777</v>
      </c>
    </row>
    <row r="13" spans="1:13" x14ac:dyDescent="0.25">
      <c r="A13" s="42">
        <f t="shared" si="0"/>
        <v>12</v>
      </c>
      <c r="B13" s="36" t="s">
        <v>4</v>
      </c>
      <c r="C13" s="36" t="s">
        <v>7908</v>
      </c>
      <c r="D13" s="9" t="s">
        <v>7871</v>
      </c>
      <c r="E13" s="9" t="s">
        <v>7905</v>
      </c>
      <c r="G13" s="36" t="s">
        <v>15</v>
      </c>
      <c r="H13" s="36">
        <f>IFERROR(VLOOKUP(Table2[[#This Row], [Ticket]],Okey!A:B,2,0),"")</f>
        <v>0</v>
      </c>
      <c r="J13" s="36" t="s">
        <v>17</v>
      </c>
      <c r="K13" s="36" t="s">
        <v>7909</v>
      </c>
      <c r="M13" s="36" t="s">
        <v>4777</v>
      </c>
    </row>
    <row r="14" spans="1:13" x14ac:dyDescent="0.25">
      <c r="A14" s="42">
        <f t="shared" si="0"/>
        <v>13</v>
      </c>
      <c r="B14" s="36" t="s">
        <v>4</v>
      </c>
      <c r="C14" s="36" t="s">
        <v>7908</v>
      </c>
      <c r="D14" s="9" t="s">
        <v>7878</v>
      </c>
      <c r="E14" s="9" t="s">
        <v>7905</v>
      </c>
      <c r="G14" s="36" t="s">
        <v>15</v>
      </c>
      <c r="H14" s="36">
        <f>IFERROR(VLOOKUP(Table2[[#This Row], [Ticket]],Okey!A:B,2,0),"")</f>
        <v>0</v>
      </c>
      <c r="J14" s="36" t="s">
        <v>17</v>
      </c>
      <c r="K14" s="36" t="s">
        <v>7909</v>
      </c>
      <c r="M14" s="36" t="s">
        <v>4777</v>
      </c>
    </row>
    <row r="15" spans="1:13" x14ac:dyDescent="0.25">
      <c r="A15" s="42">
        <f t="shared" si="0"/>
        <v>14</v>
      </c>
      <c r="B15" s="36" t="s">
        <v>4</v>
      </c>
      <c r="C15" s="36" t="s">
        <v>7908</v>
      </c>
      <c r="D15" s="9" t="s">
        <v>7872</v>
      </c>
      <c r="E15" s="9" t="s">
        <v>7905</v>
      </c>
      <c r="G15" s="36" t="s">
        <v>15</v>
      </c>
      <c r="H15" s="36">
        <f>IFERROR(VLOOKUP(Table2[[#This Row], [Ticket]],Okey!A:B,2,0),"")</f>
        <v>0</v>
      </c>
      <c r="J15" s="36" t="s">
        <v>17</v>
      </c>
      <c r="K15" s="36" t="s">
        <v>7909</v>
      </c>
      <c r="M15" s="36" t="s">
        <v>4777</v>
      </c>
    </row>
    <row r="16" spans="1:13" x14ac:dyDescent="0.25">
      <c r="A16" s="42">
        <f t="shared" si="0"/>
        <v>15</v>
      </c>
      <c r="B16" s="36" t="s">
        <v>4</v>
      </c>
      <c r="C16" s="36" t="s">
        <v>7908</v>
      </c>
      <c r="D16" s="9" t="s">
        <v>7873</v>
      </c>
      <c r="E16" s="9" t="s">
        <v>7905</v>
      </c>
      <c r="G16" s="36" t="s">
        <v>15</v>
      </c>
      <c r="H16" s="36">
        <f>IFERROR(VLOOKUP(Table2[[#This Row], [Ticket]],Okey!A:B,2,0),"")</f>
        <v>0</v>
      </c>
      <c r="J16" s="36" t="s">
        <v>17</v>
      </c>
      <c r="K16" s="36" t="s">
        <v>7909</v>
      </c>
      <c r="M16" s="36" t="s">
        <v>4777</v>
      </c>
    </row>
    <row r="17" spans="1:13" x14ac:dyDescent="0.25">
      <c r="A17" s="42">
        <f t="shared" si="0"/>
        <v>16</v>
      </c>
      <c r="B17" s="36" t="s">
        <v>4</v>
      </c>
      <c r="C17" s="36" t="s">
        <v>7908</v>
      </c>
      <c r="D17" s="9" t="s">
        <v>7874</v>
      </c>
      <c r="E17" s="9" t="s">
        <v>7905</v>
      </c>
      <c r="G17" s="36" t="s">
        <v>15</v>
      </c>
      <c r="H17" s="36">
        <f>IFERROR(VLOOKUP(Table2[[#This Row], [Ticket]],Okey!A:B,2,0),"")</f>
        <v>0</v>
      </c>
      <c r="J17" s="36" t="s">
        <v>17</v>
      </c>
      <c r="K17" s="36" t="s">
        <v>7909</v>
      </c>
      <c r="M17" s="36" t="s">
        <v>4777</v>
      </c>
    </row>
    <row r="18" spans="1:13" x14ac:dyDescent="0.25">
      <c r="A18" s="42">
        <f t="shared" si="0"/>
        <v>17</v>
      </c>
      <c r="B18" s="36" t="s">
        <v>4</v>
      </c>
      <c r="C18" s="36" t="s">
        <v>7908</v>
      </c>
      <c r="D18" s="9" t="s">
        <v>7875</v>
      </c>
      <c r="E18" s="9" t="s">
        <v>7905</v>
      </c>
      <c r="G18" s="36" t="s">
        <v>15</v>
      </c>
      <c r="H18" s="36">
        <f>IFERROR(VLOOKUP(Table2[[#This Row], [Ticket]],Okey!A:B,2,0),"")</f>
        <v>0</v>
      </c>
      <c r="J18" s="36" t="s">
        <v>17</v>
      </c>
      <c r="K18" s="36" t="s">
        <v>7909</v>
      </c>
      <c r="M18" s="36" t="s">
        <v>4777</v>
      </c>
    </row>
    <row r="19" spans="1:13" x14ac:dyDescent="0.25">
      <c r="A19" s="42">
        <f t="shared" si="0"/>
        <v>18</v>
      </c>
      <c r="B19" s="36" t="s">
        <v>4</v>
      </c>
      <c r="C19" s="36" t="s">
        <v>7908</v>
      </c>
      <c r="D19" s="9" t="s">
        <v>7876</v>
      </c>
      <c r="E19" s="9" t="s">
        <v>7905</v>
      </c>
      <c r="G19" s="36" t="s">
        <v>15</v>
      </c>
      <c r="H19" s="36">
        <f>IFERROR(VLOOKUP(Table2[[#This Row], [Ticket]],Okey!A:B,2,0),"")</f>
        <v>0</v>
      </c>
      <c r="J19" s="36" t="s">
        <v>17</v>
      </c>
      <c r="K19" s="36" t="s">
        <v>7909</v>
      </c>
      <c r="M19" s="36" t="s">
        <v>4777</v>
      </c>
    </row>
    <row r="20" spans="1:13" x14ac:dyDescent="0.25">
      <c r="A20" s="42">
        <f t="shared" ref="A20:A53" si="1">1+A19</f>
        <v>19</v>
      </c>
      <c r="B20" s="36" t="s">
        <v>4</v>
      </c>
      <c r="C20" s="36" t="s">
        <v>7908</v>
      </c>
      <c r="D20" s="9" t="s">
        <v>7877</v>
      </c>
      <c r="E20" s="9" t="s">
        <v>7905</v>
      </c>
      <c r="G20" s="36" t="s">
        <v>15</v>
      </c>
      <c r="H20" s="36">
        <f>IFERROR(VLOOKUP(Table2[[#This Row], [Ticket]],Okey!A:B,2,0),"")</f>
        <v>0</v>
      </c>
      <c r="J20" s="36" t="s">
        <v>17</v>
      </c>
      <c r="K20" s="36" t="s">
        <v>7909</v>
      </c>
      <c r="M20" s="36" t="s">
        <v>4777</v>
      </c>
    </row>
    <row r="21" spans="1:13" x14ac:dyDescent="0.25">
      <c r="A21" s="42">
        <f t="shared" si="1"/>
        <v>20</v>
      </c>
      <c r="B21" s="36" t="s">
        <v>4</v>
      </c>
      <c r="C21" s="9" t="s">
        <v>7911</v>
      </c>
      <c r="D21" s="9" t="s">
        <v>7912</v>
      </c>
      <c r="F21" s="66" t="s">
        <v>6112</v>
      </c>
      <c r="G21" s="9" t="s">
        <v>13</v>
      </c>
      <c r="H21" s="36" t="str">
        <f>IFERROR(VLOOKUP(Table2[[#This Row], [Ticket]],Okey!A:B,2,0),"")</f>
        <v/>
      </c>
      <c r="I21" s="9" t="s">
        <v>7923</v>
      </c>
      <c r="J21" s="36" t="s">
        <v>17</v>
      </c>
      <c r="K21" s="36" t="s">
        <v>7909</v>
      </c>
      <c r="M21" s="9" t="s">
        <v>4782</v>
      </c>
    </row>
    <row r="22" spans="1:13" x14ac:dyDescent="0.25">
      <c r="A22" s="42">
        <f t="shared" si="1"/>
        <v>21</v>
      </c>
      <c r="B22" s="36" t="s">
        <v>4</v>
      </c>
      <c r="C22" s="9" t="s">
        <v>7913</v>
      </c>
      <c r="D22" s="36" t="s">
        <v>7920</v>
      </c>
      <c r="E22" s="36" t="s">
        <v>7914</v>
      </c>
      <c r="F22" s="9" t="s">
        <v>7915</v>
      </c>
      <c r="G22" s="9" t="s">
        <v>14</v>
      </c>
      <c r="H22" s="36" t="str">
        <f>IFERROR(VLOOKUP(Table2[[#This Row], [Ticket]],Okey!A:B,2,0),"")</f>
        <v/>
      </c>
      <c r="I22" s="9" t="s">
        <v>6455</v>
      </c>
      <c r="J22" s="36" t="s">
        <v>17</v>
      </c>
      <c r="K22" s="36" t="s">
        <v>7909</v>
      </c>
      <c r="M22" s="36" t="s">
        <v>4782</v>
      </c>
    </row>
    <row r="23" spans="1:13" x14ac:dyDescent="0.25">
      <c r="A23" s="42">
        <f t="shared" si="1"/>
        <v>22</v>
      </c>
      <c r="B23" s="36" t="s">
        <v>4</v>
      </c>
      <c r="C23" s="36" t="s">
        <v>7913</v>
      </c>
      <c r="D23" s="36" t="s">
        <v>7921</v>
      </c>
      <c r="E23" s="36" t="s">
        <v>7916</v>
      </c>
      <c r="F23" s="9" t="s">
        <v>7918</v>
      </c>
      <c r="G23" s="36" t="s">
        <v>14</v>
      </c>
      <c r="H23" s="36" t="str">
        <f>IFERROR(VLOOKUP(Table2[[#This Row], [Ticket]],Okey!A:B,2,0),"")</f>
        <v/>
      </c>
      <c r="I23" s="36" t="s">
        <v>6455</v>
      </c>
      <c r="J23" s="36" t="s">
        <v>17</v>
      </c>
      <c r="K23" s="36" t="s">
        <v>7909</v>
      </c>
      <c r="M23" s="36" t="s">
        <v>4782</v>
      </c>
    </row>
    <row r="24" spans="1:13" x14ac:dyDescent="0.25">
      <c r="A24" s="42">
        <f t="shared" si="1"/>
        <v>23</v>
      </c>
      <c r="B24" s="36" t="s">
        <v>4</v>
      </c>
      <c r="C24" s="36" t="s">
        <v>7913</v>
      </c>
      <c r="D24" s="36" t="s">
        <v>7922</v>
      </c>
      <c r="E24" s="36" t="s">
        <v>7917</v>
      </c>
      <c r="F24" s="9" t="s">
        <v>7918</v>
      </c>
      <c r="G24" s="36" t="s">
        <v>14</v>
      </c>
      <c r="H24" s="36" t="str">
        <f>IFERROR(VLOOKUP(Table2[[#This Row], [Ticket]],Okey!A:B,2,0),"")</f>
        <v/>
      </c>
      <c r="I24" s="36" t="s">
        <v>6455</v>
      </c>
      <c r="J24" s="36" t="s">
        <v>17</v>
      </c>
      <c r="K24" s="36" t="s">
        <v>7909</v>
      </c>
      <c r="M24" s="36" t="s">
        <v>4782</v>
      </c>
    </row>
    <row r="25" spans="1:13" x14ac:dyDescent="0.25">
      <c r="A25" s="42">
        <f t="shared" si="1"/>
        <v>24</v>
      </c>
      <c r="B25" s="36" t="s">
        <v>4</v>
      </c>
      <c r="C25" s="36" t="s">
        <v>7913</v>
      </c>
      <c r="D25" s="9" t="s">
        <v>7912</v>
      </c>
      <c r="F25" s="9" t="s">
        <v>6112</v>
      </c>
      <c r="G25" s="36" t="s">
        <v>13</v>
      </c>
      <c r="H25" s="36" t="str">
        <f>IFERROR(VLOOKUP(Table2[[#This Row], [Ticket]],Okey!A:B,2,0),"")</f>
        <v/>
      </c>
      <c r="I25" s="36" t="s">
        <v>7923</v>
      </c>
      <c r="J25" s="36" t="s">
        <v>17</v>
      </c>
      <c r="K25" s="36" t="s">
        <v>7909</v>
      </c>
      <c r="M25" s="36" t="s">
        <v>4782</v>
      </c>
    </row>
    <row r="26" spans="1:13" x14ac:dyDescent="0.25">
      <c r="A26" s="42">
        <f t="shared" si="1"/>
        <v>25</v>
      </c>
      <c r="B26" s="36" t="s">
        <v>4</v>
      </c>
      <c r="C26" s="9" t="s">
        <v>7970</v>
      </c>
      <c r="D26" s="9" t="s">
        <v>939</v>
      </c>
      <c r="E26" s="9" t="s">
        <v>7924</v>
      </c>
      <c r="F26" s="9" t="s">
        <v>1125</v>
      </c>
      <c r="G26" s="36" t="s">
        <v>14</v>
      </c>
      <c r="H26" s="36" t="str">
        <f>IFERROR(VLOOKUP(Table2[[#This Row], [Ticket]],Okey!A:B,2,0),"")</f>
        <v/>
      </c>
      <c r="J26" s="36" t="s">
        <v>19</v>
      </c>
      <c r="K26" s="36" t="s">
        <v>7909</v>
      </c>
      <c r="M26" s="9" t="s">
        <v>7969</v>
      </c>
    </row>
    <row r="27" spans="1:13" x14ac:dyDescent="0.25">
      <c r="A27" s="42">
        <f t="shared" si="1"/>
        <v>26</v>
      </c>
      <c r="B27" s="36" t="s">
        <v>4</v>
      </c>
      <c r="C27" s="36" t="s">
        <v>7970</v>
      </c>
      <c r="D27" s="9" t="s">
        <v>941</v>
      </c>
      <c r="E27" s="9" t="s">
        <v>7925</v>
      </c>
      <c r="F27" s="9" t="s">
        <v>939</v>
      </c>
      <c r="G27" s="36" t="s">
        <v>14</v>
      </c>
      <c r="H27" s="36" t="str">
        <f>IFERROR(VLOOKUP(Table2[[#This Row], [Ticket]],Okey!A:B,2,0),"")</f>
        <v/>
      </c>
      <c r="J27" s="36" t="s">
        <v>19</v>
      </c>
      <c r="K27" s="36" t="s">
        <v>7909</v>
      </c>
      <c r="M27" s="36" t="s">
        <v>7969</v>
      </c>
    </row>
    <row r="28" spans="1:13" x14ac:dyDescent="0.25">
      <c r="A28" s="42">
        <f t="shared" si="1"/>
        <v>27</v>
      </c>
      <c r="B28" s="36" t="s">
        <v>4</v>
      </c>
      <c r="C28" s="36" t="s">
        <v>7970</v>
      </c>
      <c r="D28" s="9" t="s">
        <v>943</v>
      </c>
      <c r="E28" s="9" t="s">
        <v>7926</v>
      </c>
      <c r="F28" s="9" t="s">
        <v>939</v>
      </c>
      <c r="G28" s="36" t="s">
        <v>14</v>
      </c>
      <c r="H28" s="36" t="str">
        <f>IFERROR(VLOOKUP(Table2[[#This Row], [Ticket]],Okey!A:B,2,0),"")</f>
        <v/>
      </c>
      <c r="J28" s="36" t="s">
        <v>19</v>
      </c>
      <c r="K28" s="36" t="s">
        <v>7909</v>
      </c>
      <c r="M28" s="36" t="s">
        <v>7969</v>
      </c>
    </row>
    <row r="29" spans="1:13" x14ac:dyDescent="0.25">
      <c r="A29" s="42">
        <f t="shared" si="1"/>
        <v>28</v>
      </c>
      <c r="B29" s="36" t="s">
        <v>4</v>
      </c>
      <c r="C29" s="36" t="s">
        <v>7970</v>
      </c>
      <c r="D29" s="9" t="s">
        <v>7927</v>
      </c>
      <c r="E29" s="9" t="s">
        <v>7928</v>
      </c>
      <c r="F29" s="9" t="s">
        <v>939</v>
      </c>
      <c r="G29" s="36" t="s">
        <v>14</v>
      </c>
      <c r="H29" s="36" t="str">
        <f>IFERROR(VLOOKUP(Table2[[#This Row], [Ticket]],Okey!A:B,2,0),"")</f>
        <v/>
      </c>
      <c r="J29" s="36" t="s">
        <v>19</v>
      </c>
      <c r="K29" s="36" t="s">
        <v>7909</v>
      </c>
      <c r="M29" s="36" t="s">
        <v>7969</v>
      </c>
    </row>
    <row r="30" spans="1:13" x14ac:dyDescent="0.25">
      <c r="A30" s="42">
        <f t="shared" si="1"/>
        <v>29</v>
      </c>
      <c r="B30" s="36" t="s">
        <v>4</v>
      </c>
      <c r="C30" s="36" t="s">
        <v>7970</v>
      </c>
      <c r="D30" s="9" t="s">
        <v>7929</v>
      </c>
      <c r="E30" s="9" t="s">
        <v>7930</v>
      </c>
      <c r="F30" s="9" t="s">
        <v>939</v>
      </c>
      <c r="G30" s="36" t="s">
        <v>14</v>
      </c>
      <c r="H30" s="36" t="str">
        <f>IFERROR(VLOOKUP(Table2[[#This Row], [Ticket]],Okey!A:B,2,0),"")</f>
        <v/>
      </c>
      <c r="J30" s="36" t="s">
        <v>19</v>
      </c>
      <c r="K30" s="36" t="s">
        <v>7909</v>
      </c>
      <c r="M30" s="36" t="s">
        <v>7969</v>
      </c>
    </row>
    <row r="31" spans="1:13" x14ac:dyDescent="0.25">
      <c r="A31" s="42">
        <f t="shared" si="1"/>
        <v>30</v>
      </c>
      <c r="B31" s="36" t="s">
        <v>4</v>
      </c>
      <c r="C31" s="36" t="s">
        <v>7970</v>
      </c>
      <c r="D31" s="9" t="s">
        <v>7931</v>
      </c>
      <c r="E31" s="9" t="s">
        <v>7932</v>
      </c>
      <c r="F31" s="9" t="s">
        <v>939</v>
      </c>
      <c r="G31" s="36" t="s">
        <v>14</v>
      </c>
      <c r="H31" s="36" t="str">
        <f>IFERROR(VLOOKUP(Table2[[#This Row], [Ticket]],Okey!A:B,2,0),"")</f>
        <v/>
      </c>
      <c r="J31" s="36" t="s">
        <v>19</v>
      </c>
      <c r="K31" s="36" t="s">
        <v>7909</v>
      </c>
      <c r="M31" s="36" t="s">
        <v>7969</v>
      </c>
    </row>
    <row r="32" spans="1:13" x14ac:dyDescent="0.25">
      <c r="A32" s="42">
        <f t="shared" si="1"/>
        <v>31</v>
      </c>
      <c r="B32" s="36" t="s">
        <v>4</v>
      </c>
      <c r="C32" s="36" t="s">
        <v>7970</v>
      </c>
      <c r="D32" s="9" t="s">
        <v>7933</v>
      </c>
      <c r="E32" s="9" t="s">
        <v>7934</v>
      </c>
      <c r="F32" s="9" t="s">
        <v>941</v>
      </c>
      <c r="G32" s="36" t="s">
        <v>14</v>
      </c>
      <c r="H32" s="36" t="str">
        <f>IFERROR(VLOOKUP(Table2[[#This Row], [Ticket]],Okey!A:B,2,0),"")</f>
        <v/>
      </c>
      <c r="J32" s="36" t="s">
        <v>19</v>
      </c>
      <c r="K32" s="36" t="s">
        <v>7909</v>
      </c>
      <c r="M32" s="36" t="s">
        <v>7969</v>
      </c>
    </row>
    <row r="33" spans="1:13" x14ac:dyDescent="0.25">
      <c r="A33" s="42">
        <f t="shared" si="1"/>
        <v>32</v>
      </c>
      <c r="B33" s="36" t="s">
        <v>4</v>
      </c>
      <c r="C33" s="36" t="s">
        <v>7970</v>
      </c>
      <c r="D33" s="9" t="s">
        <v>7935</v>
      </c>
      <c r="E33" s="9" t="s">
        <v>7936</v>
      </c>
      <c r="F33" s="9" t="s">
        <v>941</v>
      </c>
      <c r="G33" s="36" t="s">
        <v>14</v>
      </c>
      <c r="H33" s="36" t="str">
        <f>IFERROR(VLOOKUP(Table2[[#This Row], [Ticket]],Okey!A:B,2,0),"")</f>
        <v/>
      </c>
      <c r="J33" s="36" t="s">
        <v>19</v>
      </c>
      <c r="K33" s="36" t="s">
        <v>7909</v>
      </c>
      <c r="M33" s="36" t="s">
        <v>7969</v>
      </c>
    </row>
    <row r="34" spans="1:13" x14ac:dyDescent="0.25">
      <c r="A34" s="42">
        <f t="shared" si="1"/>
        <v>33</v>
      </c>
      <c r="B34" s="36" t="s">
        <v>4</v>
      </c>
      <c r="C34" s="36" t="s">
        <v>7970</v>
      </c>
      <c r="D34" s="9" t="s">
        <v>7937</v>
      </c>
      <c r="E34" s="9" t="s">
        <v>7938</v>
      </c>
      <c r="F34" s="9" t="s">
        <v>943</v>
      </c>
      <c r="G34" s="36" t="s">
        <v>14</v>
      </c>
      <c r="H34" s="36" t="str">
        <f>IFERROR(VLOOKUP(Table2[[#This Row], [Ticket]],Okey!A:B,2,0),"")</f>
        <v/>
      </c>
      <c r="J34" s="36" t="s">
        <v>19</v>
      </c>
      <c r="K34" s="36" t="s">
        <v>7909</v>
      </c>
      <c r="M34" s="36" t="s">
        <v>7969</v>
      </c>
    </row>
    <row r="35" spans="1:13" x14ac:dyDescent="0.25">
      <c r="A35" s="42">
        <f t="shared" si="1"/>
        <v>34</v>
      </c>
      <c r="B35" s="36" t="s">
        <v>4</v>
      </c>
      <c r="C35" s="36" t="s">
        <v>7970</v>
      </c>
      <c r="D35" s="9" t="s">
        <v>7939</v>
      </c>
      <c r="E35" s="9" t="s">
        <v>7940</v>
      </c>
      <c r="F35" s="9" t="s">
        <v>943</v>
      </c>
      <c r="G35" s="36" t="s">
        <v>14</v>
      </c>
      <c r="H35" s="36" t="str">
        <f>IFERROR(VLOOKUP(Table2[[#This Row], [Ticket]],Okey!A:B,2,0),"")</f>
        <v/>
      </c>
      <c r="J35" s="36" t="s">
        <v>19</v>
      </c>
      <c r="K35" s="36" t="s">
        <v>7909</v>
      </c>
      <c r="M35" s="36" t="s">
        <v>7969</v>
      </c>
    </row>
    <row r="36" spans="1:13" x14ac:dyDescent="0.25">
      <c r="A36" s="42">
        <f t="shared" si="1"/>
        <v>35</v>
      </c>
      <c r="B36" s="36" t="s">
        <v>4</v>
      </c>
      <c r="C36" s="36" t="s">
        <v>7970</v>
      </c>
      <c r="D36" s="9" t="s">
        <v>7941</v>
      </c>
      <c r="E36" s="9" t="s">
        <v>7942</v>
      </c>
      <c r="F36" s="9" t="s">
        <v>943</v>
      </c>
      <c r="G36" s="36" t="s">
        <v>14</v>
      </c>
      <c r="H36" s="36" t="str">
        <f>IFERROR(VLOOKUP(Table2[[#This Row], [Ticket]],Okey!A:B,2,0),"")</f>
        <v/>
      </c>
      <c r="J36" s="36" t="s">
        <v>19</v>
      </c>
      <c r="K36" s="36" t="s">
        <v>7909</v>
      </c>
      <c r="M36" s="36" t="s">
        <v>7969</v>
      </c>
    </row>
    <row r="37" spans="1:13" x14ac:dyDescent="0.25">
      <c r="A37" s="42">
        <f t="shared" si="1"/>
        <v>36</v>
      </c>
      <c r="B37" s="36" t="s">
        <v>4</v>
      </c>
      <c r="C37" s="36" t="s">
        <v>7970</v>
      </c>
      <c r="D37" s="9" t="s">
        <v>7943</v>
      </c>
      <c r="E37" s="9" t="s">
        <v>7944</v>
      </c>
      <c r="F37" s="9" t="s">
        <v>7927</v>
      </c>
      <c r="G37" s="36" t="s">
        <v>14</v>
      </c>
      <c r="H37" s="36" t="str">
        <f>IFERROR(VLOOKUP(Table2[[#This Row], [Ticket]],Okey!A:B,2,0),"")</f>
        <v/>
      </c>
      <c r="J37" s="36" t="s">
        <v>19</v>
      </c>
      <c r="K37" s="36" t="s">
        <v>7909</v>
      </c>
      <c r="M37" s="36" t="s">
        <v>7969</v>
      </c>
    </row>
    <row r="38" spans="1:13" x14ac:dyDescent="0.25">
      <c r="A38" s="42">
        <f t="shared" si="1"/>
        <v>37</v>
      </c>
      <c r="B38" s="36" t="s">
        <v>4</v>
      </c>
      <c r="C38" s="36" t="s">
        <v>7970</v>
      </c>
      <c r="D38" s="9" t="s">
        <v>7945</v>
      </c>
      <c r="E38" s="9" t="s">
        <v>7946</v>
      </c>
      <c r="F38" s="9" t="s">
        <v>7927</v>
      </c>
      <c r="G38" s="36" t="s">
        <v>14</v>
      </c>
      <c r="H38" s="36" t="str">
        <f>IFERROR(VLOOKUP(Table2[[#This Row], [Ticket]],Okey!A:B,2,0),"")</f>
        <v/>
      </c>
      <c r="J38" s="36" t="s">
        <v>19</v>
      </c>
      <c r="K38" s="36" t="s">
        <v>7909</v>
      </c>
      <c r="M38" s="36" t="s">
        <v>7969</v>
      </c>
    </row>
    <row r="39" spans="1:13" x14ac:dyDescent="0.25">
      <c r="A39" s="42">
        <f t="shared" si="1"/>
        <v>38</v>
      </c>
      <c r="B39" s="36" t="s">
        <v>4</v>
      </c>
      <c r="C39" s="36" t="s">
        <v>7970</v>
      </c>
      <c r="D39" s="9" t="s">
        <v>7947</v>
      </c>
      <c r="E39" s="9" t="s">
        <v>7948</v>
      </c>
      <c r="F39" s="9" t="s">
        <v>7927</v>
      </c>
      <c r="G39" s="36" t="s">
        <v>14</v>
      </c>
      <c r="H39" s="36" t="str">
        <f>IFERROR(VLOOKUP(Table2[[#This Row], [Ticket]],Okey!A:B,2,0),"")</f>
        <v/>
      </c>
      <c r="J39" s="36" t="s">
        <v>19</v>
      </c>
      <c r="K39" s="36" t="s">
        <v>7909</v>
      </c>
      <c r="M39" s="36" t="s">
        <v>7969</v>
      </c>
    </row>
    <row r="40" spans="1:13" x14ac:dyDescent="0.25">
      <c r="A40" s="42">
        <f t="shared" si="1"/>
        <v>39</v>
      </c>
      <c r="B40" s="36" t="s">
        <v>4</v>
      </c>
      <c r="C40" s="36" t="s">
        <v>7970</v>
      </c>
      <c r="D40" s="9" t="s">
        <v>7949</v>
      </c>
      <c r="E40" s="9" t="s">
        <v>7950</v>
      </c>
      <c r="F40" s="9" t="s">
        <v>7927</v>
      </c>
      <c r="G40" s="36" t="s">
        <v>14</v>
      </c>
      <c r="H40" s="36" t="str">
        <f>IFERROR(VLOOKUP(Table2[[#This Row], [Ticket]],Okey!A:B,2,0),"")</f>
        <v/>
      </c>
      <c r="J40" s="36" t="s">
        <v>19</v>
      </c>
      <c r="K40" s="36" t="s">
        <v>7909</v>
      </c>
      <c r="M40" s="36" t="s">
        <v>7969</v>
      </c>
    </row>
    <row r="41" spans="1:13" x14ac:dyDescent="0.25">
      <c r="A41" s="42">
        <f t="shared" si="1"/>
        <v>40</v>
      </c>
      <c r="B41" s="36" t="s">
        <v>4</v>
      </c>
      <c r="C41" s="36" t="s">
        <v>7970</v>
      </c>
      <c r="D41" s="9" t="s">
        <v>7951</v>
      </c>
      <c r="E41" s="9" t="s">
        <v>7952</v>
      </c>
      <c r="F41" s="9" t="s">
        <v>7933</v>
      </c>
      <c r="G41" s="36" t="s">
        <v>14</v>
      </c>
      <c r="H41" s="36" t="str">
        <f>IFERROR(VLOOKUP(Table2[[#This Row], [Ticket]],Okey!A:B,2,0),"")</f>
        <v/>
      </c>
      <c r="J41" s="36" t="s">
        <v>19</v>
      </c>
      <c r="K41" s="36" t="s">
        <v>7909</v>
      </c>
      <c r="M41" s="36" t="s">
        <v>7969</v>
      </c>
    </row>
    <row r="42" spans="1:13" x14ac:dyDescent="0.25">
      <c r="A42" s="42">
        <f t="shared" si="1"/>
        <v>41</v>
      </c>
      <c r="B42" s="36" t="s">
        <v>4</v>
      </c>
      <c r="C42" s="36" t="s">
        <v>7970</v>
      </c>
      <c r="D42" s="9" t="s">
        <v>7953</v>
      </c>
      <c r="E42" s="9" t="s">
        <v>7954</v>
      </c>
      <c r="F42" s="9" t="s">
        <v>7935</v>
      </c>
      <c r="G42" s="36" t="s">
        <v>14</v>
      </c>
      <c r="H42" s="36" t="str">
        <f>IFERROR(VLOOKUP(Table2[[#This Row], [Ticket]],Okey!A:B,2,0),"")</f>
        <v/>
      </c>
      <c r="J42" s="36" t="s">
        <v>19</v>
      </c>
      <c r="K42" s="36" t="s">
        <v>7909</v>
      </c>
      <c r="M42" s="36" t="s">
        <v>7969</v>
      </c>
    </row>
    <row r="43" spans="1:13" x14ac:dyDescent="0.25">
      <c r="A43" s="42">
        <f t="shared" si="1"/>
        <v>42</v>
      </c>
      <c r="B43" s="36" t="s">
        <v>4</v>
      </c>
      <c r="C43" s="36" t="s">
        <v>7970</v>
      </c>
      <c r="D43" s="9" t="s">
        <v>7955</v>
      </c>
      <c r="E43" s="9" t="s">
        <v>7956</v>
      </c>
      <c r="F43" s="9" t="s">
        <v>7933</v>
      </c>
      <c r="G43" s="36" t="s">
        <v>14</v>
      </c>
      <c r="H43" s="36" t="str">
        <f>IFERROR(VLOOKUP(Table2[[#This Row], [Ticket]],Okey!A:B,2,0),"")</f>
        <v/>
      </c>
      <c r="J43" s="36" t="s">
        <v>19</v>
      </c>
      <c r="K43" s="36" t="s">
        <v>7909</v>
      </c>
      <c r="M43" s="36" t="s">
        <v>7969</v>
      </c>
    </row>
    <row r="44" spans="1:13" x14ac:dyDescent="0.25">
      <c r="A44" s="42">
        <f t="shared" si="1"/>
        <v>43</v>
      </c>
      <c r="B44" s="36" t="s">
        <v>4</v>
      </c>
      <c r="C44" s="36" t="s">
        <v>7970</v>
      </c>
      <c r="D44" s="9" t="s">
        <v>7957</v>
      </c>
      <c r="E44" s="9" t="s">
        <v>7958</v>
      </c>
      <c r="F44" s="9" t="s">
        <v>7933</v>
      </c>
      <c r="G44" s="36" t="s">
        <v>14</v>
      </c>
      <c r="H44" s="36" t="str">
        <f>IFERROR(VLOOKUP(Table2[[#This Row], [Ticket]],Okey!A:B,2,0),"")</f>
        <v/>
      </c>
      <c r="J44" s="36" t="s">
        <v>19</v>
      </c>
      <c r="K44" s="36" t="s">
        <v>7909</v>
      </c>
      <c r="M44" s="36" t="s">
        <v>7969</v>
      </c>
    </row>
    <row r="45" spans="1:13" x14ac:dyDescent="0.25">
      <c r="A45" s="42">
        <f t="shared" si="1"/>
        <v>44</v>
      </c>
      <c r="B45" s="36" t="s">
        <v>4</v>
      </c>
      <c r="C45" s="36" t="s">
        <v>7970</v>
      </c>
      <c r="D45" s="9" t="s">
        <v>7959</v>
      </c>
      <c r="E45" s="9" t="s">
        <v>7960</v>
      </c>
      <c r="F45" s="9" t="s">
        <v>7933</v>
      </c>
      <c r="G45" s="36" t="s">
        <v>14</v>
      </c>
      <c r="H45" s="36" t="str">
        <f>IFERROR(VLOOKUP(Table2[[#This Row], [Ticket]],Okey!A:B,2,0),"")</f>
        <v/>
      </c>
      <c r="J45" s="36" t="s">
        <v>19</v>
      </c>
      <c r="K45" s="36" t="s">
        <v>7909</v>
      </c>
      <c r="M45" s="36" t="s">
        <v>7969</v>
      </c>
    </row>
    <row r="46" spans="1:13" x14ac:dyDescent="0.25">
      <c r="A46" s="42">
        <f t="shared" si="1"/>
        <v>45</v>
      </c>
      <c r="B46" s="36" t="s">
        <v>4</v>
      </c>
      <c r="C46" s="36" t="s">
        <v>7970</v>
      </c>
      <c r="D46" s="9" t="s">
        <v>7961</v>
      </c>
      <c r="E46" s="9" t="s">
        <v>7962</v>
      </c>
      <c r="F46" s="9" t="s">
        <v>7933</v>
      </c>
      <c r="G46" s="36" t="s">
        <v>14</v>
      </c>
      <c r="H46" s="36" t="str">
        <f>IFERROR(VLOOKUP(Table2[[#This Row], [Ticket]],Okey!A:B,2,0),"")</f>
        <v/>
      </c>
      <c r="J46" s="36" t="s">
        <v>19</v>
      </c>
      <c r="K46" s="36" t="s">
        <v>7909</v>
      </c>
      <c r="M46" s="36" t="s">
        <v>7969</v>
      </c>
    </row>
    <row r="47" spans="1:13" x14ac:dyDescent="0.25">
      <c r="A47" s="42">
        <f t="shared" si="1"/>
        <v>46</v>
      </c>
      <c r="B47" s="36" t="s">
        <v>4</v>
      </c>
      <c r="C47" s="36" t="s">
        <v>7970</v>
      </c>
      <c r="D47" s="9" t="s">
        <v>7963</v>
      </c>
      <c r="E47" s="9" t="s">
        <v>7956</v>
      </c>
      <c r="F47" s="9" t="s">
        <v>7935</v>
      </c>
      <c r="G47" s="36" t="s">
        <v>14</v>
      </c>
      <c r="H47" s="36" t="str">
        <f>IFERROR(VLOOKUP(Table2[[#This Row], [Ticket]],Okey!A:B,2,0),"")</f>
        <v/>
      </c>
      <c r="J47" s="36" t="s">
        <v>19</v>
      </c>
      <c r="K47" s="36" t="s">
        <v>7909</v>
      </c>
      <c r="M47" s="36" t="s">
        <v>7969</v>
      </c>
    </row>
    <row r="48" spans="1:13" x14ac:dyDescent="0.25">
      <c r="A48" s="42">
        <f t="shared" si="1"/>
        <v>47</v>
      </c>
      <c r="B48" s="36" t="s">
        <v>4</v>
      </c>
      <c r="C48" s="36" t="s">
        <v>7970</v>
      </c>
      <c r="D48" s="9" t="s">
        <v>7964</v>
      </c>
      <c r="E48" s="9" t="s">
        <v>7958</v>
      </c>
      <c r="F48" s="9" t="s">
        <v>7935</v>
      </c>
      <c r="G48" s="36" t="s">
        <v>14</v>
      </c>
      <c r="H48" s="36" t="str">
        <f>IFERROR(VLOOKUP(Table2[[#This Row], [Ticket]],Okey!A:B,2,0),"")</f>
        <v/>
      </c>
      <c r="J48" s="36" t="s">
        <v>19</v>
      </c>
      <c r="K48" s="36" t="s">
        <v>7909</v>
      </c>
      <c r="M48" s="36" t="s">
        <v>7969</v>
      </c>
    </row>
    <row r="49" spans="1:13" x14ac:dyDescent="0.25">
      <c r="A49" s="42">
        <f t="shared" si="1"/>
        <v>48</v>
      </c>
      <c r="B49" s="36" t="s">
        <v>4</v>
      </c>
      <c r="C49" s="36" t="s">
        <v>7970</v>
      </c>
      <c r="D49" s="9" t="s">
        <v>7965</v>
      </c>
      <c r="E49" s="9" t="s">
        <v>7960</v>
      </c>
      <c r="F49" s="9" t="s">
        <v>7935</v>
      </c>
      <c r="G49" s="36" t="s">
        <v>14</v>
      </c>
      <c r="H49" s="36" t="str">
        <f>IFERROR(VLOOKUP(Table2[[#This Row], [Ticket]],Okey!A:B,2,0),"")</f>
        <v/>
      </c>
      <c r="J49" s="36" t="s">
        <v>19</v>
      </c>
      <c r="K49" s="36" t="s">
        <v>7909</v>
      </c>
      <c r="M49" s="36" t="s">
        <v>7969</v>
      </c>
    </row>
    <row r="50" spans="1:13" x14ac:dyDescent="0.25">
      <c r="A50" s="42">
        <f t="shared" si="1"/>
        <v>49</v>
      </c>
      <c r="B50" s="36" t="s">
        <v>4</v>
      </c>
      <c r="C50" s="36" t="s">
        <v>7970</v>
      </c>
      <c r="D50" s="9" t="s">
        <v>7966</v>
      </c>
      <c r="E50" s="9" t="s">
        <v>7962</v>
      </c>
      <c r="F50" s="9" t="s">
        <v>7935</v>
      </c>
      <c r="G50" s="36" t="s">
        <v>14</v>
      </c>
      <c r="H50" s="36" t="str">
        <f>IFERROR(VLOOKUP(Table2[[#This Row], [Ticket]],Okey!A:B,2,0),"")</f>
        <v/>
      </c>
      <c r="J50" s="36" t="s">
        <v>19</v>
      </c>
      <c r="K50" s="36" t="s">
        <v>7909</v>
      </c>
      <c r="M50" s="36" t="s">
        <v>7969</v>
      </c>
    </row>
    <row r="51" spans="1:13" x14ac:dyDescent="0.25">
      <c r="A51" s="42">
        <f t="shared" si="1"/>
        <v>50</v>
      </c>
      <c r="B51" s="36" t="s">
        <v>4</v>
      </c>
      <c r="C51" s="36" t="s">
        <v>7970</v>
      </c>
      <c r="D51" s="9" t="s">
        <v>7967</v>
      </c>
      <c r="E51" s="9" t="s">
        <v>7968</v>
      </c>
      <c r="F51" s="9" t="s">
        <v>1125</v>
      </c>
      <c r="G51" s="36" t="s">
        <v>14</v>
      </c>
      <c r="H51" s="36" t="str">
        <f>IFERROR(VLOOKUP(Table2[[#This Row], [Ticket]],Okey!A:B,2,0),"")</f>
        <v/>
      </c>
      <c r="J51" s="36" t="s">
        <v>19</v>
      </c>
      <c r="K51" s="36" t="s">
        <v>7909</v>
      </c>
      <c r="M51" s="36" t="s">
        <v>7969</v>
      </c>
    </row>
    <row r="52" spans="1:13" x14ac:dyDescent="0.25">
      <c r="A52" s="42">
        <f t="shared" si="1"/>
        <v>51</v>
      </c>
      <c r="B52" s="36" t="s">
        <v>4</v>
      </c>
      <c r="C52" s="9" t="s">
        <v>7973</v>
      </c>
      <c r="E52" s="9" t="s">
        <v>7971</v>
      </c>
      <c r="F52" s="9" t="s">
        <v>1534</v>
      </c>
      <c r="G52" s="36" t="s">
        <v>14</v>
      </c>
      <c r="H52" s="36" t="str">
        <f>IFERROR(VLOOKUP(Table2[[#This Row], [Ticket]],Okey!A:B,2,0),"")</f>
        <v/>
      </c>
      <c r="J52" s="36" t="s">
        <v>19</v>
      </c>
      <c r="K52" s="36" t="s">
        <v>7909</v>
      </c>
      <c r="M52" s="9" t="s">
        <v>6354</v>
      </c>
    </row>
    <row r="53" spans="1:13" x14ac:dyDescent="0.25">
      <c r="A53" s="42">
        <f t="shared" si="1"/>
        <v>52</v>
      </c>
      <c r="B53" s="36" t="s">
        <v>4</v>
      </c>
      <c r="C53" s="36" t="s">
        <v>7973</v>
      </c>
      <c r="D53" s="9" t="s">
        <v>7972</v>
      </c>
      <c r="E53" s="9" t="s">
        <v>7971</v>
      </c>
      <c r="F53" s="9" t="s">
        <v>7971</v>
      </c>
      <c r="G53" s="36" t="s">
        <v>14</v>
      </c>
      <c r="H53" s="36" t="str">
        <f>IFERROR(VLOOKUP(Table2[[#This Row], [Ticket]],Okey!A:B,2,0),"")</f>
        <v/>
      </c>
      <c r="J53" s="36" t="s">
        <v>19</v>
      </c>
      <c r="K53" s="36" t="s">
        <v>7909</v>
      </c>
      <c r="M53" s="9" t="s">
        <v>6354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53E43-8612-43E9-B38C-9DD6AD087995}">
  <dimension ref="A1:G11"/>
  <sheetViews>
    <sheetView workbookViewId="0">
      <selection activeCell="O40" sqref="O40"/>
    </sheetView>
  </sheetViews>
  <sheetFormatPr defaultRowHeight="15" x14ac:dyDescent="0.25"/>
  <cols>
    <col min="1" max="1" width="16.42578125" bestFit="1" customWidth="1"/>
  </cols>
  <sheetData>
    <row r="1" spans="1:7" x14ac:dyDescent="0.25">
      <c r="A1">
        <v>1000</v>
      </c>
      <c r="B1" t="s">
        <v>7919</v>
      </c>
    </row>
    <row r="2" spans="1:7" x14ac:dyDescent="0.25">
      <c r="A2" t="s">
        <v>7920</v>
      </c>
      <c r="B2" t="s">
        <v>7914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7921</v>
      </c>
      <c r="B3" t="s">
        <v>7916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7922</v>
      </c>
      <c r="B4" t="s">
        <v>7917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8" spans="1:7" x14ac:dyDescent="0.25">
      <c r="A8">
        <v>1000</v>
      </c>
      <c r="B8" t="s">
        <v>7919</v>
      </c>
    </row>
    <row r="9" spans="1:7" x14ac:dyDescent="0.25">
      <c r="A9" t="s">
        <v>7915</v>
      </c>
      <c r="B9" t="s">
        <v>7920</v>
      </c>
    </row>
    <row r="10" spans="1:7" x14ac:dyDescent="0.25">
      <c r="A10" t="s">
        <v>7918</v>
      </c>
      <c r="B10" t="s">
        <v>7921</v>
      </c>
    </row>
    <row r="11" spans="1:7" x14ac:dyDescent="0.25">
      <c r="A11" t="s">
        <v>7918</v>
      </c>
      <c r="B11" t="s">
        <v>7922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F1052-6D10-4101-8000-C2734EC0542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>
        <f>IFERROR(VLOOKUP(Table2[[#This Row], [Ticket]],Okey!A:B,2,0),"")</f>
        <v>0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>
        <f>IFERROR(VLOOKUP(Table2[[#This Row], [Ticket]],Okey!A:B,2,0),"")</f>
        <v>0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>
        <f>IFERROR(VLOOKUP(Table2[[#This Row], [Ticket]],Okey!A:B,2,0),"")</f>
        <v>0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>
        <f>IFERROR(VLOOKUP(Table2[[#This Row], [Ticket]],Okey!A:B,2,0),"")</f>
        <v>0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>
        <f>IFERROR(VLOOKUP(Table2[[#This Row], [Ticket]],Okey!A:B,2,0),"")</f>
        <v>0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>
        <f>IFERROR(VLOOKUP(Table2[[#This Row], [Ticket]],Okey!A:B,2,0),"")</f>
        <v>0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>
        <f>IFERROR(VLOOKUP(Table2[[#This Row], [Ticket]],Okey!A:B,2,0),"")</f>
        <v>0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>
        <f>IFERROR(VLOOKUP(Table2[[#This Row], [Ticket]],Okey!A:B,2,0),"")</f>
        <v>0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>
        <f>IFERROR(VLOOKUP(Table2[[#This Row], [Ticket]],Okey!A:B,2,0),"")</f>
        <v>0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>
        <f>IFERROR(VLOOKUP(Table2[[#This Row], [Ticket]],Okey!A:B,2,0),"")</f>
        <v>0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>
        <f>IFERROR(VLOOKUP(Table2[[#This Row], [Ticket]],Okey!A:B,2,0),"")</f>
        <v>0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>
        <f>IFERROR(VLOOKUP(Table2[[#This Row], [Ticket]],Okey!A:B,2,0),"")</f>
        <v>0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>
        <f>IFERROR(VLOOKUP(Table2[[#This Row], [Ticket]],Okey!A:B,2,0),"")</f>
        <v>0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>
        <f>IFERROR(VLOOKUP(Table2[[#This Row], [Ticket]],Okey!A:B,2,0),"")</f>
        <v>0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>
        <f>IFERROR(VLOOKUP(Table2[[#This Row], [Ticket]],Okey!A:B,2,0),"")</f>
        <v>0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>
        <f>IFERROR(VLOOKUP(Table2[[#This Row], [Ticket]],Okey!A:B,2,0),"")</f>
        <v>0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>
        <f>IFERROR(VLOOKUP(Table2[[#This Row], [Ticket]],Okey!A:B,2,0),"")</f>
        <v>0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>
        <f>IFERROR(VLOOKUP(Table2[[#This Row], [Ticket]],Okey!A:B,2,0),"")</f>
        <v>0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>
        <f>IFERROR(VLOOKUP(Table2[[#This Row], [Ticket]],Okey!A:B,2,0),"")</f>
        <v>0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/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/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/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/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/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/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/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/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/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/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/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/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/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/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/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/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/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/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/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/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/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/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/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/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/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/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/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/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/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/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/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/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/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/>
      </c>
      <c r="I54" s="11" t="s">
        <v>276</v>
      </c>
      <c r="J54" s="19" t="e">
        <f>VLOOKUP(Table2[[#This Row], [Author]],People!A:B,2,0)</f>
        <v>#VALUE!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/>
      </c>
      <c r="I55" s="13" t="s">
        <v>276</v>
      </c>
      <c r="J55" s="22" t="e">
        <f>VLOOKUP(Table2[[#This Row], [Author]],People!A:B,2,0)</f>
        <v>#VALUE!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/>
      </c>
      <c r="I56" s="11" t="s">
        <v>276</v>
      </c>
      <c r="J56" s="19" t="e">
        <f>VLOOKUP(Table2[[#This Row], [Author]],People!A:B,2,0)</f>
        <v>#VALUE!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/>
      </c>
      <c r="I57" s="13" t="s">
        <v>276</v>
      </c>
      <c r="J57" s="22" t="e">
        <f>VLOOKUP(Table2[[#This Row], [Author]],People!A:B,2,0)</f>
        <v>#VALUE!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/>
      </c>
      <c r="I58" s="11" t="s">
        <v>276</v>
      </c>
      <c r="J58" s="19" t="e">
        <f>VLOOKUP(Table2[[#This Row], [Author]],People!A:B,2,0)</f>
        <v>#VALUE!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/>
      </c>
      <c r="I59" s="13" t="s">
        <v>276</v>
      </c>
      <c r="J59" s="22" t="e">
        <f>VLOOKUP(Table2[[#This Row], [Author]],People!A:B,2,0)</f>
        <v>#VALUE!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/>
      </c>
      <c r="I60" s="11" t="s">
        <v>276</v>
      </c>
      <c r="J60" s="19" t="e">
        <f>VLOOKUP(Table2[[#This Row], [Author]],People!A:B,2,0)</f>
        <v>#VALUE!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/>
      </c>
      <c r="I61" s="13" t="s">
        <v>276</v>
      </c>
      <c r="J61" s="22" t="e">
        <f>VLOOKUP(Table2[[#This Row], [Author]],People!A:B,2,0)</f>
        <v>#VALUE!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/>
      </c>
      <c r="I62" s="11" t="s">
        <v>276</v>
      </c>
      <c r="J62" s="19" t="e">
        <f>VLOOKUP(Table2[[#This Row], [Author]],People!A:B,2,0)</f>
        <v>#VALUE!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/>
      </c>
      <c r="I63" s="13" t="s">
        <v>276</v>
      </c>
      <c r="J63" s="22" t="e">
        <f>VLOOKUP(Table2[[#This Row], [Author]],People!A:B,2,0)</f>
        <v>#VALUE!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/>
      </c>
      <c r="I64" s="11" t="s">
        <v>276</v>
      </c>
      <c r="J64" s="19" t="e">
        <f>VLOOKUP(Table2[[#This Row], [Author]],People!A:B,2,0)</f>
        <v>#VALUE!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/>
      </c>
      <c r="I65" s="13" t="s">
        <v>276</v>
      </c>
      <c r="J65" s="22" t="e">
        <f>VLOOKUP(Table2[[#This Row], [Author]],People!A:B,2,0)</f>
        <v>#VALUE!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/>
      </c>
      <c r="I66" s="11" t="s">
        <v>276</v>
      </c>
      <c r="J66" s="19" t="e">
        <f>VLOOKUP(Table2[[#This Row], [Author]],People!A:B,2,0)</f>
        <v>#VALUE!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/>
      </c>
      <c r="I67" s="13" t="s">
        <v>276</v>
      </c>
      <c r="J67" s="22" t="e">
        <f>VLOOKUP(Table2[[#This Row], [Author]],People!A:B,2,0)</f>
        <v>#VALUE!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/>
      </c>
      <c r="I68" s="11" t="s">
        <v>276</v>
      </c>
      <c r="J68" s="19" t="e">
        <f>VLOOKUP(Table2[[#This Row], [Author]],People!A:B,2,0)</f>
        <v>#VALUE!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/>
      </c>
      <c r="I69" s="13" t="s">
        <v>276</v>
      </c>
      <c r="J69" s="22" t="e">
        <f>VLOOKUP(Table2[[#This Row], [Author]],People!A:B,2,0)</f>
        <v>#VALUE!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/>
      </c>
      <c r="I70" s="11" t="s">
        <v>276</v>
      </c>
      <c r="J70" s="19" t="e">
        <f>VLOOKUP(Table2[[#This Row], [Author]],People!A:B,2,0)</f>
        <v>#VALUE!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/>
      </c>
      <c r="I71" s="13" t="s">
        <v>276</v>
      </c>
      <c r="J71" s="22" t="e">
        <f>VLOOKUP(Table2[[#This Row], [Author]],People!A:B,2,0)</f>
        <v>#VALUE!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/>
      </c>
      <c r="I72" s="11" t="s">
        <v>276</v>
      </c>
      <c r="J72" s="19" t="e">
        <f>VLOOKUP(Table2[[#This Row], [Author]],People!A:B,2,0)</f>
        <v>#VALUE!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/>
      </c>
      <c r="I73" s="13" t="s">
        <v>276</v>
      </c>
      <c r="J73" s="22" t="e">
        <f>VLOOKUP(Table2[[#This Row], [Author]],People!A:B,2,0)</f>
        <v>#VALUE!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/>
      </c>
      <c r="I74" s="11" t="s">
        <v>276</v>
      </c>
      <c r="J74" s="19" t="e">
        <f>VLOOKUP(Table2[[#This Row], [Author]],People!A:B,2,0)</f>
        <v>#VALUE!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/>
      </c>
      <c r="I75" s="13" t="s">
        <v>276</v>
      </c>
      <c r="J75" s="22" t="e">
        <f>VLOOKUP(Table2[[#This Row], [Author]],People!A:B,2,0)</f>
        <v>#VALUE!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/>
      </c>
      <c r="I76" s="11" t="s">
        <v>276</v>
      </c>
      <c r="J76" s="19" t="e">
        <f>VLOOKUP(Table2[[#This Row], [Author]],People!A:B,2,0)</f>
        <v>#VALUE!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/>
      </c>
      <c r="I77" s="13" t="s">
        <v>276</v>
      </c>
      <c r="J77" s="22" t="e">
        <f>VLOOKUP(Table2[[#This Row], [Author]],People!A:B,2,0)</f>
        <v>#VALUE!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/>
      </c>
      <c r="I78" s="11" t="s">
        <v>276</v>
      </c>
      <c r="J78" s="19" t="e">
        <f>VLOOKUP(Table2[[#This Row], [Author]],People!A:B,2,0)</f>
        <v>#VALUE!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/>
      </c>
      <c r="I79" s="13" t="s">
        <v>276</v>
      </c>
      <c r="J79" s="22" t="e">
        <f>VLOOKUP(Table2[[#This Row], [Author]],People!A:B,2,0)</f>
        <v>#VALUE!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/>
      </c>
      <c r="I80" s="11" t="s">
        <v>276</v>
      </c>
      <c r="J80" s="19" t="e">
        <f>VLOOKUP(Table2[[#This Row], [Author]],People!A:B,2,0)</f>
        <v>#VALUE!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/>
      </c>
      <c r="I81" s="13" t="s">
        <v>276</v>
      </c>
      <c r="J81" s="22" t="e">
        <f>VLOOKUP(Table2[[#This Row], [Author]],People!A:B,2,0)</f>
        <v>#VALUE!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/>
      </c>
      <c r="I82" s="11" t="s">
        <v>276</v>
      </c>
      <c r="J82" s="19" t="e">
        <f>VLOOKUP(Table2[[#This Row], [Author]],People!A:B,2,0)</f>
        <v>#VALUE!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/>
      </c>
      <c r="I83" s="13" t="s">
        <v>276</v>
      </c>
      <c r="J83" s="22" t="e">
        <f>VLOOKUP(Table2[[#This Row], [Author]],People!A:B,2,0)</f>
        <v>#VALUE!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/>
      </c>
      <c r="I84" s="11" t="s">
        <v>276</v>
      </c>
      <c r="J84" s="19" t="e">
        <f>VLOOKUP(Table2[[#This Row], [Author]],People!A:B,2,0)</f>
        <v>#VALUE!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/>
      </c>
      <c r="I85" s="13" t="s">
        <v>276</v>
      </c>
      <c r="J85" s="22" t="e">
        <f>VLOOKUP(Table2[[#This Row], [Author]],People!A:B,2,0)</f>
        <v>#VALUE!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/>
      </c>
      <c r="I86" s="11" t="s">
        <v>276</v>
      </c>
      <c r="J86" s="19" t="e">
        <f>VLOOKUP(Table2[[#This Row], [Author]],People!A:B,2,0)</f>
        <v>#VALUE!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/>
      </c>
      <c r="I87" s="13" t="s">
        <v>276</v>
      </c>
      <c r="J87" s="22" t="e">
        <f>VLOOKUP(Table2[[#This Row], [Author]],People!A:B,2,0)</f>
        <v>#VALUE!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/>
      </c>
      <c r="I88" s="11" t="s">
        <v>276</v>
      </c>
      <c r="J88" s="19" t="e">
        <f>VLOOKUP(Table2[[#This Row], [Author]],People!A:B,2,0)</f>
        <v>#VALUE!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/>
      </c>
      <c r="I89" s="13" t="s">
        <v>276</v>
      </c>
      <c r="J89" s="22" t="e">
        <f>VLOOKUP(Table2[[#This Row], [Author]],People!A:B,2,0)</f>
        <v>#VALUE!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/>
      </c>
      <c r="I90" s="11" t="s">
        <v>276</v>
      </c>
      <c r="J90" s="19" t="e">
        <f>VLOOKUP(Table2[[#This Row], [Author]],People!A:B,2,0)</f>
        <v>#VALUE!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/>
      </c>
      <c r="I91" s="13" t="s">
        <v>276</v>
      </c>
      <c r="J91" s="22" t="e">
        <f>VLOOKUP(Table2[[#This Row], [Author]],People!A:B,2,0)</f>
        <v>#VALUE!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/>
      </c>
      <c r="I92" s="11" t="s">
        <v>276</v>
      </c>
      <c r="J92" s="19" t="e">
        <f>VLOOKUP(Table2[[#This Row], [Author]],People!A:B,2,0)</f>
        <v>#VALUE!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/>
      </c>
      <c r="I93" s="13" t="s">
        <v>276</v>
      </c>
      <c r="J93" s="22" t="e">
        <f>VLOOKUP(Table2[[#This Row], [Author]],People!A:B,2,0)</f>
        <v>#VALUE!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/>
      </c>
      <c r="I94" s="11" t="s">
        <v>276</v>
      </c>
      <c r="J94" s="19" t="e">
        <f>VLOOKUP(Table2[[#This Row], [Author]],People!A:B,2,0)</f>
        <v>#VALUE!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/>
      </c>
      <c r="I95" s="13" t="s">
        <v>276</v>
      </c>
      <c r="J95" s="22" t="e">
        <f>VLOOKUP(Table2[[#This Row], [Author]],People!A:B,2,0)</f>
        <v>#VALUE!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/>
      </c>
      <c r="I96" s="11" t="s">
        <v>276</v>
      </c>
      <c r="J96" s="19" t="e">
        <f>VLOOKUP(Table2[[#This Row], [Author]],People!A:B,2,0)</f>
        <v>#VALUE!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/>
      </c>
      <c r="I97" s="13" t="s">
        <v>276</v>
      </c>
      <c r="J97" s="22" t="e">
        <f>VLOOKUP(Table2[[#This Row], [Author]],People!A:B,2,0)</f>
        <v>#VALUE!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/>
      </c>
      <c r="I98" s="11" t="s">
        <v>276</v>
      </c>
      <c r="J98" s="19" t="e">
        <f>VLOOKUP(Table2[[#This Row], [Author]],People!A:B,2,0)</f>
        <v>#VALUE!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/>
      </c>
      <c r="I99" s="13" t="s">
        <v>276</v>
      </c>
      <c r="J99" s="22" t="e">
        <f>VLOOKUP(Table2[[#This Row], [Author]],People!A:B,2,0)</f>
        <v>#VALUE!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/>
      </c>
      <c r="I100" s="11" t="s">
        <v>276</v>
      </c>
      <c r="J100" s="19" t="e">
        <f>VLOOKUP(Table2[[#This Row], [Author]],People!A:B,2,0)</f>
        <v>#VALUE!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/>
      </c>
      <c r="I101" s="13" t="s">
        <v>276</v>
      </c>
      <c r="J101" s="22" t="e">
        <f>VLOOKUP(Table2[[#This Row], [Author]],People!A:B,2,0)</f>
        <v>#VALUE!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/>
      </c>
      <c r="I102" s="11" t="s">
        <v>276</v>
      </c>
      <c r="J102" s="19" t="e">
        <f>VLOOKUP(Table2[[#This Row], [Author]],People!A:B,2,0)</f>
        <v>#VALUE!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/>
      </c>
      <c r="I103" s="13" t="s">
        <v>276</v>
      </c>
      <c r="J103" s="22" t="e">
        <f>VLOOKUP(Table2[[#This Row], [Author]],People!A:B,2,0)</f>
        <v>#VALUE!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/>
      </c>
      <c r="I104" s="11" t="s">
        <v>276</v>
      </c>
      <c r="J104" s="19" t="e">
        <f>VLOOKUP(Table2[[#This Row], [Author]],People!A:B,2,0)</f>
        <v>#VALUE!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/>
      </c>
      <c r="I105" s="13" t="s">
        <v>276</v>
      </c>
      <c r="J105" s="22" t="e">
        <f>VLOOKUP(Table2[[#This Row], [Author]],People!A:B,2,0)</f>
        <v>#VALUE!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/>
      </c>
      <c r="I106" s="11" t="s">
        <v>276</v>
      </c>
      <c r="J106" s="19" t="e">
        <f>VLOOKUP(Table2[[#This Row], [Author]],People!A:B,2,0)</f>
        <v>#VALUE!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/>
      </c>
      <c r="I107" s="13" t="s">
        <v>276</v>
      </c>
      <c r="J107" s="22" t="e">
        <f>VLOOKUP(Table2[[#This Row], [Author]],People!A:B,2,0)</f>
        <v>#VALUE!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/>
      </c>
      <c r="I108" s="11" t="s">
        <v>276</v>
      </c>
      <c r="J108" s="19" t="e">
        <f>VLOOKUP(Table2[[#This Row], [Author]],People!A:B,2,0)</f>
        <v>#VALUE!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/>
      </c>
      <c r="I109" s="13" t="s">
        <v>276</v>
      </c>
      <c r="J109" s="22" t="e">
        <f>VLOOKUP(Table2[[#This Row], [Author]],People!A:B,2,0)</f>
        <v>#VALUE!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/>
      </c>
      <c r="I110" s="11" t="s">
        <v>276</v>
      </c>
      <c r="J110" s="19" t="e">
        <f>VLOOKUP(Table2[[#This Row], [Author]],People!A:B,2,0)</f>
        <v>#VALUE!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/>
      </c>
      <c r="I111" s="13" t="s">
        <v>276</v>
      </c>
      <c r="J111" s="22" t="e">
        <f>VLOOKUP(Table2[[#This Row], [Author]],People!A:B,2,0)</f>
        <v>#VALUE!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/>
      </c>
      <c r="I112" s="11" t="s">
        <v>276</v>
      </c>
      <c r="J112" s="19" t="e">
        <f>VLOOKUP(Table2[[#This Row], [Author]],People!A:B,2,0)</f>
        <v>#VALUE!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/>
      </c>
      <c r="I113" s="13" t="s">
        <v>276</v>
      </c>
      <c r="J113" s="22" t="e">
        <f>VLOOKUP(Table2[[#This Row], [Author]],People!A:B,2,0)</f>
        <v>#VALUE!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/>
      </c>
      <c r="I114" s="11" t="s">
        <v>276</v>
      </c>
      <c r="J114" s="19" t="e">
        <f>VLOOKUP(Table2[[#This Row], [Author]],People!A:B,2,0)</f>
        <v>#VALUE!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/>
      </c>
      <c r="I115" s="13" t="s">
        <v>276</v>
      </c>
      <c r="J115" s="22" t="e">
        <f>VLOOKUP(Table2[[#This Row], [Author]],People!A:B,2,0)</f>
        <v>#VALUE!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/>
      </c>
      <c r="I116" s="11" t="s">
        <v>276</v>
      </c>
      <c r="J116" s="19" t="e">
        <f>VLOOKUP(Table2[[#This Row], [Author]],People!A:B,2,0)</f>
        <v>#VALUE!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/>
      </c>
      <c r="I117" s="13" t="s">
        <v>276</v>
      </c>
      <c r="J117" s="22" t="e">
        <f>VLOOKUP(Table2[[#This Row], [Author]],People!A:B,2,0)</f>
        <v>#VALUE!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/>
      </c>
      <c r="I118" s="11" t="s">
        <v>276</v>
      </c>
      <c r="J118" s="19" t="e">
        <f>VLOOKUP(Table2[[#This Row], [Author]],People!A:B,2,0)</f>
        <v>#VALUE!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/>
      </c>
      <c r="I119" s="13" t="s">
        <v>276</v>
      </c>
      <c r="J119" s="22" t="e">
        <f>VLOOKUP(Table2[[#This Row], [Author]],People!A:B,2,0)</f>
        <v>#VALUE!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/>
      </c>
      <c r="I120" s="11" t="s">
        <v>276</v>
      </c>
      <c r="J120" s="19" t="e">
        <f>VLOOKUP(Table2[[#This Row], [Author]],People!A:B,2,0)</f>
        <v>#VALUE!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/>
      </c>
      <c r="I121" s="13" t="s">
        <v>276</v>
      </c>
      <c r="J121" s="22" t="e">
        <f>VLOOKUP(Table2[[#This Row], [Author]],People!A:B,2,0)</f>
        <v>#VALUE!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/>
      </c>
      <c r="I122" s="11" t="s">
        <v>276</v>
      </c>
      <c r="J122" s="19" t="e">
        <f>VLOOKUP(Table2[[#This Row], [Author]],People!A:B,2,0)</f>
        <v>#VALUE!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/>
      </c>
      <c r="I123" s="13" t="s">
        <v>276</v>
      </c>
      <c r="J123" s="22" t="e">
        <f>VLOOKUP(Table2[[#This Row], [Author]],People!A:B,2,0)</f>
        <v>#VALUE!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/>
      </c>
      <c r="I124" s="11" t="s">
        <v>276</v>
      </c>
      <c r="J124" s="19" t="e">
        <f>VLOOKUP(Table2[[#This Row], [Author]],People!A:B,2,0)</f>
        <v>#VALUE!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/>
      </c>
      <c r="I125" s="13" t="s">
        <v>276</v>
      </c>
      <c r="J125" s="22" t="e">
        <f>VLOOKUP(Table2[[#This Row], [Author]],People!A:B,2,0)</f>
        <v>#VALUE!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/>
      </c>
      <c r="I126" s="11" t="s">
        <v>276</v>
      </c>
      <c r="J126" s="19" t="e">
        <f>VLOOKUP(Table2[[#This Row], [Author]],People!A:B,2,0)</f>
        <v>#VALUE!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/>
      </c>
      <c r="I127" s="13" t="s">
        <v>276</v>
      </c>
      <c r="J127" s="22" t="e">
        <f>VLOOKUP(Table2[[#This Row], [Author]],People!A:B,2,0)</f>
        <v>#VALUE!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/>
      </c>
      <c r="I128" s="11" t="s">
        <v>276</v>
      </c>
      <c r="J128" s="19" t="e">
        <f>VLOOKUP(Table2[[#This Row], [Author]],People!A:B,2,0)</f>
        <v>#VALUE!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/>
      </c>
      <c r="I129" s="13" t="s">
        <v>276</v>
      </c>
      <c r="J129" s="22" t="e">
        <f>VLOOKUP(Table2[[#This Row], [Author]],People!A:B,2,0)</f>
        <v>#VALUE!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/>
      </c>
      <c r="I130" s="11" t="s">
        <v>276</v>
      </c>
      <c r="J130" s="19" t="e">
        <f>VLOOKUP(Table2[[#This Row], [Author]],People!A:B,2,0)</f>
        <v>#VALUE!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/>
      </c>
      <c r="I131" s="13" t="s">
        <v>276</v>
      </c>
      <c r="J131" s="22" t="e">
        <f>VLOOKUP(Table2[[#This Row], [Author]],People!A:B,2,0)</f>
        <v>#VALUE!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/>
      </c>
      <c r="I132" s="11" t="s">
        <v>276</v>
      </c>
      <c r="J132" s="19" t="e">
        <f>VLOOKUP(Table2[[#This Row], [Author]],People!A:B,2,0)</f>
        <v>#VALUE!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/>
      </c>
      <c r="I133" s="13" t="s">
        <v>276</v>
      </c>
      <c r="J133" s="22" t="e">
        <f>VLOOKUP(Table2[[#This Row], [Author]],People!A:B,2,0)</f>
        <v>#VALUE!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/>
      </c>
      <c r="I134" s="11" t="s">
        <v>276</v>
      </c>
      <c r="J134" s="19" t="e">
        <f>VLOOKUP(Table2[[#This Row], [Author]],People!A:B,2,0)</f>
        <v>#VALUE!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/>
      </c>
      <c r="I135" s="13" t="s">
        <v>276</v>
      </c>
      <c r="J135" s="22" t="e">
        <f>VLOOKUP(Table2[[#This Row], [Author]],People!A:B,2,0)</f>
        <v>#VALUE!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/>
      </c>
      <c r="I136" s="11" t="s">
        <v>276</v>
      </c>
      <c r="J136" s="19" t="e">
        <f>VLOOKUP(Table2[[#This Row], [Author]],People!A:B,2,0)</f>
        <v>#VALUE!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/>
      </c>
      <c r="I137" s="13" t="s">
        <v>276</v>
      </c>
      <c r="J137" s="22" t="e">
        <f>VLOOKUP(Table2[[#This Row], [Author]],People!A:B,2,0)</f>
        <v>#VALUE!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/>
      </c>
      <c r="I138" s="11" t="s">
        <v>276</v>
      </c>
      <c r="J138" s="19" t="e">
        <f>VLOOKUP(Table2[[#This Row], [Author]],People!A:B,2,0)</f>
        <v>#VALUE!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/>
      </c>
      <c r="I139" s="13" t="s">
        <v>276</v>
      </c>
      <c r="J139" s="22" t="e">
        <f>VLOOKUP(Table2[[#This Row], [Author]],People!A:B,2,0)</f>
        <v>#VALUE!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/>
      </c>
      <c r="I140" s="11" t="s">
        <v>276</v>
      </c>
      <c r="J140" s="19" t="e">
        <f>VLOOKUP(Table2[[#This Row], [Author]],People!A:B,2,0)</f>
        <v>#VALUE!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/>
      </c>
      <c r="I141" s="13" t="s">
        <v>276</v>
      </c>
      <c r="J141" s="22" t="e">
        <f>VLOOKUP(Table2[[#This Row], [Author]],People!A:B,2,0)</f>
        <v>#VALUE!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/>
      </c>
      <c r="I142" s="11" t="s">
        <v>276</v>
      </c>
      <c r="J142" s="19" t="e">
        <f>VLOOKUP(Table2[[#This Row], [Author]],People!A:B,2,0)</f>
        <v>#VALUE!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/>
      </c>
      <c r="I143" s="13" t="s">
        <v>276</v>
      </c>
      <c r="J143" s="22" t="e">
        <f>VLOOKUP(Table2[[#This Row], [Author]],People!A:B,2,0)</f>
        <v>#VALUE!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/>
      </c>
      <c r="I144" s="11" t="s">
        <v>276</v>
      </c>
      <c r="J144" s="19" t="e">
        <f>VLOOKUP(Table2[[#This Row], [Author]],People!A:B,2,0)</f>
        <v>#VALUE!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/>
      </c>
      <c r="I145" s="13" t="s">
        <v>276</v>
      </c>
      <c r="J145" s="22" t="e">
        <f>VLOOKUP(Table2[[#This Row], [Author]],People!A:B,2,0)</f>
        <v>#VALUE!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/>
      </c>
      <c r="I146" s="11" t="s">
        <v>276</v>
      </c>
      <c r="J146" s="19" t="e">
        <f>VLOOKUP(Table2[[#This Row], [Author]],People!A:B,2,0)</f>
        <v>#VALUE!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/>
      </c>
      <c r="I147" s="13" t="s">
        <v>276</v>
      </c>
      <c r="J147" s="22" t="e">
        <f>VLOOKUP(Table2[[#This Row], [Author]],People!A:B,2,0)</f>
        <v>#VALUE!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/>
      </c>
      <c r="I148" s="11" t="s">
        <v>276</v>
      </c>
      <c r="J148" s="19" t="e">
        <f>VLOOKUP(Table2[[#This Row], [Author]],People!A:B,2,0)</f>
        <v>#VALUE!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/>
      </c>
      <c r="I149" s="13" t="s">
        <v>276</v>
      </c>
      <c r="J149" s="22" t="e">
        <f>VLOOKUP(Table2[[#This Row], [Author]],People!A:B,2,0)</f>
        <v>#VALUE!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/>
      </c>
      <c r="I150" s="11" t="s">
        <v>276</v>
      </c>
      <c r="J150" s="19" t="e">
        <f>VLOOKUP(Table2[[#This Row], [Author]],People!A:B,2,0)</f>
        <v>#VALUE!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/>
      </c>
      <c r="I151" s="13" t="s">
        <v>276</v>
      </c>
      <c r="J151" s="22" t="e">
        <f>VLOOKUP(Table2[[#This Row], [Author]],People!A:B,2,0)</f>
        <v>#VALUE!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/>
      </c>
      <c r="I152" s="11" t="s">
        <v>276</v>
      </c>
      <c r="J152" s="19" t="e">
        <f>VLOOKUP(Table2[[#This Row], [Author]],People!A:B,2,0)</f>
        <v>#VALUE!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e">
        <f>VLOOKUP(Table2[[#This Row], [Author]],People!A:B,2,0)</f>
        <v>#VALUE!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/>
      </c>
      <c r="I154" s="11" t="s">
        <v>276</v>
      </c>
      <c r="J154" s="19" t="e">
        <f>VLOOKUP(Table2[[#This Row], [Author]],People!A:B,2,0)</f>
        <v>#VALUE!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/>
      </c>
      <c r="I155" s="13" t="s">
        <v>276</v>
      </c>
      <c r="J155" s="22" t="e">
        <f>VLOOKUP(Table2[[#This Row], [Author]],People!A:B,2,0)</f>
        <v>#VALUE!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/>
      </c>
      <c r="I156" s="11" t="s">
        <v>276</v>
      </c>
      <c r="J156" s="19" t="e">
        <f>VLOOKUP(Table2[[#This Row], [Author]],People!A:B,2,0)</f>
        <v>#VALUE!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/>
      </c>
      <c r="I157" s="13" t="s">
        <v>276</v>
      </c>
      <c r="J157" s="22" t="e">
        <f>VLOOKUP(Table2[[#This Row], [Author]],People!A:B,2,0)</f>
        <v>#VALUE!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/>
      </c>
      <c r="I158" s="11" t="s">
        <v>276</v>
      </c>
      <c r="J158" s="19" t="e">
        <f>VLOOKUP(Table2[[#This Row], [Author]],People!A:B,2,0)</f>
        <v>#VALUE!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/>
      </c>
      <c r="I159" s="13" t="s">
        <v>276</v>
      </c>
      <c r="J159" s="22" t="e">
        <f>VLOOKUP(Table2[[#This Row], [Author]],People!A:B,2,0)</f>
        <v>#VALUE!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/>
      </c>
      <c r="I160" s="11" t="s">
        <v>276</v>
      </c>
      <c r="J160" s="19" t="e">
        <f>VLOOKUP(Table2[[#This Row], [Author]],People!A:B,2,0)</f>
        <v>#VALUE!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/>
      </c>
      <c r="I161" s="13" t="s">
        <v>276</v>
      </c>
      <c r="J161" s="22" t="e">
        <f>VLOOKUP(Table2[[#This Row], [Author]],People!A:B,2,0)</f>
        <v>#VALUE!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/>
      </c>
      <c r="I162" s="11" t="s">
        <v>276</v>
      </c>
      <c r="J162" s="19" t="e">
        <f>VLOOKUP(Table2[[#This Row], [Author]],People!A:B,2,0)</f>
        <v>#VALUE!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/>
      </c>
      <c r="I163" s="13" t="s">
        <v>276</v>
      </c>
      <c r="J163" s="22" t="e">
        <f>VLOOKUP(Table2[[#This Row], [Author]],People!A:B,2,0)</f>
        <v>#VALUE!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/>
      </c>
      <c r="I164" s="11" t="s">
        <v>276</v>
      </c>
      <c r="J164" s="19" t="e">
        <f>VLOOKUP(Table2[[#This Row], [Author]],People!A:B,2,0)</f>
        <v>#VALUE!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/>
      </c>
      <c r="I165" s="13" t="s">
        <v>276</v>
      </c>
      <c r="J165" s="22" t="e">
        <f>VLOOKUP(Table2[[#This Row], [Author]],People!A:B,2,0)</f>
        <v>#VALUE!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/>
      </c>
      <c r="I166" s="11" t="s">
        <v>276</v>
      </c>
      <c r="J166" s="19" t="e">
        <f>VLOOKUP(Table2[[#This Row], [Author]],People!A:B,2,0)</f>
        <v>#VALUE!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/>
      </c>
      <c r="I167" s="13" t="s">
        <v>276</v>
      </c>
      <c r="J167" s="22" t="e">
        <f>VLOOKUP(Table2[[#This Row], [Author]],People!A:B,2,0)</f>
        <v>#VALUE!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/>
      </c>
      <c r="I168" s="11" t="s">
        <v>276</v>
      </c>
      <c r="J168" s="19" t="e">
        <f>VLOOKUP(Table2[[#This Row], [Author]],People!A:B,2,0)</f>
        <v>#VALUE!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/>
      </c>
      <c r="I169" s="13" t="s">
        <v>276</v>
      </c>
      <c r="J169" s="22" t="e">
        <f>VLOOKUP(Table2[[#This Row], [Author]],People!A:B,2,0)</f>
        <v>#VALUE!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/>
      </c>
      <c r="I170" s="11" t="s">
        <v>276</v>
      </c>
      <c r="J170" s="19" t="e">
        <f>VLOOKUP(Table2[[#This Row], [Author]],People!A:B,2,0)</f>
        <v>#VALUE!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/>
      </c>
      <c r="I171" s="13" t="s">
        <v>276</v>
      </c>
      <c r="J171" s="22" t="e">
        <f>VLOOKUP(Table2[[#This Row], [Author]],People!A:B,2,0)</f>
        <v>#VALUE!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/>
      </c>
      <c r="I172" s="11" t="s">
        <v>276</v>
      </c>
      <c r="J172" s="19" t="e">
        <f>VLOOKUP(Table2[[#This Row], [Author]],People!A:B,2,0)</f>
        <v>#VALUE!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/>
      </c>
      <c r="I173" s="13" t="s">
        <v>276</v>
      </c>
      <c r="J173" s="22" t="e">
        <f>VLOOKUP(Table2[[#This Row], [Author]],People!A:B,2,0)</f>
        <v>#VALUE!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/>
      </c>
      <c r="I174" s="11" t="s">
        <v>276</v>
      </c>
      <c r="J174" s="19" t="e">
        <f>VLOOKUP(Table2[[#This Row], [Author]],People!A:B,2,0)</f>
        <v>#VALUE!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/>
      </c>
      <c r="I175" s="13" t="s">
        <v>276</v>
      </c>
      <c r="J175" s="22" t="e">
        <f>VLOOKUP(Table2[[#This Row], [Author]],People!A:B,2,0)</f>
        <v>#VALUE!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/>
      </c>
      <c r="I176" s="11" t="s">
        <v>276</v>
      </c>
      <c r="J176" s="19" t="e">
        <f>VLOOKUP(Table2[[#This Row], [Author]],People!A:B,2,0)</f>
        <v>#VALUE!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/>
      </c>
      <c r="I177" s="13" t="s">
        <v>276</v>
      </c>
      <c r="J177" s="22" t="e">
        <f>VLOOKUP(Table2[[#This Row], [Author]],People!A:B,2,0)</f>
        <v>#VALUE!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/>
      </c>
      <c r="I178" s="11" t="s">
        <v>276</v>
      </c>
      <c r="J178" s="19" t="e">
        <f>VLOOKUP(Table2[[#This Row], [Author]],People!A:B,2,0)</f>
        <v>#VALUE!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/>
      </c>
      <c r="I179" s="13" t="s">
        <v>276</v>
      </c>
      <c r="J179" s="22" t="e">
        <f>VLOOKUP(Table2[[#This Row], [Author]],People!A:B,2,0)</f>
        <v>#VALUE!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/>
      </c>
      <c r="I180" s="11" t="s">
        <v>276</v>
      </c>
      <c r="J180" s="19" t="e">
        <f>VLOOKUP(Table2[[#This Row], [Author]],People!A:B,2,0)</f>
        <v>#VALUE!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/>
      </c>
      <c r="I181" s="13" t="s">
        <v>276</v>
      </c>
      <c r="J181" s="22" t="e">
        <f>VLOOKUP(Table2[[#This Row], [Author]],People!A:B,2,0)</f>
        <v>#VALUE!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/>
      </c>
      <c r="I182" s="11" t="s">
        <v>276</v>
      </c>
      <c r="J182" s="19" t="e">
        <f>VLOOKUP(Table2[[#This Row], [Author]],People!A:B,2,0)</f>
        <v>#VALUE!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/>
      </c>
      <c r="I183" s="13" t="s">
        <v>276</v>
      </c>
      <c r="J183" s="22" t="e">
        <f>VLOOKUP(Table2[[#This Row], [Author]],People!A:B,2,0)</f>
        <v>#VALUE!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/>
      </c>
      <c r="I184" s="11" t="s">
        <v>276</v>
      </c>
      <c r="J184" s="19" t="e">
        <f>VLOOKUP(Table2[[#This Row], [Author]],People!A:B,2,0)</f>
        <v>#VALUE!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/>
      </c>
      <c r="I185" s="13" t="s">
        <v>276</v>
      </c>
      <c r="J185" s="22" t="e">
        <f>VLOOKUP(Table2[[#This Row], [Author]],People!A:B,2,0)</f>
        <v>#VALUE!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/>
      </c>
      <c r="I186" s="11" t="s">
        <v>276</v>
      </c>
      <c r="J186" s="19" t="e">
        <f>VLOOKUP(Table2[[#This Row], [Author]],People!A:B,2,0)</f>
        <v>#VALUE!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/>
      </c>
      <c r="I187" s="13" t="s">
        <v>276</v>
      </c>
      <c r="J187" s="22" t="e">
        <f>VLOOKUP(Table2[[#This Row], [Author]],People!A:B,2,0)</f>
        <v>#VALUE!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/>
      </c>
      <c r="I188" s="11" t="s">
        <v>276</v>
      </c>
      <c r="J188" s="19" t="e">
        <f>VLOOKUP(Table2[[#This Row], [Author]],People!A:B,2,0)</f>
        <v>#VALUE!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/>
      </c>
      <c r="I189" s="13" t="s">
        <v>276</v>
      </c>
      <c r="J189" s="22" t="e">
        <f>VLOOKUP(Table2[[#This Row], [Author]],People!A:B,2,0)</f>
        <v>#VALUE!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/>
      </c>
      <c r="I190" s="11" t="s">
        <v>276</v>
      </c>
      <c r="J190" s="19" t="e">
        <f>VLOOKUP(Table2[[#This Row], [Author]],People!A:B,2,0)</f>
        <v>#VALUE!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/>
      </c>
      <c r="I191" s="13" t="s">
        <v>276</v>
      </c>
      <c r="J191" s="22" t="e">
        <f>VLOOKUP(Table2[[#This Row], [Author]],People!A:B,2,0)</f>
        <v>#VALUE!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/>
      </c>
      <c r="I192" s="11" t="s">
        <v>276</v>
      </c>
      <c r="J192" s="19" t="e">
        <f>VLOOKUP(Table2[[#This Row], [Author]],People!A:B,2,0)</f>
        <v>#VALUE!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/>
      </c>
      <c r="I193" s="13" t="s">
        <v>276</v>
      </c>
      <c r="J193" s="22" t="e">
        <f>VLOOKUP(Table2[[#This Row], [Author]],People!A:B,2,0)</f>
        <v>#VALUE!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/>
      </c>
      <c r="I194" s="11" t="s">
        <v>276</v>
      </c>
      <c r="J194" s="19" t="e">
        <f>VLOOKUP(Table2[[#This Row], [Author]],People!A:B,2,0)</f>
        <v>#VALUE!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/>
      </c>
      <c r="I195" s="13" t="s">
        <v>276</v>
      </c>
      <c r="J195" s="22" t="e">
        <f>VLOOKUP(Table2[[#This Row], [Author]],People!A:B,2,0)</f>
        <v>#VALUE!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#VALUE!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#VALUE!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#VALUE!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#VALUE!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#VALUE!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#VALUE!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#VALUE!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#VALUE!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#VALUE!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e">
        <f>VLOOKUP(Table2[[#This Row], [Author]],People!A:B,2,0)</f>
        <v>#VALUE!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e">
        <f>VLOOKUP(Table2[[#This Row], [Author]],People!A:B,2,0)</f>
        <v>#VALUE!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e">
        <f>VLOOKUP(Table2[[#This Row], [Author]],People!A:B,2,0)</f>
        <v>#VALUE!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e">
        <f>VLOOKUP(Table2[[#This Row], [Author]],People!A:B,2,0)</f>
        <v>#VALUE!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e">
        <f>VLOOKUP(Table2[[#This Row], [Author]],People!A:B,2,0)</f>
        <v>#VALUE!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e">
        <f>VLOOKUP(Table2[[#This Row], [Author]],People!A:B,2,0)</f>
        <v>#VALUE!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e">
        <f>VLOOKUP(Table2[[#This Row], [Author]],People!A:B,2,0)</f>
        <v>#VALUE!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e">
        <f>VLOOKUP(Table2[[#This Row], [Author]],People!A:B,2,0)</f>
        <v>#VALUE!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e">
        <f>VLOOKUP(Table2[[#This Row], [Author]],People!A:B,2,0)</f>
        <v>#VALUE!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e">
        <f>VLOOKUP(Table2[[#This Row], [Author]],People!A:B,2,0)</f>
        <v>#VALUE!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e">
        <f>VLOOKUP(Table2[[#This Row], [Author]],People!A:B,2,0)</f>
        <v>#VALUE!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e">
        <f>VLOOKUP(Table2[[#This Row], [Author]],People!A:B,2,0)</f>
        <v>#VALUE!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e">
        <f>VLOOKUP(Table2[[#This Row], [Author]],People!A:B,2,0)</f>
        <v>#VALUE!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e">
        <f>VLOOKUP(Table2[[#This Row], [Author]],People!A:B,2,0)</f>
        <v>#VALUE!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e">
        <f>VLOOKUP(Table2[[#This Row], [Author]],People!A:B,2,0)</f>
        <v>#VALUE!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e">
        <f>VLOOKUP(Table2[[#This Row], [Author]],People!A:B,2,0)</f>
        <v>#VALUE!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e">
        <f>VLOOKUP(Table2[[#This Row], [Author]],People!A:B,2,0)</f>
        <v>#VALUE!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e">
        <f>VLOOKUP(Table2[[#This Row], [Author]],People!A:B,2,0)</f>
        <v>#VALUE!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e">
        <f>VLOOKUP(Table2[[#This Row], [Author]],People!A:B,2,0)</f>
        <v>#VALUE!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e">
        <f>VLOOKUP(Table2[[#This Row], [Author]],People!A:B,2,0)</f>
        <v>#VALUE!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e">
        <f>VLOOKUP(Table2[[#This Row], [Author]],People!A:B,2,0)</f>
        <v>#VALUE!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e">
        <f>VLOOKUP(Table2[[#This Row], [Author]],People!A:B,2,0)</f>
        <v>#VALUE!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e">
        <f>VLOOKUP(Table2[[#This Row], [Author]],People!A:B,2,0)</f>
        <v>#VALUE!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e">
        <f>VLOOKUP(Table2[[#This Row], [Author]],People!A:B,2,0)</f>
        <v>#VALUE!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e">
        <f>VLOOKUP(Table2[[#This Row], [Author]],People!A:B,2,0)</f>
        <v>#VALUE!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e">
        <f>VLOOKUP(Table2[[#This Row], [Author]],People!A:B,2,0)</f>
        <v>#VALUE!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e">
        <f>VLOOKUP(Table2[[#This Row], [Author]],People!A:B,2,0)</f>
        <v>#VALUE!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e">
        <f>VLOOKUP(Table2[[#This Row], [Author]],People!A:B,2,0)</f>
        <v>#VALUE!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e">
        <f>VLOOKUP(Table2[[#This Row], [Author]],People!A:B,2,0)</f>
        <v>#VALUE!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e">
        <f>VLOOKUP(Table2[[#This Row], [Author]],People!A:B,2,0)</f>
        <v>#VALUE!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e">
        <f>VLOOKUP(Table2[[#This Row], [Author]],People!A:B,2,0)</f>
        <v>#VALUE!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e">
        <f>VLOOKUP(Table2[[#This Row], [Author]],People!A:B,2,0)</f>
        <v>#VALUE!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e">
        <f>VLOOKUP(Table2[[#This Row], [Author]],People!A:B,2,0)</f>
        <v>#VALUE!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e">
        <f>VLOOKUP(Table2[[#This Row], [Author]],People!A:B,2,0)</f>
        <v>#VALUE!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e">
        <f>VLOOKUP(Table2[[#This Row], [Author]],People!A:B,2,0)</f>
        <v>#VALUE!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e">
        <f>VLOOKUP(Table2[[#This Row], [Author]],People!A:B,2,0)</f>
        <v>#VALUE!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e">
        <f>VLOOKUP(Table2[[#This Row], [Author]],People!A:B,2,0)</f>
        <v>#VALUE!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e">
        <f>VLOOKUP(Table2[[#This Row], [Author]],People!A:B,2,0)</f>
        <v>#VALUE!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e">
        <f>VLOOKUP(Table2[[#This Row], [Author]],People!A:B,2,0)</f>
        <v>#VALUE!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e">
        <f>VLOOKUP(Table2[[#This Row], [Author]],People!A:B,2,0)</f>
        <v>#VALUE!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e">
        <f>VLOOKUP(Table2[[#This Row], [Author]],People!A:B,2,0)</f>
        <v>#VALUE!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e">
        <f>VLOOKUP(Table2[[#This Row], [Author]],People!A:B,2,0)</f>
        <v>#VALUE!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e">
        <f>VLOOKUP(Table2[[#This Row], [Author]],People!A:B,2,0)</f>
        <v>#VALUE!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e">
        <f>VLOOKUP(Table2[[#This Row], [Author]],People!A:B,2,0)</f>
        <v>#VALUE!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e">
        <f>VLOOKUP(Table2[[#This Row], [Author]],People!A:B,2,0)</f>
        <v>#VALUE!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e">
        <f>VLOOKUP(Table2[[#This Row], [Author]],People!A:B,2,0)</f>
        <v>#VALUE!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e">
        <f>VLOOKUP(Table2[[#This Row], [Author]],People!A:B,2,0)</f>
        <v>#VALUE!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e">
        <f>VLOOKUP(Table2[[#This Row], [Author]],People!A:B,2,0)</f>
        <v>#VALUE!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e">
        <f>VLOOKUP(Table2[[#This Row], [Author]],People!A:B,2,0)</f>
        <v>#VALUE!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e">
        <f>VLOOKUP(Table2[[#This Row], [Author]],People!A:B,2,0)</f>
        <v>#VALUE!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e">
        <f>VLOOKUP(Table2[[#This Row], [Author]],People!A:B,2,0)</f>
        <v>#VALUE!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e">
        <f>VLOOKUP(Table2[[#This Row], [Author]],People!A:B,2,0)</f>
        <v>#VALUE!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e">
        <f>VLOOKUP(Table2[[#This Row], [Author]],People!A:B,2,0)</f>
        <v>#VALUE!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e">
        <f>VLOOKUP(Table2[[#This Row], [Author]],People!A:B,2,0)</f>
        <v>#VALUE!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e">
        <f>VLOOKUP(Table2[[#This Row], [Author]],People!A:B,2,0)</f>
        <v>#VALUE!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e">
        <f>VLOOKUP(Table2[[#This Row], [Author]],People!A:B,2,0)</f>
        <v>#VALUE!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e">
        <f>VLOOKUP(Table2[[#This Row], [Author]],People!A:B,2,0)</f>
        <v>#VALUE!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e">
        <f>VLOOKUP(Table2[[#This Row], [Author]],People!A:B,2,0)</f>
        <v>#VALUE!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e">
        <f>VLOOKUP(Table2[[#This Row], [Author]],People!A:B,2,0)</f>
        <v>#VALUE!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e">
        <f>VLOOKUP(Table2[[#This Row], [Author]],People!A:B,2,0)</f>
        <v>#VALUE!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e">
        <f>VLOOKUP(Table2[[#This Row], [Author]],People!A:B,2,0)</f>
        <v>#VALUE!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e">
        <f>VLOOKUP(Table2[[#This Row], [Author]],People!A:B,2,0)</f>
        <v>#VALUE!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e">
        <f>VLOOKUP(Table2[[#This Row], [Author]],People!A:B,2,0)</f>
        <v>#VALUE!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e">
        <f>VLOOKUP(Table2[[#This Row], [Author]],People!A:B,2,0)</f>
        <v>#VALUE!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e">
        <f>VLOOKUP(Table2[[#This Row], [Author]],People!A:B,2,0)</f>
        <v>#VALUE!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e">
        <f>VLOOKUP(Table2[[#This Row], [Author]],People!A:B,2,0)</f>
        <v>#VALUE!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e">
        <f>VLOOKUP(Table2[[#This Row], [Author]],People!A:B,2,0)</f>
        <v>#VALUE!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e">
        <f>VLOOKUP(Table2[[#This Row], [Author]],People!A:B,2,0)</f>
        <v>#VALUE!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e">
        <f>VLOOKUP(Table2[[#This Row], [Author]],People!A:B,2,0)</f>
        <v>#VALUE!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e">
        <f>VLOOKUP(Table2[[#This Row], [Author]],People!A:B,2,0)</f>
        <v>#VALUE!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e">
        <f>VLOOKUP(Table2[[#This Row], [Author]],People!A:B,2,0)</f>
        <v>#VALUE!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e">
        <f>VLOOKUP(Table2[[#This Row], [Author]],People!A:B,2,0)</f>
        <v>#VALUE!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e">
        <f>VLOOKUP(Table2[[#This Row], [Author]],People!A:B,2,0)</f>
        <v>#VALUE!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e">
        <f>VLOOKUP(Table2[[#This Row], [Author]],People!A:B,2,0)</f>
        <v>#VALUE!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e">
        <f>VLOOKUP(Table2[[#This Row], [Author]],People!A:B,2,0)</f>
        <v>#VALUE!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e">
        <f>VLOOKUP(Table2[[#This Row], [Author]],People!A:B,2,0)</f>
        <v>#VALUE!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e">
        <f>VLOOKUP(Table2[[#This Row], [Author]],People!A:B,2,0)</f>
        <v>#VALUE!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e">
        <f>VLOOKUP(Table2[[#This Row], [Author]],People!A:B,2,0)</f>
        <v>#VALUE!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e">
        <f>VLOOKUP(Table2[[#This Row], [Author]],People!A:B,2,0)</f>
        <v>#VALUE!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e">
        <f>VLOOKUP(Table2[[#This Row], [Author]],People!A:B,2,0)</f>
        <v>#VALUE!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e">
        <f>VLOOKUP(Table2[[#This Row], [Author]],People!A:B,2,0)</f>
        <v>#VALUE!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e">
        <f>VLOOKUP(Table2[[#This Row], [Author]],People!A:B,2,0)</f>
        <v>#VALUE!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e">
        <f>VLOOKUP(Table2[[#This Row], [Author]],People!A:B,2,0)</f>
        <v>#VALUE!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e">
        <f>VLOOKUP(Table2[[#This Row], [Author]],People!A:B,2,0)</f>
        <v>#VALUE!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e">
        <f>VLOOKUP(Table2[[#This Row], [Author]],People!A:B,2,0)</f>
        <v>#VALUE!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e">
        <f>VLOOKUP(Table2[[#This Row], [Author]],People!A:B,2,0)</f>
        <v>#VALUE!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e">
        <f>VLOOKUP(Table2[[#This Row], [Author]],People!A:B,2,0)</f>
        <v>#VALUE!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e">
        <f>VLOOKUP(Table2[[#This Row], [Author]],People!A:B,2,0)</f>
        <v>#VALUE!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e">
        <f>VLOOKUP(Table2[[#This Row], [Author]],People!A:B,2,0)</f>
        <v>#VALUE!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e">
        <f>VLOOKUP(Table2[[#This Row], [Author]],People!A:B,2,0)</f>
        <v>#VALUE!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e">
        <f>VLOOKUP(Table2[[#This Row], [Author]],People!A:B,2,0)</f>
        <v>#VALUE!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e">
        <f>VLOOKUP(Table2[[#This Row], [Author]],People!A:B,2,0)</f>
        <v>#VALUE!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e">
        <f>VLOOKUP(Table2[[#This Row], [Author]],People!A:B,2,0)</f>
        <v>#VALUE!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e">
        <f>VLOOKUP(Table2[[#This Row], [Author]],People!A:B,2,0)</f>
        <v>#VALUE!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e">
        <f>VLOOKUP(Table2[[#This Row], [Author]],People!A:B,2,0)</f>
        <v>#VALUE!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e">
        <f>VLOOKUP(Table2[[#This Row], [Author]],People!A:B,2,0)</f>
        <v>#VALUE!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e">
        <f>VLOOKUP(Table2[[#This Row], [Author]],People!A:B,2,0)</f>
        <v>#VALUE!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e">
        <f>VLOOKUP(Table2[[#This Row], [Author]],People!A:B,2,0)</f>
        <v>#VALUE!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e">
        <f>VLOOKUP(Table2[[#This Row], [Author]],People!A:B,2,0)</f>
        <v>#VALUE!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e">
        <f>VLOOKUP(Table2[[#This Row], [Author]],People!A:B,2,0)</f>
        <v>#VALUE!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e">
        <f>VLOOKUP(Table2[[#This Row], [Author]],People!A:B,2,0)</f>
        <v>#VALUE!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e">
        <f>VLOOKUP(Table2[[#This Row], [Author]],People!A:B,2,0)</f>
        <v>#VALUE!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e">
        <f>VLOOKUP(Table2[[#This Row], [Author]],People!A:B,2,0)</f>
        <v>#VALUE!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e">
        <f>VLOOKUP(Table2[[#This Row], [Author]],People!A:B,2,0)</f>
        <v>#VALUE!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e">
        <f>VLOOKUP(Table2[[#This Row], [Author]],People!A:B,2,0)</f>
        <v>#VALUE!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e">
        <f>VLOOKUP(Table2[[#This Row], [Author]],People!A:B,2,0)</f>
        <v>#VALUE!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e">
        <f>VLOOKUP(Table2[[#This Row], [Author]],People!A:B,2,0)</f>
        <v>#VALUE!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e">
        <f>VLOOKUP(Table2[[#This Row], [Author]],People!A:B,2,0)</f>
        <v>#VALUE!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e">
        <f>VLOOKUP(Table2[[#This Row], [Author]],People!A:B,2,0)</f>
        <v>#VALUE!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e">
        <f>VLOOKUP(Table2[[#This Row], [Author]],People!A:B,2,0)</f>
        <v>#VALUE!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e">
        <f>VLOOKUP(Table2[[#This Row], [Author]],People!A:B,2,0)</f>
        <v>#VALUE!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e">
        <f>VLOOKUP(Table2[[#This Row], [Author]],People!A:B,2,0)</f>
        <v>#VALUE!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e">
        <f>VLOOKUP(Table2[[#This Row], [Author]],People!A:B,2,0)</f>
        <v>#VALUE!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e">
        <f>VLOOKUP(Table2[[#This Row], [Author]],People!A:B,2,0)</f>
        <v>#VALUE!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e">
        <f>VLOOKUP(Table2[[#This Row], [Author]],People!A:B,2,0)</f>
        <v>#VALUE!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e">
        <f>VLOOKUP(Table2[[#This Row], [Author]],People!A:B,2,0)</f>
        <v>#VALUE!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e">
        <f>VLOOKUP(Table2[[#This Row], [Author]],People!A:B,2,0)</f>
        <v>#VALUE!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e">
        <f>VLOOKUP(Table2[[#This Row], [Author]],People!A:B,2,0)</f>
        <v>#VALUE!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e">
        <f>VLOOKUP(Table2[[#This Row], [Author]],People!A:B,2,0)</f>
        <v>#VALUE!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e">
        <f>VLOOKUP(Table2[[#This Row], [Author]],People!A:B,2,0)</f>
        <v>#VALUE!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e">
        <f>VLOOKUP(Table2[[#This Row], [Author]],People!A:B,2,0)</f>
        <v>#VALUE!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e">
        <f>VLOOKUP(Table2[[#This Row], [Author]],People!A:B,2,0)</f>
        <v>#VALUE!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e">
        <f>VLOOKUP(Table2[[#This Row], [Author]],People!A:B,2,0)</f>
        <v>#VALUE!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e">
        <f>VLOOKUP(Table2[[#This Row], [Author]],People!A:B,2,0)</f>
        <v>#VALUE!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e">
        <f>VLOOKUP(Table2[[#This Row], [Author]],People!A:B,2,0)</f>
        <v>#VALUE!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e">
        <f>VLOOKUP(Table2[[#This Row], [Author]],People!A:B,2,0)</f>
        <v>#VALUE!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e">
        <f>VLOOKUP(Table2[[#This Row], [Author]],People!A:B,2,0)</f>
        <v>#VALUE!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e">
        <f>VLOOKUP(Table2[[#This Row], [Author]],People!A:B,2,0)</f>
        <v>#VALUE!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e">
        <f>VLOOKUP(Table2[[#This Row], [Author]],People!A:B,2,0)</f>
        <v>#VALUE!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e">
        <f>VLOOKUP(Table2[[#This Row], [Author]],People!A:B,2,0)</f>
        <v>#VALUE!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e">
        <f>VLOOKUP(Table2[[#This Row], [Author]],People!A:B,2,0)</f>
        <v>#VALUE!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e">
        <f>VLOOKUP(Table2[[#This Row], [Author]],People!A:B,2,0)</f>
        <v>#VALUE!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e">
        <f>VLOOKUP(Table2[[#This Row], [Author]],People!A:B,2,0)</f>
        <v>#VALUE!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e">
        <f>VLOOKUP(Table2[[#This Row], [Author]],People!A:B,2,0)</f>
        <v>#VALUE!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e">
        <f>VLOOKUP(Table2[[#This Row], [Author]],People!A:B,2,0)</f>
        <v>#VALUE!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e">
        <f>VLOOKUP(Table2[[#This Row], [Author]],People!A:B,2,0)</f>
        <v>#VALUE!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e">
        <f>VLOOKUP(Table2[[#This Row], [Author]],People!A:B,2,0)</f>
        <v>#VALUE!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e">
        <f>VLOOKUP(Table2[[#This Row], [Author]],People!A:B,2,0)</f>
        <v>#VALUE!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e">
        <f>VLOOKUP(Table2[[#This Row], [Author]],People!A:B,2,0)</f>
        <v>#VALUE!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e">
        <f>VLOOKUP(Table2[[#This Row], [Author]],People!A:B,2,0)</f>
        <v>#VALUE!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e">
        <f>VLOOKUP(Table2[[#This Row], [Author]],People!A:B,2,0)</f>
        <v>#VALUE!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e">
        <f>VLOOKUP(Table2[[#This Row], [Author]],People!A:B,2,0)</f>
        <v>#VALUE!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e">
        <f>VLOOKUP(Table2[[#This Row], [Author]],People!A:B,2,0)</f>
        <v>#VALUE!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e">
        <f>VLOOKUP(Table2[[#This Row], [Author]],People!A:B,2,0)</f>
        <v>#VALUE!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e">
        <f>VLOOKUP(Table2[[#This Row], [Author]],People!A:B,2,0)</f>
        <v>#VALUE!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e">
        <f>VLOOKUP(Table2[[#This Row], [Author]],People!A:B,2,0)</f>
        <v>#VALUE!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e">
        <f>VLOOKUP(Table2[[#This Row], [Author]],People!A:B,2,0)</f>
        <v>#VALUE!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e">
        <f>VLOOKUP(Table2[[#This Row], [Author]],People!A:B,2,0)</f>
        <v>#VALUE!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e">
        <f>VLOOKUP(Table2[[#This Row], [Author]],People!A:B,2,0)</f>
        <v>#VALUE!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e">
        <f>VLOOKUP(Table2[[#This Row], [Author]],People!A:B,2,0)</f>
        <v>#VALUE!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e">
        <f>VLOOKUP(Table2[[#This Row], [Author]],People!A:B,2,0)</f>
        <v>#VALUE!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e">
        <f>VLOOKUP(Table2[[#This Row], [Author]],People!A:B,2,0)</f>
        <v>#VALUE!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e">
        <f>VLOOKUP(Table2[[#This Row], [Author]],People!A:B,2,0)</f>
        <v>#VALUE!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e">
        <f>VLOOKUP(Table2[[#This Row], [Author]],People!A:B,2,0)</f>
        <v>#VALUE!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e">
        <f>VLOOKUP(Table2[[#This Row], [Author]],People!A:B,2,0)</f>
        <v>#VALUE!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e">
        <f>VLOOKUP(Table2[[#This Row], [Author]],People!A:B,2,0)</f>
        <v>#VALUE!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e">
        <f>VLOOKUP(Table2[[#This Row], [Author]],People!A:B,2,0)</f>
        <v>#VALUE!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e">
        <f>VLOOKUP(Table2[[#This Row], [Author]],People!A:B,2,0)</f>
        <v>#VALUE!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e">
        <f>VLOOKUP(Table2[[#This Row], [Author]],People!A:B,2,0)</f>
        <v>#VALUE!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e">
        <f>VLOOKUP(Table2[[#This Row], [Author]],People!A:B,2,0)</f>
        <v>#VALUE!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e">
        <f>VLOOKUP(Table2[[#This Row], [Author]],People!A:B,2,0)</f>
        <v>#VALUE!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e">
        <f>VLOOKUP(Table2[[#This Row], [Author]],People!A:B,2,0)</f>
        <v>#VALUE!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e">
        <f>VLOOKUP(Table2[[#This Row], [Author]],People!A:B,2,0)</f>
        <v>#VALUE!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e">
        <f>VLOOKUP(Table2[[#This Row], [Author]],People!A:B,2,0)</f>
        <v>#VALUE!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e">
        <f>VLOOKUP(Table2[[#This Row], [Author]],People!A:B,2,0)</f>
        <v>#VALUE!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e">
        <f>VLOOKUP(Table2[[#This Row], [Author]],People!A:B,2,0)</f>
        <v>#VALUE!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e">
        <f>VLOOKUP(Table2[[#This Row], [Author]],People!A:B,2,0)</f>
        <v>#VALUE!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e">
        <f>VLOOKUP(Table2[[#This Row], [Author]],People!A:B,2,0)</f>
        <v>#VALUE!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e">
        <f>VLOOKUP(Table2[[#This Row], [Author]],People!A:B,2,0)</f>
        <v>#VALUE!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e">
        <f>VLOOKUP(Table2[[#This Row], [Author]],People!A:B,2,0)</f>
        <v>#VALUE!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e">
        <f>VLOOKUP(Table2[[#This Row], [Author]],People!A:B,2,0)</f>
        <v>#VALUE!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e">
        <f>VLOOKUP(Table2[[#This Row], [Author]],People!A:B,2,0)</f>
        <v>#VALUE!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e">
        <f>VLOOKUP(Table2[[#This Row], [Author]],People!A:B,2,0)</f>
        <v>#VALUE!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e">
        <f>VLOOKUP(Table2[[#This Row], [Author]],People!A:B,2,0)</f>
        <v>#VALUE!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e">
        <f>VLOOKUP(Table2[[#This Row], [Author]],People!A:B,2,0)</f>
        <v>#VALUE!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e">
        <f>VLOOKUP(Table2[[#This Row], [Author]],People!A:B,2,0)</f>
        <v>#VALUE!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e">
        <f>VLOOKUP(Table2[[#This Row], [Author]],People!A:B,2,0)</f>
        <v>#VALUE!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e">
        <f>VLOOKUP(Table2[[#This Row], [Author]],People!A:B,2,0)</f>
        <v>#VALUE!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e">
        <f>VLOOKUP(Table2[[#This Row], [Author]],People!A:B,2,0)</f>
        <v>#VALUE!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e">
        <f>VLOOKUP(Table2[[#This Row], [Author]],People!A:B,2,0)</f>
        <v>#VALUE!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e">
        <f>VLOOKUP(Table2[[#This Row], [Author]],People!A:B,2,0)</f>
        <v>#VALUE!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e">
        <f>VLOOKUP(Table2[[#This Row], [Author]],People!A:B,2,0)</f>
        <v>#VALUE!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e">
        <f>VLOOKUP(Table2[[#This Row], [Author]],People!A:B,2,0)</f>
        <v>#VALUE!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e">
        <f>VLOOKUP(Table2[[#This Row], [Author]],People!A:B,2,0)</f>
        <v>#VALUE!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e">
        <f>VLOOKUP(Table2[[#This Row], [Author]],People!A:B,2,0)</f>
        <v>#VALUE!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e">
        <f>VLOOKUP(Table2[[#This Row], [Author]],People!A:B,2,0)</f>
        <v>#VALUE!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e">
        <f>VLOOKUP(Table2[[#This Row], [Author]],People!A:B,2,0)</f>
        <v>#VALUE!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e">
        <f>VLOOKUP(Table2[[#This Row], [Author]],People!A:B,2,0)</f>
        <v>#VALUE!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e">
        <f>VLOOKUP(Table2[[#This Row], [Author]],People!A:B,2,0)</f>
        <v>#VALUE!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e">
        <f>VLOOKUP(Table2[[#This Row], [Author]],People!A:B,2,0)</f>
        <v>#VALUE!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e">
        <f>VLOOKUP(Table2[[#This Row], [Author]],People!A:B,2,0)</f>
        <v>#VALUE!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e">
        <f>VLOOKUP(Table2[[#This Row], [Author]],People!A:B,2,0)</f>
        <v>#VALUE!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e">
        <f>VLOOKUP(Table2[[#This Row], [Author]],People!A:B,2,0)</f>
        <v>#VALUE!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e">
        <f>VLOOKUP(Table2[[#This Row], [Author]],People!A:B,2,0)</f>
        <v>#VALUE!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e">
        <f>VLOOKUP(Table2[[#This Row], [Author]],People!A:B,2,0)</f>
        <v>#VALUE!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e">
        <f>VLOOKUP(Table2[[#This Row], [Author]],People!A:B,2,0)</f>
        <v>#VALUE!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e">
        <f>VLOOKUP(Table2[[#This Row], [Author]],People!A:B,2,0)</f>
        <v>#VALUE!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e">
        <f>VLOOKUP(Table2[[#This Row], [Author]],People!A:B,2,0)</f>
        <v>#VALUE!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e">
        <f>VLOOKUP(Table2[[#This Row], [Author]],People!A:B,2,0)</f>
        <v>#VALUE!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e">
        <f>VLOOKUP(Table2[[#This Row], [Author]],People!A:B,2,0)</f>
        <v>#VALUE!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e">
        <f>VLOOKUP(Table2[[#This Row], [Author]],People!A:B,2,0)</f>
        <v>#VALUE!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e">
        <f>VLOOKUP(Table2[[#This Row], [Author]],People!A:B,2,0)</f>
        <v>#VALUE!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e">
        <f>VLOOKUP(Table2[[#This Row], [Author]],People!A:B,2,0)</f>
        <v>#VALUE!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e">
        <f>VLOOKUP(Table2[[#This Row], [Author]],People!A:B,2,0)</f>
        <v>#VALUE!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e">
        <f>VLOOKUP(Table2[[#This Row], [Author]],People!A:B,2,0)</f>
        <v>#VALUE!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e">
        <f>VLOOKUP(Table2[[#This Row], [Author]],People!A:B,2,0)</f>
        <v>#VALUE!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e">
        <f>VLOOKUP(Table2[[#This Row], [Author]],People!A:B,2,0)</f>
        <v>#VALUE!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e">
        <f>VLOOKUP(Table2[[#This Row], [Author]],People!A:B,2,0)</f>
        <v>#VALUE!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e">
        <f>VLOOKUP(Table2[[#This Row], [Author]],People!A:B,2,0)</f>
        <v>#VALUE!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e">
        <f>VLOOKUP(Table2[[#This Row], [Author]],People!A:B,2,0)</f>
        <v>#VALUE!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e">
        <f>VLOOKUP(Table2[[#This Row], [Author]],People!A:B,2,0)</f>
        <v>#VALUE!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e">
        <f>VLOOKUP(Table2[[#This Row], [Author]],People!A:B,2,0)</f>
        <v>#VALUE!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e">
        <f>VLOOKUP(Table2[[#This Row], [Author]],People!A:B,2,0)</f>
        <v>#VALUE!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e">
        <f>VLOOKUP(Table2[[#This Row], [Author]],People!A:B,2,0)</f>
        <v>#VALUE!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e">
        <f>VLOOKUP(Table2[[#This Row], [Author]],People!A:B,2,0)</f>
        <v>#VALUE!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e">
        <f>VLOOKUP(Table2[[#This Row], [Author]],People!A:B,2,0)</f>
        <v>#VALUE!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e">
        <f>VLOOKUP(Table2[[#This Row], [Author]],People!A:B,2,0)</f>
        <v>#VALUE!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e">
        <f>VLOOKUP(Table2[[#This Row], [Author]],People!A:B,2,0)</f>
        <v>#VALUE!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e">
        <f>VLOOKUP(Table2[[#This Row], [Author]],People!A:B,2,0)</f>
        <v>#VALUE!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e">
        <f>VLOOKUP(Table2[[#This Row], [Author]],People!A:B,2,0)</f>
        <v>#VALUE!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e">
        <f>VLOOKUP(Table2[[#This Row], [Author]],People!A:B,2,0)</f>
        <v>#VALUE!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e">
        <f>VLOOKUP(Table2[[#This Row], [Author]],People!A:B,2,0)</f>
        <v>#VALUE!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e">
        <f>VLOOKUP(Table2[[#This Row], [Author]],People!A:B,2,0)</f>
        <v>#VALUE!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e">
        <f>VLOOKUP(Table2[[#This Row], [Author]],People!A:B,2,0)</f>
        <v>#VALUE!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e">
        <f>VLOOKUP(Table2[[#This Row], [Author]],People!A:B,2,0)</f>
        <v>#VALUE!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e">
        <f>VLOOKUP(Table2[[#This Row], [Author]],People!A:B,2,0)</f>
        <v>#VALUE!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e">
        <f>VLOOKUP(Table2[[#This Row], [Author]],People!A:B,2,0)</f>
        <v>#VALUE!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e">
        <f>VLOOKUP(Table2[[#This Row], [Author]],People!A:B,2,0)</f>
        <v>#VALUE!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e">
        <f>VLOOKUP(Table2[[#This Row], [Author]],People!A:B,2,0)</f>
        <v>#VALUE!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e">
        <f>VLOOKUP(Table2[[#This Row], [Author]],People!A:B,2,0)</f>
        <v>#VALUE!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e">
        <f>VLOOKUP(Table2[[#This Row], [Author]],People!A:B,2,0)</f>
        <v>#VALUE!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e">
        <f>VLOOKUP(Table2[[#This Row], [Author]],People!A:B,2,0)</f>
        <v>#VALUE!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e">
        <f>VLOOKUP(Table2[[#This Row], [Author]],People!A:B,2,0)</f>
        <v>#VALUE!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e">
        <f>VLOOKUP(Table2[[#This Row], [Author]],People!A:B,2,0)</f>
        <v>#VALUE!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e">
        <f>VLOOKUP(Table2[[#This Row], [Author]],People!A:B,2,0)</f>
        <v>#VALUE!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e">
        <f>VLOOKUP(Table2[[#This Row], [Author]],People!A:B,2,0)</f>
        <v>#VALUE!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e">
        <f>VLOOKUP(Table2[[#This Row], [Author]],People!A:B,2,0)</f>
        <v>#VALUE!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e">
        <f>VLOOKUP(Table2[[#This Row], [Author]],People!A:B,2,0)</f>
        <v>#VALUE!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e">
        <f>VLOOKUP(Table2[[#This Row], [Author]],People!A:B,2,0)</f>
        <v>#VALUE!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e">
        <f>VLOOKUP(Table2[[#This Row], [Author]],People!A:B,2,0)</f>
        <v>#VALUE!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e">
        <f>VLOOKUP(Table2[[#This Row], [Author]],People!A:B,2,0)</f>
        <v>#VALUE!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e">
        <f>VLOOKUP(Table2[[#This Row], [Author]],People!A:B,2,0)</f>
        <v>#VALUE!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e">
        <f>VLOOKUP(Table2[[#This Row], [Author]],People!A:B,2,0)</f>
        <v>#VALUE!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e">
        <f>VLOOKUP(Table2[[#This Row], [Author]],People!A:B,2,0)</f>
        <v>#VALUE!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e">
        <f>VLOOKUP(Table2[[#This Row], [Author]],People!A:B,2,0)</f>
        <v>#VALUE!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e">
        <f>VLOOKUP(Table2[[#This Row], [Author]],People!A:B,2,0)</f>
        <v>#VALUE!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e">
        <f>VLOOKUP(Table2[[#This Row], [Author]],People!A:B,2,0)</f>
        <v>#VALUE!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e">
        <f>VLOOKUP(Table2[[#This Row], [Author]],People!A:B,2,0)</f>
        <v>#VALUE!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e">
        <f>VLOOKUP(Table2[[#This Row], [Author]],People!A:B,2,0)</f>
        <v>#VALUE!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e">
        <f>VLOOKUP(Table2[[#This Row], [Author]],People!A:B,2,0)</f>
        <v>#VALUE!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e">
        <f>VLOOKUP(Table2[[#This Row], [Author]],People!A:B,2,0)</f>
        <v>#VALUE!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e">
        <f>VLOOKUP(Table2[[#This Row], [Author]],People!A:B,2,0)</f>
        <v>#VALUE!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e">
        <f>VLOOKUP(Table2[[#This Row], [Author]],People!A:B,2,0)</f>
        <v>#VALUE!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e">
        <f>VLOOKUP(Table2[[#This Row], [Author]],People!A:B,2,0)</f>
        <v>#VALUE!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e">
        <f>VLOOKUP(Table2[[#This Row], [Author]],People!A:B,2,0)</f>
        <v>#VALUE!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e">
        <f>VLOOKUP(Table2[[#This Row], [Author]],People!A:B,2,0)</f>
        <v>#VALUE!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e">
        <f>VLOOKUP(Table2[[#This Row], [Author]],People!A:B,2,0)</f>
        <v>#VALUE!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e">
        <f>VLOOKUP(Table2[[#This Row], [Author]],People!A:B,2,0)</f>
        <v>#VALUE!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e">
        <f>VLOOKUP(Table2[[#This Row], [Author]],People!A:B,2,0)</f>
        <v>#VALUE!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e">
        <f>VLOOKUP(Table2[[#This Row], [Author]],People!A:B,2,0)</f>
        <v>#VALUE!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e">
        <f>VLOOKUP(Table2[[#This Row], [Author]],People!A:B,2,0)</f>
        <v>#VALUE!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e">
        <f>VLOOKUP(Table2[[#This Row], [Author]],People!A:B,2,0)</f>
        <v>#VALUE!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e">
        <f>VLOOKUP(Table2[[#This Row], [Author]],People!A:B,2,0)</f>
        <v>#VALUE!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e">
        <f>VLOOKUP(Table2[[#This Row], [Author]],People!A:B,2,0)</f>
        <v>#VALUE!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e">
        <f>VLOOKUP(Table2[[#This Row], [Author]],People!A:B,2,0)</f>
        <v>#VALUE!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e">
        <f>VLOOKUP(Table2[[#This Row], [Author]],People!A:B,2,0)</f>
        <v>#VALUE!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e">
        <f>VLOOKUP(Table2[[#This Row], [Author]],People!A:B,2,0)</f>
        <v>#VALUE!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e">
        <f>VLOOKUP(Table2[[#This Row], [Author]],People!A:B,2,0)</f>
        <v>#VALUE!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e">
        <f>VLOOKUP(Table2[[#This Row], [Author]],People!A:B,2,0)</f>
        <v>#VALUE!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e">
        <f>VLOOKUP(Table2[[#This Row], [Author]],People!A:B,2,0)</f>
        <v>#VALUE!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e">
        <f>VLOOKUP(Table2[[#This Row], [Author]],People!A:B,2,0)</f>
        <v>#VALUE!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e">
        <f>VLOOKUP(Table2[[#This Row], [Author]],People!A:B,2,0)</f>
        <v>#VALUE!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e">
        <f>VLOOKUP(Table2[[#This Row], [Author]],People!A:B,2,0)</f>
        <v>#VALUE!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e">
        <f>VLOOKUP(Table2[[#This Row], [Author]],People!A:B,2,0)</f>
        <v>#VALUE!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e">
        <f>VLOOKUP(Table2[[#This Row], [Author]],People!A:B,2,0)</f>
        <v>#VALUE!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e">
        <f>VLOOKUP(Table2[[#This Row], [Author]],People!A:B,2,0)</f>
        <v>#VALUE!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e">
        <f>VLOOKUP(Table2[[#This Row], [Author]],People!A:B,2,0)</f>
        <v>#VALUE!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e">
        <f>VLOOKUP(Table2[[#This Row], [Author]],People!A:B,2,0)</f>
        <v>#VALUE!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e">
        <f>VLOOKUP(Table2[[#This Row], [Author]],People!A:B,2,0)</f>
        <v>#VALUE!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e">
        <f>VLOOKUP(Table2[[#This Row], [Author]],People!A:B,2,0)</f>
        <v>#VALUE!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e">
        <f>VLOOKUP(Table2[[#This Row], [Author]],People!A:B,2,0)</f>
        <v>#VALUE!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e">
        <f>VLOOKUP(Table2[[#This Row], [Author]],People!A:B,2,0)</f>
        <v>#VALUE!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e">
        <f>VLOOKUP(Table2[[#This Row], [Author]],People!A:B,2,0)</f>
        <v>#VALUE!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e">
        <f>VLOOKUP(Table2[[#This Row], [Author]],People!A:B,2,0)</f>
        <v>#VALUE!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e">
        <f>VLOOKUP(Table2[[#This Row], [Author]],People!A:B,2,0)</f>
        <v>#VALUE!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e">
        <f>VLOOKUP(Table2[[#This Row], [Author]],People!A:B,2,0)</f>
        <v>#VALUE!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e">
        <f>VLOOKUP(Table2[[#This Row], [Author]],People!A:B,2,0)</f>
        <v>#VALUE!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e">
        <f>VLOOKUP(Table2[[#This Row], [Author]],People!A:B,2,0)</f>
        <v>#VALUE!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e">
        <f>VLOOKUP(Table2[[#This Row], [Author]],People!A:B,2,0)</f>
        <v>#VALUE!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e">
        <f>VLOOKUP(Table2[[#This Row], [Author]],People!A:B,2,0)</f>
        <v>#VALUE!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e">
        <f>VLOOKUP(Table2[[#This Row], [Author]],People!A:B,2,0)</f>
        <v>#VALUE!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e">
        <f>VLOOKUP(Table2[[#This Row], [Author]],People!A:B,2,0)</f>
        <v>#VALUE!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e">
        <f>VLOOKUP(Table2[[#This Row], [Author]],People!A:B,2,0)</f>
        <v>#VALUE!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e">
        <f>VLOOKUP(Table2[[#This Row], [Author]],People!A:B,2,0)</f>
        <v>#VALUE!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e">
        <f>VLOOKUP(Table2[[#This Row], [Author]],People!A:B,2,0)</f>
        <v>#VALUE!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e">
        <f>VLOOKUP(Table2[[#This Row], [Author]],People!A:B,2,0)</f>
        <v>#VALUE!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e">
        <f>VLOOKUP(Table2[[#This Row], [Author]],People!A:B,2,0)</f>
        <v>#VALUE!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e">
        <f>VLOOKUP(Table2[[#This Row], [Author]],People!A:B,2,0)</f>
        <v>#VALUE!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e">
        <f>VLOOKUP(Table2[[#This Row], [Author]],People!A:B,2,0)</f>
        <v>#VALUE!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e">
        <f>VLOOKUP(Table2[[#This Row], [Author]],People!A:B,2,0)</f>
        <v>#VALUE!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e">
        <f>VLOOKUP(Table2[[#This Row], [Author]],People!A:B,2,0)</f>
        <v>#VALUE!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e">
        <f>VLOOKUP(Table2[[#This Row], [Author]],People!A:B,2,0)</f>
        <v>#VALUE!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e">
        <f>VLOOKUP(Table2[[#This Row], [Author]],People!A:B,2,0)</f>
        <v>#VALUE!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e">
        <f>VLOOKUP(Table2[[#This Row], [Author]],People!A:B,2,0)</f>
        <v>#VALUE!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e">
        <f>VLOOKUP(Table2[[#This Row], [Author]],People!A:B,2,0)</f>
        <v>#VALUE!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e">
        <f>VLOOKUP(Table2[[#This Row], [Author]],People!A:B,2,0)</f>
        <v>#VALUE!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e">
        <f>VLOOKUP(Table2[[#This Row], [Author]],People!A:B,2,0)</f>
        <v>#VALUE!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e">
        <f>VLOOKUP(Table2[[#This Row], [Author]],People!A:B,2,0)</f>
        <v>#VALUE!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e">
        <f>VLOOKUP(Table2[[#This Row], [Author]],People!A:B,2,0)</f>
        <v>#VALUE!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e">
        <f>VLOOKUP(Table2[[#This Row], [Author]],People!A:B,2,0)</f>
        <v>#VALUE!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e">
        <f>VLOOKUP(Table2[[#This Row], [Author]],People!A:B,2,0)</f>
        <v>#VALUE!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e">
        <f>VLOOKUP(Table2[[#This Row], [Author]],People!A:B,2,0)</f>
        <v>#VALUE!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e">
        <f>VLOOKUP(Table2[[#This Row], [Author]],People!A:B,2,0)</f>
        <v>#VALUE!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e">
        <f>VLOOKUP(Table2[[#This Row], [Author]],People!A:B,2,0)</f>
        <v>#VALUE!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e">
        <f>VLOOKUP(Table2[[#This Row], [Author]],People!A:B,2,0)</f>
        <v>#VALUE!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e">
        <f>VLOOKUP(Table2[[#This Row], [Author]],People!A:B,2,0)</f>
        <v>#VALUE!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e">
        <f>VLOOKUP(Table2[[#This Row], [Author]],People!A:B,2,0)</f>
        <v>#VALUE!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e">
        <f>VLOOKUP(Table2[[#This Row], [Author]],People!A:B,2,0)</f>
        <v>#VALUE!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e">
        <f>VLOOKUP(Table2[[#This Row], [Author]],People!A:B,2,0)</f>
        <v>#VALUE!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e">
        <f>VLOOKUP(Table2[[#This Row], [Author]],People!A:B,2,0)</f>
        <v>#VALUE!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e">
        <f>VLOOKUP(Table2[[#This Row], [Author]],People!A:B,2,0)</f>
        <v>#VALUE!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e">
        <f>VLOOKUP(Table2[[#This Row], [Author]],People!A:B,2,0)</f>
        <v>#VALUE!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e">
        <f>VLOOKUP(Table2[[#This Row], [Author]],People!A:B,2,0)</f>
        <v>#VALUE!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e">
        <f>VLOOKUP(Table2[[#This Row], [Author]],People!A:B,2,0)</f>
        <v>#VALUE!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e">
        <f>VLOOKUP(Table2[[#This Row], [Author]],People!A:B,2,0)</f>
        <v>#VALUE!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e">
        <f>VLOOKUP(Table2[[#This Row], [Author]],People!A:B,2,0)</f>
        <v>#VALUE!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e">
        <f>VLOOKUP(Table2[[#This Row], [Author]],People!A:B,2,0)</f>
        <v>#VALUE!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e">
        <f>VLOOKUP(Table2[[#This Row], [Author]],People!A:B,2,0)</f>
        <v>#VALUE!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e">
        <f>VLOOKUP(Table2[[#This Row], [Author]],People!A:B,2,0)</f>
        <v>#VALUE!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e">
        <f>VLOOKUP(Table2[[#This Row], [Author]],People!A:B,2,0)</f>
        <v>#VALUE!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e">
        <f>VLOOKUP(Table2[[#This Row], [Author]],People!A:B,2,0)</f>
        <v>#VALUE!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e">
        <f>VLOOKUP(Table2[[#This Row], [Author]],People!A:B,2,0)</f>
        <v>#VALUE!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e">
        <f>VLOOKUP(Table2[[#This Row], [Author]],People!A:B,2,0)</f>
        <v>#VALUE!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e">
        <f>VLOOKUP(Table2[[#This Row], [Author]],People!A:B,2,0)</f>
        <v>#VALUE!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e">
        <f>VLOOKUP(Table2[[#This Row], [Author]],People!A:B,2,0)</f>
        <v>#VALUE!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e">
        <f>VLOOKUP(Table2[[#This Row], [Author]],People!A:B,2,0)</f>
        <v>#VALUE!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e">
        <f>VLOOKUP(Table2[[#This Row], [Author]],People!A:B,2,0)</f>
        <v>#VALUE!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e">
        <f>VLOOKUP(Table2[[#This Row], [Author]],People!A:B,2,0)</f>
        <v>#VALUE!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e">
        <f>VLOOKUP(Table2[[#This Row], [Author]],People!A:B,2,0)</f>
        <v>#VALUE!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e">
        <f>VLOOKUP(Table2[[#This Row], [Author]],People!A:B,2,0)</f>
        <v>#VALUE!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e">
        <f>VLOOKUP(Table2[[#This Row], [Author]],People!A:B,2,0)</f>
        <v>#VALUE!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e">
        <f>VLOOKUP(Table2[[#This Row], [Author]],People!A:B,2,0)</f>
        <v>#VALUE!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e">
        <f>VLOOKUP(Table2[[#This Row], [Author]],People!A:B,2,0)</f>
        <v>#VALUE!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e">
        <f>VLOOKUP(Table2[[#This Row], [Author]],People!A:B,2,0)</f>
        <v>#VALUE!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e">
        <f>VLOOKUP(Table2[[#This Row], [Author]],People!A:B,2,0)</f>
        <v>#VALUE!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e">
        <f>VLOOKUP(Table2[[#This Row], [Author]],People!A:B,2,0)</f>
        <v>#VALUE!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e">
        <f>VLOOKUP(Table2[[#This Row], [Author]],People!A:B,2,0)</f>
        <v>#VALUE!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e">
        <f>VLOOKUP(Table2[[#This Row], [Author]],People!A:B,2,0)</f>
        <v>#VALUE!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e">
        <f>VLOOKUP(Table2[[#This Row], [Author]],People!A:B,2,0)</f>
        <v>#VALUE!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e">
        <f>VLOOKUP(Table2[[#This Row], [Author]],People!A:B,2,0)</f>
        <v>#VALUE!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e">
        <f>VLOOKUP(Table2[[#This Row], [Author]],People!A:B,2,0)</f>
        <v>#VALUE!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e">
        <f>VLOOKUP(Table2[[#This Row], [Author]],People!A:B,2,0)</f>
        <v>#VALUE!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e">
        <f>VLOOKUP(Table2[[#This Row], [Author]],People!A:B,2,0)</f>
        <v>#VALUE!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e">
        <f>VLOOKUP(Table2[[#This Row], [Author]],People!A:B,2,0)</f>
        <v>#VALUE!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e">
        <f>VLOOKUP(Table2[[#This Row], [Author]],People!A:B,2,0)</f>
        <v>#VALUE!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e">
        <f>VLOOKUP(Table2[[#This Row], [Author]],People!A:B,2,0)</f>
        <v>#VALUE!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e">
        <f>VLOOKUP(Table2[[#This Row], [Author]],People!A:B,2,0)</f>
        <v>#VALUE!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e">
        <f>VLOOKUP(Table2[[#This Row], [Author]],People!A:B,2,0)</f>
        <v>#VALUE!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e">
        <f>VLOOKUP(Table2[[#This Row], [Author]],People!A:B,2,0)</f>
        <v>#VALUE!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e">
        <f>VLOOKUP(Table2[[#This Row], [Author]],People!A:B,2,0)</f>
        <v>#VALUE!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e">
        <f>VLOOKUP(Table2[[#This Row], [Author]],People!A:B,2,0)</f>
        <v>#VALUE!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e">
        <f>VLOOKUP(Table2[[#This Row], [Author]],People!A:B,2,0)</f>
        <v>#VALUE!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e">
        <f>VLOOKUP(Table2[[#This Row], [Author]],People!A:B,2,0)</f>
        <v>#VALUE!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e">
        <f>VLOOKUP(Table2[[#This Row], [Author]],People!A:B,2,0)</f>
        <v>#VALUE!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e">
        <f>VLOOKUP(Table2[[#This Row], [Author]],People!A:B,2,0)</f>
        <v>#VALUE!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e">
        <f>VLOOKUP(Table2[[#This Row], [Author]],People!A:B,2,0)</f>
        <v>#VALUE!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e">
        <f>VLOOKUP(Table2[[#This Row], [Author]],People!A:B,2,0)</f>
        <v>#VALUE!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e">
        <f>VLOOKUP(Table2[[#This Row], [Author]],People!A:B,2,0)</f>
        <v>#VALUE!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e">
        <f>VLOOKUP(Table2[[#This Row], [Author]],People!A:B,2,0)</f>
        <v>#VALUE!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e">
        <f>VLOOKUP(Table2[[#This Row], [Author]],People!A:B,2,0)</f>
        <v>#VALUE!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e">
        <f>VLOOKUP(Table2[[#This Row], [Author]],People!A:B,2,0)</f>
        <v>#VALUE!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e">
        <f>VLOOKUP(Table2[[#This Row], [Author]],People!A:B,2,0)</f>
        <v>#VALUE!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e">
        <f>VLOOKUP(Table2[[#This Row], [Author]],People!A:B,2,0)</f>
        <v>#VALUE!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e">
        <f>VLOOKUP(Table2[[#This Row], [Author]],People!A:B,2,0)</f>
        <v>#VALUE!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e">
        <f>VLOOKUP(Table2[[#This Row], [Author]],People!A:B,2,0)</f>
        <v>#VALUE!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e">
        <f>VLOOKUP(Table2[[#This Row], [Author]],People!A:B,2,0)</f>
        <v>#VALUE!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e">
        <f>VLOOKUP(Table2[[#This Row], [Author]],People!A:B,2,0)</f>
        <v>#VALUE!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e">
        <f>VLOOKUP(Table2[[#This Row], [Author]],People!A:B,2,0)</f>
        <v>#VALUE!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e">
        <f>VLOOKUP(Table2[[#This Row], [Author]],People!A:B,2,0)</f>
        <v>#VALUE!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e">
        <f>VLOOKUP(Table2[[#This Row], [Author]],People!A:B,2,0)</f>
        <v>#VALUE!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e">
        <f>VLOOKUP(Table2[[#This Row], [Author]],People!A:B,2,0)</f>
        <v>#VALUE!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e">
        <f>VLOOKUP(Table2[[#This Row], [Author]],People!A:B,2,0)</f>
        <v>#VALUE!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e">
        <f>VLOOKUP(Table2[[#This Row], [Author]],People!A:B,2,0)</f>
        <v>#VALUE!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e">
        <f>VLOOKUP(Table2[[#This Row], [Author]],People!A:B,2,0)</f>
        <v>#VALUE!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e">
        <f>VLOOKUP(Table2[[#This Row], [Author]],People!A:B,2,0)</f>
        <v>#VALUE!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e">
        <f>VLOOKUP(Table2[[#This Row], [Author]],People!A:B,2,0)</f>
        <v>#VALUE!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e">
        <f>VLOOKUP(Table2[[#This Row], [Author]],People!A:B,2,0)</f>
        <v>#VALUE!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e">
        <f>VLOOKUP(Table2[[#This Row], [Author]],People!A:B,2,0)</f>
        <v>#VALUE!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e">
        <f>VLOOKUP(Table2[[#This Row], [Author]],People!A:B,2,0)</f>
        <v>#VALUE!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e">
        <f>VLOOKUP(Table2[[#This Row], [Author]],People!A:B,2,0)</f>
        <v>#VALUE!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e">
        <f>VLOOKUP(Table2[[#This Row], [Author]],People!A:B,2,0)</f>
        <v>#VALUE!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e">
        <f>VLOOKUP(Table2[[#This Row], [Author]],People!A:B,2,0)</f>
        <v>#VALUE!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e">
        <f>VLOOKUP(Table2[[#This Row], [Author]],People!A:B,2,0)</f>
        <v>#VALUE!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e">
        <f>VLOOKUP(Table2[[#This Row], [Author]],People!A:B,2,0)</f>
        <v>#VALUE!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e">
        <f>VLOOKUP(Table2[[#This Row], [Author]],People!A:B,2,0)</f>
        <v>#VALUE!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#VALUE!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#VALUE!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#VALUE!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#VALUE!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#VALUE!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#VALUE!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#VALUE!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#VALUE!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#VALUE!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#VALUE!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#VALUE!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#VALUE!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#VALUE!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#VALUE!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#VALUE!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#VALUE!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#VALUE!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#VALUE!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#VALUE!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#VALUE!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#VALUE!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#VALUE!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#VALUE!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#VALUE!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#VALUE!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#VALUE!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#VALUE!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#VALUE!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#VALUE!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#VALUE!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#VALUE!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#VALUE!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#VALUE!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#VALUE!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#VALUE!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#VALUE!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#VALUE!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#VALUE!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#VALUE!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#VALUE!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#VALUE!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#VALUE!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#VALUE!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#VALUE!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#VALUE!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#VALUE!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#VALUE!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#VALUE!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#VALUE!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#VALUE!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#VALUE!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#VALUE!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#VALUE!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#VALUE!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#VALUE!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#VALUE!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#VALUE!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#VALUE!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#VALUE!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#VALUE!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#VALUE!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#VALUE!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#VALUE!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#VALUE!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#VALUE!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#VALUE!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#VALUE!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#VALUE!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#VALUE!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#VALUE!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#VALUE!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#VALUE!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#VALUE!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#VALUE!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#VALUE!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#VALUE!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#VALUE!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#VALUE!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#VALUE!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#VALUE!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#VALUE!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#VALUE!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#VALUE!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#VALUE!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#VALUE!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#VALUE!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#VALUE!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#VALUE!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#VALUE!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#VALUE!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#VALUE!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#VALUE!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#VALUE!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#VALUE!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#VALUE!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#VALUE!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#VALUE!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#VALUE!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#VALUE!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#VALUE!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#VALUE!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#VALUE!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#VALUE!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#VALUE!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#VALUE!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#VALUE!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#VALUE!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#VALUE!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#VALUE!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#VALUE!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#VALUE!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#VALUE!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#VALUE!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#VALUE!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#VALUE!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#VALUE!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#VALUE!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#VALUE!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#VALUE!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#VALUE!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#VALUE!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#VALUE!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#VALUE!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#VALUE!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#VALUE!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#VALUE!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#VALUE!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#VALUE!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#VALUE!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#VALUE!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#VALUE!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#VALUE!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#VALUE!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#VALUE!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#VALUE!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#VALUE!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#VALUE!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#VALUE!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#VALUE!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#VALUE!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#VALUE!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#VALUE!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#VALUE!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#VALUE!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#VALUE!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#VALUE!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#VALUE!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#VALUE!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#VALUE!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#VALUE!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#VALUE!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#VALUE!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#VALUE!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#VALUE!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#VALUE!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#VALUE!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#VALUE!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#VALUE!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#VALUE!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#VALUE!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#VALUE!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#VALUE!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#VALUE!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#VALUE!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#VALUE!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#VALUE!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#VALUE!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#VALUE!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#VALUE!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#VALUE!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#VALUE!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#VALUE!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#VALUE!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#VALUE!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#VALUE!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#VALUE!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#VALUE!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#VALUE!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#VALUE!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#VALUE!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#VALUE!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#VALUE!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#VALUE!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#VALUE!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#VALUE!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#VALUE!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#VALUE!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#VALUE!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#VALUE!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#VALUE!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#VALUE!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#VALUE!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#VALUE!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#VALUE!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#VALUE!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#VALUE!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#VALUE!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#VALUE!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#VALUE!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#VALUE!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#VALUE!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#VALUE!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e">
        <f>VLOOKUP(Table2[[#This Row], [Author]],People!A:B,2,0)</f>
        <v>#VALUE!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e">
        <f>VLOOKUP(Table2[[#This Row], [Author]],People!A:B,2,0)</f>
        <v>#VALUE!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e">
        <f>VLOOKUP(Table2[[#This Row], [Author]],People!A:B,2,0)</f>
        <v>#VALUE!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e">
        <f>VLOOKUP(Table2[[#This Row], [Author]],People!A:B,2,0)</f>
        <v>#VALUE!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e">
        <f>VLOOKUP(Table2[[#This Row], [Author]],People!A:B,2,0)</f>
        <v>#VALUE!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e">
        <f>VLOOKUP(Table2[[#This Row], [Author]],People!A:B,2,0)</f>
        <v>#VALUE!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e">
        <f>VLOOKUP(Table2[[#This Row], [Author]],People!A:B,2,0)</f>
        <v>#VALUE!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e">
        <f>VLOOKUP(Table2[[#This Row], [Author]],People!A:B,2,0)</f>
        <v>#VALUE!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e">
        <f>VLOOKUP(Table2[[#This Row], [Author]],People!A:B,2,0)</f>
        <v>#VALUE!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e">
        <f>VLOOKUP(Table2[[#This Row], [Author]],People!A:B,2,0)</f>
        <v>#VALUE!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e">
        <f>VLOOKUP(Table2[[#This Row], [Author]],People!A:B,2,0)</f>
        <v>#VALUE!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e">
        <f>VLOOKUP(Table2[[#This Row], [Author]],People!A:B,2,0)</f>
        <v>#VALUE!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e">
        <f>VLOOKUP(Table2[[#This Row], [Author]],People!A:B,2,0)</f>
        <v>#VALUE!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e">
        <f>VLOOKUP(Table2[[#This Row], [Author]],People!A:B,2,0)</f>
        <v>#VALUE!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e">
        <f>VLOOKUP(Table2[[#This Row], [Author]],People!A:B,2,0)</f>
        <v>#VALUE!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e">
        <f>VLOOKUP(Table2[[#This Row], [Author]],People!A:B,2,0)</f>
        <v>#VALUE!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e">
        <f>VLOOKUP(Table2[[#This Row], [Author]],People!A:B,2,0)</f>
        <v>#VALUE!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e">
        <f>VLOOKUP(Table2[[#This Row], [Author]],People!A:B,2,0)</f>
        <v>#VALUE!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e">
        <f>VLOOKUP(Table2[[#This Row], [Author]],People!A:B,2,0)</f>
        <v>#VALUE!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e">
        <f>VLOOKUP(Table2[[#This Row], [Author]],People!A:B,2,0)</f>
        <v>#VALUE!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e">
        <f>VLOOKUP(Table2[[#This Row], [Author]],People!A:B,2,0)</f>
        <v>#VALUE!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e">
        <f>VLOOKUP(Table2[[#This Row], [Author]],People!A:B,2,0)</f>
        <v>#VALUE!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e">
        <f>VLOOKUP(Table2[[#This Row], [Author]],People!A:B,2,0)</f>
        <v>#VALUE!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e">
        <f>VLOOKUP(Table2[[#This Row], [Author]],People!A:B,2,0)</f>
        <v>#VALUE!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e">
        <f>VLOOKUP(Table2[[#This Row], [Author]],People!A:B,2,0)</f>
        <v>#VALUE!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e">
        <f>VLOOKUP(Table2[[#This Row], [Author]],People!A:B,2,0)</f>
        <v>#VALUE!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#VALUE!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/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/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/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/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/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/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/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/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/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/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/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/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/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/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/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/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/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/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/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/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/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/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/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/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/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/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/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/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/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/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/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/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/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/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/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/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/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/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/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/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/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/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/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/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/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/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/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/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/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/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/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/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/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/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/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/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/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/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/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/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/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/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/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/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/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/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/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/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/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/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/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/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/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/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/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/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/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/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/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/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/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/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/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/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/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/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/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/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/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/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/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/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/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/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/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/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/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/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/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/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/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/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/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/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/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/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/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/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/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/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/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/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/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/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/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/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/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/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/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/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/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/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/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/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/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/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/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/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/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/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/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/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/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/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/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/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/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/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/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/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/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/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/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/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/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/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/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/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/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/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/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/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/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/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/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/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/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/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/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/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/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/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/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/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/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/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/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/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/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/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/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/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/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/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/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/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/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/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/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/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/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/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/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/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/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/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/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/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/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/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/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/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/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/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/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/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/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/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/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/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/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/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/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/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/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/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/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/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/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/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/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/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/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/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/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/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/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/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/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/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/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/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/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/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/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/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/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/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/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/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/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/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/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/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/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/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/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/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/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/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/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/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/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/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/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/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/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/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/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/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87"/>
  <sheetViews>
    <sheetView topLeftCell="A244" workbookViewId="0">
      <selection activeCell="A288" sqref="A288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  <row r="287" spans="1:2" x14ac:dyDescent="0.25">
      <c r="A287" s="47" t="s">
        <v>7908</v>
      </c>
      <c r="B287" s="3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pvt</vt:lpstr>
      <vt:lpstr>STUCT1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2025-12-18T23:34:32Z</dcterms:modified>
</cp:coreProperties>
</file>