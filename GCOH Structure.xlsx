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42368B6-1576-422D-8192-4850093D150F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0" sheetId="37" r:id="rId4"/>
    <sheet name="Sheet9" sheetId="36" r:id="rId5"/>
    <sheet name="Sheet8" sheetId="35" r:id="rId6"/>
    <sheet name="Sheet7" sheetId="34" r:id="rId7"/>
    <sheet name="Sheet6" sheetId="33" r:id="rId8"/>
    <sheet name="Sheet5" sheetId="32" r:id="rId9"/>
    <sheet name="Sheet3" sheetId="30" r:id="rId10"/>
    <sheet name="Sheet4" sheetId="31" r:id="rId11"/>
    <sheet name="Sheet2" sheetId="29" r:id="rId12"/>
    <sheet name="Sheet1" sheetId="28" r:id="rId13"/>
    <sheet name="People" sheetId="7" r:id="rId14"/>
    <sheet name="2023" sheetId="8" r:id="rId15"/>
    <sheet name="2024" sheetId="19" r:id="rId16"/>
    <sheet name="old" sheetId="27" state="hidden" r:id="rId17"/>
    <sheet name="Sectors" sheetId="9" r:id="rId18"/>
    <sheet name="KPI" sheetId="12" r:id="rId19"/>
  </sheets>
  <definedNames>
    <definedName name="_xlnm._FilterDatabase" localSheetId="14">'2023'!$A$1:$M$1</definedName>
    <definedName name="_xlnm._FilterDatabase" localSheetId="13">People!$A$1:$B$1</definedName>
    <definedName name="_xlnm._FilterDatabase" localSheetId="9" hidden="1">Sheet3!$A$1:$M$1</definedName>
    <definedName name="_xlnm._FilterDatabase" localSheetId="10" hidden="1">Sheet4!$H$1:$I$71</definedName>
    <definedName name="_xlnm._FilterDatabase" localSheetId="2">STUCT1!#REF!</definedName>
  </definedNames>
  <calcPr calcId="191029"/>
  <pivotCaches>
    <pivotCache cacheId="0" r:id="rId2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259" i="1" l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A4156" i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038" i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A3967" i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H4037" i="1"/>
  <c r="J4037" i="1"/>
  <c r="D118" i="34"/>
  <c r="D117" i="34"/>
  <c r="D116" i="34"/>
  <c r="D115" i="34"/>
  <c r="D114" i="34"/>
  <c r="D113" i="34"/>
  <c r="D112" i="34"/>
  <c r="D111" i="34"/>
  <c r="D110" i="34"/>
  <c r="D109" i="34"/>
  <c r="D108" i="34"/>
  <c r="D107" i="34"/>
  <c r="D106" i="34"/>
  <c r="D105" i="34"/>
  <c r="D104" i="34"/>
  <c r="D103" i="34"/>
  <c r="D102" i="34"/>
  <c r="D101" i="34"/>
  <c r="D100" i="34"/>
  <c r="D99" i="34"/>
  <c r="D98" i="34"/>
  <c r="D97" i="34"/>
  <c r="D96" i="34"/>
  <c r="D95" i="34"/>
  <c r="D94" i="34"/>
  <c r="D93" i="34"/>
  <c r="D92" i="34"/>
  <c r="D91" i="34"/>
  <c r="D90" i="34"/>
  <c r="D89" i="34"/>
  <c r="D88" i="34"/>
  <c r="D87" i="34"/>
  <c r="D86" i="34"/>
  <c r="D85" i="34"/>
  <c r="D84" i="34"/>
  <c r="D83" i="34"/>
  <c r="D82" i="34"/>
  <c r="D81" i="34"/>
  <c r="D80" i="34"/>
  <c r="D79" i="34"/>
  <c r="D78" i="34"/>
  <c r="D77" i="34"/>
  <c r="D76" i="34"/>
  <c r="D75" i="34"/>
  <c r="D74" i="34"/>
  <c r="D73" i="34"/>
  <c r="D72" i="34"/>
  <c r="D71" i="34"/>
  <c r="D70" i="34"/>
  <c r="D69" i="34"/>
  <c r="D68" i="34"/>
  <c r="D67" i="34"/>
  <c r="D66" i="34"/>
  <c r="D65" i="34"/>
  <c r="D64" i="34"/>
  <c r="D63" i="34"/>
  <c r="D62" i="34"/>
  <c r="D61" i="34"/>
  <c r="D60" i="34"/>
  <c r="D59" i="34"/>
  <c r="D58" i="34"/>
  <c r="D57" i="34"/>
  <c r="D56" i="34"/>
  <c r="D55" i="34"/>
  <c r="D54" i="34"/>
  <c r="D53" i="34"/>
  <c r="D52" i="34"/>
  <c r="D51" i="34"/>
  <c r="D50" i="34"/>
  <c r="D49" i="34"/>
  <c r="D48" i="34"/>
  <c r="D47" i="34"/>
  <c r="D46" i="34"/>
  <c r="D45" i="34"/>
  <c r="D44" i="34"/>
  <c r="D43" i="34"/>
  <c r="D42" i="34"/>
  <c r="D41" i="34"/>
  <c r="D40" i="34"/>
  <c r="D39" i="34"/>
  <c r="D38" i="34"/>
  <c r="D37" i="34"/>
  <c r="D36" i="34"/>
  <c r="D35" i="34"/>
  <c r="D34" i="34"/>
  <c r="D33" i="34"/>
  <c r="D32" i="34"/>
  <c r="D31" i="34"/>
  <c r="D30" i="34"/>
  <c r="D29" i="34"/>
  <c r="D28" i="34"/>
  <c r="D27" i="34"/>
  <c r="D26" i="34"/>
  <c r="D25" i="34"/>
  <c r="D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9" i="34"/>
  <c r="D8" i="34"/>
  <c r="D7" i="34"/>
  <c r="D6" i="34"/>
  <c r="D5" i="34"/>
  <c r="D4" i="34"/>
  <c r="D3" i="34"/>
  <c r="D2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C233" i="33"/>
  <c r="C232" i="33"/>
  <c r="C231" i="33"/>
  <c r="C230" i="33"/>
  <c r="C229" i="33"/>
  <c r="C228" i="33"/>
  <c r="C227" i="33"/>
  <c r="C226" i="33"/>
  <c r="C225" i="33"/>
  <c r="C224" i="33"/>
  <c r="C223" i="33"/>
  <c r="C222" i="33"/>
  <c r="C221" i="33"/>
  <c r="C220" i="33"/>
  <c r="C219" i="33"/>
  <c r="C218" i="33"/>
  <c r="C217" i="33"/>
  <c r="C216" i="33"/>
  <c r="C215" i="33"/>
  <c r="C214" i="33"/>
  <c r="C213" i="33"/>
  <c r="C212" i="33"/>
  <c r="C211" i="33"/>
  <c r="C210" i="33"/>
  <c r="C209" i="33"/>
  <c r="C208" i="33"/>
  <c r="C207" i="33"/>
  <c r="C206" i="33"/>
  <c r="C205" i="33"/>
  <c r="C204" i="33"/>
  <c r="C203" i="33"/>
  <c r="C202" i="33"/>
  <c r="C201" i="33"/>
  <c r="C200" i="33"/>
  <c r="C199" i="33"/>
  <c r="C198" i="33"/>
  <c r="C197" i="33"/>
  <c r="C196" i="33"/>
  <c r="C195" i="33"/>
  <c r="C194" i="33"/>
  <c r="C193" i="33"/>
  <c r="C192" i="33"/>
  <c r="C191" i="33"/>
  <c r="C190" i="33"/>
  <c r="C189" i="33"/>
  <c r="C188" i="33"/>
  <c r="C187" i="33"/>
  <c r="C186" i="33"/>
  <c r="C185" i="33"/>
  <c r="C184" i="33"/>
  <c r="C183" i="33"/>
  <c r="C182" i="33"/>
  <c r="C181" i="33"/>
  <c r="C180" i="33"/>
  <c r="C179" i="33"/>
  <c r="C178" i="33"/>
  <c r="C177" i="33"/>
  <c r="C176" i="33"/>
  <c r="C175" i="33"/>
  <c r="C174" i="33"/>
  <c r="C173" i="33"/>
  <c r="C172" i="33"/>
  <c r="C171" i="33"/>
  <c r="C170" i="33"/>
  <c r="C169" i="33"/>
  <c r="C168" i="33"/>
  <c r="C167" i="33"/>
  <c r="C166" i="33"/>
  <c r="C165" i="33"/>
  <c r="C164" i="33"/>
  <c r="C163" i="33"/>
  <c r="C162" i="33"/>
  <c r="C161" i="33"/>
  <c r="C160" i="33"/>
  <c r="C159" i="33"/>
  <c r="C158" i="33"/>
  <c r="C157" i="33"/>
  <c r="C156" i="33"/>
  <c r="C155" i="33"/>
  <c r="C154" i="33"/>
  <c r="C153" i="33"/>
  <c r="C152" i="33"/>
  <c r="C151" i="33"/>
  <c r="C150" i="33"/>
  <c r="C149" i="33"/>
  <c r="C148" i="33"/>
  <c r="C147" i="33"/>
  <c r="C146" i="33"/>
  <c r="C145" i="33"/>
  <c r="C144" i="33"/>
  <c r="C143" i="33"/>
  <c r="C142" i="33"/>
  <c r="C141" i="33"/>
  <c r="C140" i="33"/>
  <c r="C139" i="33"/>
  <c r="C138" i="33"/>
  <c r="C137" i="33"/>
  <c r="C136" i="33"/>
  <c r="C135" i="33"/>
  <c r="C134" i="33"/>
  <c r="C133" i="33"/>
  <c r="C132" i="33"/>
  <c r="C131" i="33"/>
  <c r="C130" i="33"/>
  <c r="C129" i="33"/>
  <c r="C128" i="33"/>
  <c r="C127" i="33"/>
  <c r="C126" i="33"/>
  <c r="C125" i="33"/>
  <c r="C124" i="33"/>
  <c r="C123" i="33"/>
  <c r="C122" i="33"/>
  <c r="C121" i="33"/>
  <c r="C120" i="33"/>
  <c r="C119" i="33"/>
  <c r="C118" i="33"/>
  <c r="C117" i="33"/>
  <c r="C116" i="33"/>
  <c r="C115" i="33"/>
  <c r="C114" i="33"/>
  <c r="C113" i="33"/>
  <c r="C112" i="33"/>
  <c r="C111" i="33"/>
  <c r="C110" i="33"/>
  <c r="C109" i="33"/>
  <c r="C108" i="33"/>
  <c r="C107" i="33"/>
  <c r="C106" i="33"/>
  <c r="C105" i="33"/>
  <c r="C104" i="33"/>
  <c r="C103" i="33"/>
  <c r="C102" i="33"/>
  <c r="C101" i="33"/>
  <c r="C100" i="33"/>
  <c r="C99" i="33"/>
  <c r="C98" i="33"/>
  <c r="C97" i="33"/>
  <c r="C96" i="33"/>
  <c r="C95" i="33"/>
  <c r="C94" i="33"/>
  <c r="C93" i="33"/>
  <c r="C92" i="33"/>
  <c r="C91" i="33"/>
  <c r="C90" i="33"/>
  <c r="C89" i="33"/>
  <c r="C88" i="33"/>
  <c r="C87" i="33"/>
  <c r="C86" i="33"/>
  <c r="C85" i="33"/>
  <c r="C84" i="33"/>
  <c r="C83" i="33"/>
  <c r="C82" i="33"/>
  <c r="C81" i="33"/>
  <c r="C80" i="33"/>
  <c r="C79" i="33"/>
  <c r="C78" i="33"/>
  <c r="C77" i="33"/>
  <c r="C76" i="33"/>
  <c r="C75" i="33"/>
  <c r="C74" i="33"/>
  <c r="C73" i="33"/>
  <c r="C72" i="33"/>
  <c r="C71" i="33"/>
  <c r="C70" i="33"/>
  <c r="C69" i="33"/>
  <c r="C68" i="33"/>
  <c r="C67" i="33"/>
  <c r="C66" i="33"/>
  <c r="C65" i="33"/>
  <c r="C64" i="33"/>
  <c r="C63" i="33"/>
  <c r="C62" i="33"/>
  <c r="C61" i="33"/>
  <c r="C60" i="33"/>
  <c r="C59" i="33"/>
  <c r="C58" i="33"/>
  <c r="C57" i="33"/>
  <c r="C56" i="33"/>
  <c r="C55" i="33"/>
  <c r="C54" i="33"/>
  <c r="C53" i="33"/>
  <c r="C52" i="33"/>
  <c r="C51" i="33"/>
  <c r="C50" i="33"/>
  <c r="C49" i="33"/>
  <c r="C48" i="33"/>
  <c r="C47" i="33"/>
  <c r="C46" i="33"/>
  <c r="C45" i="33"/>
  <c r="C44" i="33"/>
  <c r="C43" i="33"/>
  <c r="C42" i="33"/>
  <c r="C41" i="33"/>
  <c r="C40" i="33"/>
  <c r="C39" i="33"/>
  <c r="C38" i="33"/>
  <c r="C37" i="33"/>
  <c r="C36" i="33"/>
  <c r="C35" i="33"/>
  <c r="C34" i="33"/>
  <c r="C33" i="33"/>
  <c r="C32" i="33"/>
  <c r="C31" i="33"/>
  <c r="C30" i="33"/>
  <c r="C29" i="33"/>
  <c r="C28" i="33"/>
  <c r="C27" i="33"/>
  <c r="C26" i="33"/>
  <c r="C25" i="33"/>
  <c r="C24" i="33"/>
  <c r="C23" i="33"/>
  <c r="C22" i="33"/>
  <c r="C21" i="33"/>
  <c r="C20" i="33"/>
  <c r="C19" i="33"/>
  <c r="C18" i="33"/>
  <c r="C17" i="33"/>
  <c r="C16" i="33"/>
  <c r="C15" i="33"/>
  <c r="C14" i="33"/>
  <c r="C13" i="33"/>
  <c r="C12" i="33"/>
  <c r="C11" i="33"/>
  <c r="C10" i="33"/>
  <c r="C9" i="33"/>
  <c r="C8" i="33"/>
  <c r="C7" i="33"/>
  <c r="C6" i="33"/>
  <c r="C5" i="33"/>
  <c r="C4" i="33"/>
  <c r="C3" i="33"/>
  <c r="C2" i="33"/>
  <c r="C1" i="33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H3967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H3822" i="1"/>
  <c r="J3822" i="1"/>
  <c r="H3821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l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</calcChain>
</file>

<file path=xl/sharedStrings.xml><?xml version="1.0" encoding="utf-8"?>
<sst xmlns="http://schemas.openxmlformats.org/spreadsheetml/2006/main" count="76549" uniqueCount="13979">
  <si>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</si>
  <si>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</si>
  <si>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</si>
  <si>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</si>
  <si>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</si>
  <si>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</si>
  <si>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</si>
  <si>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</si>
  <si>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</si>
  <si>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</si>
  <si>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</si>
  <si>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</si>
  <si>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</si>
  <si>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</si>
  <si>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</si>
  <si>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</si>
  <si>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</si>
  <si>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</si>
  <si>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</si>
  <si>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</si>
  <si>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</si>
  <si>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</si>
  <si>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</si>
  <si>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</si>
  <si>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</si>
  <si>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</si>
  <si>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</si>
  <si>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</si>
  <si>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</si>
  <si>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</si>
  <si>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</si>
  <si>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</si>
  <si>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</si>
  <si>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</si>
  <si>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</si>
  <si>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</si>
  <si>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</si>
  <si>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</si>
  <si>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</si>
  <si>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</si>
  <si>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</si>
  <si>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</si>
  <si>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</si>
  <si>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</si>
  <si>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</si>
  <si>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</si>
  <si>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</si>
  <si>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</si>
  <si>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</si>
  <si>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</si>
  <si>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</si>
  <si>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</si>
  <si>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</si>
  <si>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</si>
  <si>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</si>
  <si>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</si>
  <si>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</si>
  <si>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</si>
  <si>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</si>
  <si>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</si>
  <si>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</si>
  <si>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</si>
  <si>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</si>
  <si>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</si>
  <si>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</si>
  <si>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</si>
  <si>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</si>
  <si>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</si>
  <si>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</si>
  <si>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</si>
  <si>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</si>
  <si>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</si>
  <si>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</si>
  <si>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</si>
  <si>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</si>
  <si>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</si>
  <si>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</si>
  <si>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</si>
  <si>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</si>
  <si>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</si>
  <si>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</si>
  <si>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</si>
  <si>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</si>
  <si>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</si>
  <si>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</si>
  <si>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</si>
  <si>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</si>
  <si>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</si>
  <si>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</si>
  <si>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</si>
  <si>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</si>
  <si>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</si>
  <si>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</si>
  <si>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</si>
  <si>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</si>
  <si>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</si>
  <si>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</si>
  <si>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</si>
  <si>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</si>
  <si>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</si>
  <si>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</si>
  <si>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</si>
  <si>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</si>
  <si>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</si>
  <si>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</si>
  <si>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</si>
  <si>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</si>
  <si>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</si>
  <si>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</si>
  <si>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</si>
  <si>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</si>
  <si>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</si>
  <si>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</si>
  <si>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</si>
  <si>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</si>
  <si>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</si>
  <si>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</si>
  <si>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</si>
  <si>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</si>
  <si>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</si>
  <si>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</si>
  <si>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</si>
  <si>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</si>
  <si>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</si>
  <si>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</si>
  <si>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</si>
  <si>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</si>
  <si>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</si>
  <si>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</si>
  <si>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</si>
  <si>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</si>
  <si>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</si>
  <si>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</si>
  <si>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</si>
  <si>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</si>
  <si>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</si>
  <si>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</si>
  <si>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</si>
  <si>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</si>
  <si>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</si>
  <si>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</si>
  <si>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</si>
  <si>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</si>
  <si>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</si>
  <si>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</si>
  <si>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</si>
  <si>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</si>
  <si>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</si>
  <si>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</si>
  <si>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</si>
  <si>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</si>
  <si>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</si>
  <si>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</si>
  <si>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</si>
  <si>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</si>
  <si>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</si>
  <si>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</si>
  <si>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</si>
  <si>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</si>
  <si>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</si>
  <si>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</si>
  <si>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</si>
  <si>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</si>
  <si>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</si>
  <si>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</si>
  <si>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</si>
  <si>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</si>
  <si>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</si>
  <si>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</si>
  <si>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</si>
  <si>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</si>
  <si>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</si>
  <si>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</si>
  <si>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</si>
  <si>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</si>
  <si>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</si>
  <si>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</si>
  <si>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</si>
  <si>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</si>
  <si>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</si>
  <si>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</si>
  <si>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</si>
  <si>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</si>
  <si>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</si>
  <si>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</si>
  <si>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</si>
  <si>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</si>
  <si>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</si>
  <si>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</si>
  <si>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</si>
  <si>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</si>
  <si>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</si>
  <si>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</si>
  <si>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</si>
  <si>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</si>
  <si>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</si>
  <si>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</si>
  <si>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</si>
  <si>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</si>
  <si>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</si>
  <si>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</si>
  <si>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</si>
  <si>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</si>
  <si>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</si>
  <si>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</si>
  <si>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</si>
  <si>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</si>
  <si>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</si>
  <si>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</si>
  <si>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</si>
  <si>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</si>
  <si>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</si>
  <si>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</si>
  <si>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</si>
  <si>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</si>
  <si>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</si>
  <si>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</si>
  <si>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</si>
  <si>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</si>
  <si>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</si>
  <si>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</si>
  <si>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</si>
  <si>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</si>
  <si>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</si>
  <si>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</si>
  <si>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</si>
  <si>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</si>
  <si>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</si>
  <si>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</si>
  <si>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</si>
  <si>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</si>
  <si>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</si>
  <si>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</si>
  <si>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</si>
  <si>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</si>
  <si>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</si>
  <si>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</si>
  <si>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</si>
  <si>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</si>
  <si>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</si>
  <si>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</si>
  <si>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</si>
  <si>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</si>
  <si>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</si>
  <si>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</si>
  <si>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</si>
  <si>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</si>
  <si>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</si>
  <si>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</si>
  <si>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</si>
  <si>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</si>
  <si>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</si>
  <si>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</si>
  <si>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</si>
  <si>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</si>
  <si>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</si>
  <si>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</si>
  <si>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</si>
  <si>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</si>
  <si>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</si>
  <si>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</si>
  <si>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</si>
  <si>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</si>
  <si>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</si>
  <si>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</si>
  <si>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</si>
  <si>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</si>
  <si>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</si>
  <si>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</si>
  <si>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</si>
  <si>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</si>
  <si>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</si>
  <si>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</si>
  <si>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</si>
  <si>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</si>
  <si>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</si>
  <si>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</si>
  <si>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</si>
  <si>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</si>
  <si>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</si>
  <si>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</si>
  <si>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</si>
  <si>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</si>
  <si>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</si>
  <si>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</si>
  <si>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</si>
  <si>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</si>
  <si>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</si>
  <si>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</si>
  <si>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</si>
  <si>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</si>
  <si>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</si>
  <si>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</si>
  <si>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</si>
  <si>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</si>
  <si>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</si>
  <si>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</si>
  <si>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</si>
  <si>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</si>
  <si>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</si>
  <si>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</si>
  <si>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</si>
  <si>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</si>
  <si>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</si>
  <si>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</si>
  <si>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</si>
  <si>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</si>
  <si>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</si>
  <si>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</si>
  <si>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</si>
  <si>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</si>
  <si>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</si>
  <si>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</si>
  <si>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</si>
  <si>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</si>
  <si>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</si>
  <si>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</si>
  <si>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</si>
  <si>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</si>
  <si>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</si>
  <si>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</si>
  <si>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</si>
  <si>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</si>
  <si>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</si>
  <si>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</si>
  <si>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</si>
  <si>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</si>
  <si>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</si>
  <si>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</si>
  <si>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</si>
  <si>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</si>
  <si>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</si>
  <si>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</si>
  <si>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</si>
  <si>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</si>
  <si>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</si>
  <si>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</si>
  <si>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</si>
  <si>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</si>
  <si>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</si>
  <si>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</si>
  <si>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</si>
  <si>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</si>
  <si>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</si>
  <si>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</si>
  <si>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</si>
  <si>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</si>
  <si>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</si>
  <si>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</si>
  <si>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</si>
  <si>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</si>
  <si>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</si>
  <si>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</si>
  <si>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</si>
  <si>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</si>
  <si>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</si>
  <si>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</si>
  <si>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</si>
  <si>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</si>
  <si>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</si>
  <si>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</si>
  <si>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</si>
  <si>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</si>
  <si>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</si>
  <si>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</si>
  <si>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</si>
  <si>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</si>
  <si>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</si>
  <si>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</si>
  <si>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</si>
  <si>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</si>
  <si>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</si>
  <si>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</si>
  <si>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</si>
  <si>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</si>
  <si>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</si>
  <si>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</si>
  <si>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</si>
  <si>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</si>
  <si>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</si>
  <si>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</si>
  <si>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</si>
  <si>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</si>
  <si>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</si>
  <si>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</si>
  <si>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</si>
  <si>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</si>
  <si>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</si>
  <si>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</si>
  <si>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</si>
  <si>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</si>
  <si>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</si>
  <si>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</si>
  <si>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</si>
  <si>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</si>
  <si>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</si>
  <si>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</si>
  <si>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</si>
  <si>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</si>
  <si>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</si>
  <si>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</si>
  <si>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</si>
  <si>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</si>
  <si>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</si>
  <si>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</si>
  <si>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</si>
  <si>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</si>
  <si>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</si>
  <si>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</si>
  <si>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</si>
  <si>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</si>
  <si>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</si>
  <si>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</si>
  <si>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</si>
  <si>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</si>
  <si>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</si>
  <si>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</si>
  <si>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</si>
  <si>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</si>
  <si>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</si>
  <si>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</si>
  <si>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</si>
  <si>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</si>
  <si>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</si>
  <si>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</si>
  <si>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</si>
  <si>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</si>
  <si>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</si>
  <si>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</si>
  <si>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</si>
  <si>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</si>
  <si>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</si>
  <si>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</si>
  <si>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</si>
  <si>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</si>
  <si>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</si>
  <si>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</si>
  <si>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</si>
  <si>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</si>
  <si>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</si>
  <si>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</si>
  <si>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</si>
  <si>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</si>
  <si>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</si>
  <si>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</si>
  <si>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</si>
  <si>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</si>
  <si>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</si>
  <si>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</si>
  <si>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</si>
  <si>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</si>
  <si>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</si>
  <si>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</si>
  <si>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</si>
  <si>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</si>
  <si>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</si>
  <si>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</si>
  <si>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</si>
  <si>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</si>
  <si>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</si>
  <si>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</si>
  <si>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</si>
  <si>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</si>
  <si>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</si>
  <si>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</si>
  <si>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</si>
  <si>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</si>
  <si>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</si>
  <si>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</si>
  <si>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</si>
  <si>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</si>
  <si>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</si>
  <si>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</si>
  <si>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</si>
  <si>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</si>
  <si>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</si>
  <si>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</si>
  <si>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</si>
  <si>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</si>
  <si>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</si>
  <si>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</si>
  <si>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</si>
  <si>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</si>
  <si>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</si>
  <si>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</si>
  <si>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</si>
  <si>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</si>
  <si>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</si>
  <si>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</si>
  <si>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</si>
  <si>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</si>
  <si>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</si>
  <si>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</si>
  <si>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</si>
  <si>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</si>
  <si>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</si>
  <si>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</si>
  <si>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</si>
  <si>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</si>
  <si>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</si>
  <si>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</si>
  <si>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</si>
  <si>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</si>
  <si>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</si>
  <si>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</si>
  <si>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</si>
  <si>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</si>
  <si>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</si>
  <si>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</si>
  <si>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</si>
  <si>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</si>
  <si>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</si>
  <si>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</si>
  <si>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</si>
  <si>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</si>
  <si>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</si>
  <si>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</si>
  <si>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</si>
  <si>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</si>
  <si>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</si>
  <si>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</si>
  <si>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</si>
  <si>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</si>
  <si>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</si>
  <si>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</si>
  <si>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</si>
  <si>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</si>
  <si>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</si>
  <si>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</si>
  <si>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</si>
  <si>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</si>
  <si>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</si>
  <si>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</si>
  <si>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</si>
  <si>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</si>
  <si>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</si>
  <si>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</si>
  <si>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</si>
  <si>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</si>
  <si>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</si>
  <si>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</si>
  <si>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</si>
  <si>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</si>
  <si>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</si>
  <si>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</si>
  <si>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</si>
  <si>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</si>
  <si>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</si>
  <si>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</si>
  <si>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</si>
  <si>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</si>
  <si>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</si>
  <si>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</si>
  <si>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</si>
  <si>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</si>
  <si>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</si>
  <si>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</si>
  <si>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</si>
  <si>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</si>
  <si>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</si>
  <si>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</si>
  <si>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</si>
  <si>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</si>
  <si>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</si>
  <si>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</si>
  <si>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</si>
  <si>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</si>
  <si>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</si>
  <si>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</si>
  <si>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</si>
  <si>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</si>
  <si>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</si>
  <si>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</si>
  <si>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</si>
  <si>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</si>
  <si>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</si>
  <si>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</si>
  <si>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</si>
  <si>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</si>
  <si>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</si>
  <si>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</si>
  <si>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</si>
  <si>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</si>
  <si>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</si>
  <si>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</si>
  <si>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</si>
  <si>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</si>
  <si>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</si>
  <si>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</si>
  <si>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</si>
  <si>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</si>
  <si>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</si>
  <si>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</si>
  <si>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</si>
  <si>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</si>
  <si>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</si>
  <si>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</si>
  <si>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</si>
  <si>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</si>
  <si>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</si>
  <si>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</si>
  <si>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</si>
  <si>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</si>
  <si>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</si>
  <si>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</si>
  <si>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</si>
  <si>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</si>
  <si>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</si>
  <si>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</si>
  <si>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</si>
  <si>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</si>
  <si>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</si>
  <si>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</si>
  <si>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</si>
  <si>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</si>
  <si>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</si>
  <si>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</si>
  <si>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</si>
  <si>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</si>
  <si>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</si>
  <si>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</si>
  <si>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</si>
  <si>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</si>
  <si>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</si>
  <si>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</si>
  <si>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</si>
  <si>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</si>
  <si>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</si>
  <si>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</si>
  <si>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</si>
  <si>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</si>
  <si>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</si>
  <si>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</si>
  <si>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</si>
  <si>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</si>
  <si>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</si>
  <si>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</si>
  <si>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</si>
  <si>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</si>
  <si>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</si>
  <si>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</si>
  <si>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</si>
  <si>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</si>
  <si>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</si>
  <si>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</si>
  <si>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</si>
  <si>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</si>
  <si>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</si>
  <si>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</si>
  <si>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</si>
  <si>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</si>
  <si>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</si>
  <si>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</si>
  <si>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</si>
  <si>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</si>
  <si>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</si>
  <si>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</si>
  <si>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</si>
  <si>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</si>
  <si>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</si>
  <si>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</si>
  <si>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</si>
  <si>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</si>
  <si>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</si>
  <si>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</si>
  <si>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</si>
  <si>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</si>
  <si>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</si>
  <si>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</si>
  <si>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</si>
  <si>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</si>
  <si>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</si>
  <si>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</si>
  <si>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</si>
  <si>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</si>
  <si>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</si>
  <si>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</si>
  <si>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</si>
  <si>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</si>
  <si>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</si>
  <si>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</si>
  <si>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</si>
  <si>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</si>
  <si>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</si>
  <si>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</si>
  <si>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</si>
  <si>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</si>
  <si>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</si>
  <si>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</si>
  <si>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</si>
  <si>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</si>
  <si>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</si>
  <si>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</si>
  <si>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</si>
  <si>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</si>
  <si>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</si>
  <si>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</si>
  <si>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</si>
  <si>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</si>
  <si>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</si>
  <si>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</si>
  <si>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</si>
  <si>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</si>
  <si>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</si>
  <si>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</si>
  <si>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</si>
  <si>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</si>
  <si>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</si>
  <si>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</si>
  <si>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</si>
  <si>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</si>
  <si>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</si>
  <si>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</si>
  <si>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</si>
  <si>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</si>
  <si>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</si>
  <si>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</si>
  <si>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</si>
  <si>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</si>
  <si>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</si>
  <si>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</si>
  <si>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</si>
  <si>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</si>
  <si>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</si>
  <si>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</si>
  <si>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</si>
  <si>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</si>
  <si>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</si>
  <si>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</si>
  <si>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</si>
  <si>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</si>
  <si>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</si>
  <si>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</si>
  <si>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</si>
  <si>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</si>
  <si>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</si>
  <si>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</si>
  <si>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</si>
  <si>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</si>
  <si>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</si>
  <si>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</si>
  <si>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</si>
  <si>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</si>
  <si>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</si>
  <si>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</si>
  <si>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</si>
  <si>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</si>
  <si>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</si>
  <si>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</si>
  <si>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</si>
  <si>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</si>
  <si>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</si>
  <si>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</si>
  <si>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</si>
  <si>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</si>
  <si>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</si>
  <si>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</si>
  <si>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</si>
  <si>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</si>
  <si>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</si>
  <si>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</si>
  <si>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</si>
  <si>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</si>
  <si>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</si>
  <si>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</si>
  <si>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</si>
  <si>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</si>
  <si>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</si>
  <si>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</si>
  <si>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</si>
  <si>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</si>
  <si>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</si>
  <si>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</si>
  <si>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</si>
  <si>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</si>
  <si>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</si>
  <si>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</si>
  <si>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</si>
  <si>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</si>
  <si>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</si>
  <si>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</si>
  <si>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</si>
  <si>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</si>
  <si>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</si>
  <si>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</si>
  <si>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</si>
  <si>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</si>
  <si>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</si>
  <si>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</si>
  <si>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</si>
  <si>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</si>
  <si>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</si>
  <si>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</si>
  <si>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</si>
  <si>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</si>
  <si>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</si>
  <si>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</si>
  <si>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</si>
  <si>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</si>
  <si>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</si>
  <si>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</si>
  <si>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</si>
  <si>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</si>
  <si>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</si>
  <si>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</si>
  <si>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</si>
  <si>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</si>
  <si>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</si>
  <si>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</si>
  <si>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</si>
  <si>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</si>
  <si>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</si>
  <si>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</si>
  <si>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</si>
  <si>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</si>
  <si>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</si>
  <si>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</si>
  <si>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</si>
  <si>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</si>
  <si>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</si>
  <si>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</si>
  <si>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</si>
  <si>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</si>
  <si>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</si>
  <si>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</si>
  <si>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</si>
  <si>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</si>
  <si>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</si>
  <si>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</si>
  <si>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</si>
  <si>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</si>
  <si>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</si>
  <si>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</si>
  <si>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</si>
  <si>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</si>
  <si>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</si>
  <si>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</si>
  <si>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</si>
  <si>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</si>
  <si>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</si>
  <si>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</si>
  <si>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</si>
  <si>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</si>
  <si>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</si>
  <si>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</si>
  <si>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</si>
  <si>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</si>
  <si>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</si>
  <si>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</si>
  <si>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</si>
  <si>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</si>
  <si>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</si>
  <si>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</si>
  <si>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</si>
  <si>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</si>
  <si>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</si>
  <si>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</si>
  <si>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</si>
  <si>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</si>
  <si>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</si>
  <si>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</si>
  <si>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</si>
  <si>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</si>
  <si>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</si>
  <si>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</si>
  <si>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</si>
  <si>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</si>
  <si>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</si>
  <si>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</si>
  <si>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</si>
  <si>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</si>
  <si>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</si>
  <si>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</si>
  <si>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</si>
  <si>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</si>
  <si>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</si>
  <si>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</si>
  <si>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</si>
  <si>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</si>
  <si>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</si>
  <si>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</si>
  <si>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</si>
  <si>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</si>
  <si>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</si>
  <si>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</si>
  <si>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</si>
  <si>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</si>
  <si>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</si>
  <si>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</si>
  <si>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</si>
  <si>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</si>
  <si>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</si>
  <si>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</si>
  <si>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</si>
  <si>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</si>
  <si>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</si>
  <si>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</si>
  <si>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</si>
  <si>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</si>
  <si>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</si>
  <si>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</si>
  <si>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</si>
  <si>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</si>
  <si>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</si>
  <si>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</si>
  <si>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</si>
  <si>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</si>
  <si>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</si>
  <si>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</si>
  <si>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</si>
  <si>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</si>
  <si>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</si>
  <si>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</si>
  <si>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</si>
  <si>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</si>
  <si>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</si>
  <si>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</si>
  <si>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</si>
  <si>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</si>
  <si>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</si>
  <si>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</si>
  <si>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</si>
  <si>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</si>
  <si>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</si>
  <si>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</si>
  <si>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</si>
  <si>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</si>
  <si>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</si>
  <si>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</si>
  <si>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</si>
  <si>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</si>
  <si>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</si>
  <si>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</si>
  <si>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</si>
  <si>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</si>
  <si>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</si>
  <si>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</si>
  <si>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</si>
  <si>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</si>
  <si>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</si>
  <si>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</si>
  <si>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</si>
  <si>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</si>
  <si>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</si>
  <si>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</si>
  <si>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</si>
  <si>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</si>
  <si>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</si>
  <si>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</si>
  <si>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</si>
  <si>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</si>
  <si>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</si>
  <si>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</si>
  <si>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</si>
  <si>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</si>
  <si>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</si>
  <si>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</si>
  <si>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</si>
  <si>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</si>
  <si>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</si>
  <si>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</si>
  <si>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</si>
  <si>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</si>
  <si>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</si>
  <si>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</si>
  <si>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</si>
  <si>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</si>
  <si>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</si>
  <si>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</si>
  <si>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</si>
  <si>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</si>
  <si>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</si>
  <si>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</si>
  <si>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</si>
  <si>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</si>
  <si>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</si>
  <si>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</si>
  <si>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</si>
  <si>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</si>
  <si>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</si>
  <si>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</si>
  <si>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</si>
  <si>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</si>
  <si>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</si>
  <si>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</si>
  <si>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</si>
  <si>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</si>
  <si>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</si>
  <si>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</si>
  <si>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</si>
  <si>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</si>
  <si>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</si>
  <si>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</si>
  <si>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</si>
  <si>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</si>
  <si>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</si>
  <si>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</si>
  <si>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</si>
  <si>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</si>
  <si>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</si>
  <si>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</si>
  <si>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</si>
  <si>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</si>
  <si>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</si>
  <si>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</si>
  <si>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</si>
  <si>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</si>
  <si>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</si>
  <si>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</si>
  <si>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</si>
  <si>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</si>
  <si>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</si>
  <si>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</si>
  <si>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</si>
  <si>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</si>
  <si>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</si>
  <si>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</si>
  <si>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</si>
  <si>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</si>
  <si>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</si>
  <si>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</si>
  <si>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</si>
  <si>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</si>
  <si>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</si>
  <si>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</si>
  <si>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</si>
  <si>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</si>
  <si>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</si>
  <si>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</si>
  <si>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</si>
  <si>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</si>
  <si>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</si>
  <si>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</si>
  <si>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</si>
  <si>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</si>
  <si>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</si>
  <si>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</si>
  <si>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</si>
  <si>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</si>
  <si>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</si>
  <si>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</si>
  <si>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</si>
  <si>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</si>
  <si>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</si>
  <si>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</si>
  <si>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</si>
  <si>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</si>
  <si>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</si>
  <si>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</si>
  <si>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</si>
  <si>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</si>
  <si>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</si>
  <si>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</si>
  <si>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</si>
  <si>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</si>
  <si>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</si>
  <si>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</si>
  <si>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</si>
  <si>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</si>
  <si>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</si>
  <si>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</si>
  <si>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</si>
  <si>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</si>
  <si>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</si>
  <si>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</si>
  <si>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</si>
  <si>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</si>
  <si>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</si>
  <si>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</si>
  <si>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</si>
  <si>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</si>
  <si>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</si>
  <si>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</si>
  <si>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</si>
  <si>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</si>
  <si>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</si>
  <si>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</si>
  <si>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</si>
  <si>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</si>
  <si>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</si>
  <si>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</si>
  <si>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</si>
  <si>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</si>
  <si>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</si>
  <si>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</si>
  <si>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</si>
  <si>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</si>
  <si>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</si>
  <si>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</si>
  <si>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</si>
  <si>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</si>
  <si>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</si>
  <si>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</si>
  <si>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</si>
  <si>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</si>
  <si>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</si>
  <si>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</si>
  <si>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</si>
  <si>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</si>
  <si>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</si>
  <si>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</si>
  <si>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</si>
  <si>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</si>
  <si>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</si>
  <si>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</si>
  <si>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</si>
  <si>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</si>
  <si>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</si>
  <si>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</si>
  <si>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</si>
  <si>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</si>
  <si>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</si>
  <si>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</si>
  <si>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</si>
  <si>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</si>
  <si>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</si>
  <si>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</si>
  <si>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</si>
  <si>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</si>
  <si>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</si>
  <si>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</si>
  <si>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</si>
  <si>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</si>
  <si>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</si>
  <si>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</si>
  <si>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</si>
  <si>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</si>
  <si>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</si>
  <si>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</si>
  <si>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</si>
  <si>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</si>
  <si>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</si>
  <si>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</si>
  <si>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</si>
  <si>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</si>
  <si>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</si>
  <si>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</si>
  <si>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</si>
  <si>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</si>
  <si>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</si>
  <si>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</si>
  <si>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</si>
  <si>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</si>
  <si>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</si>
  <si>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</si>
  <si>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</si>
  <si>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</si>
  <si>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</si>
  <si>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</si>
  <si>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</si>
  <si>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</si>
  <si>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</si>
  <si>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</si>
  <si>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</si>
  <si>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</si>
  <si>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</si>
  <si>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</si>
  <si>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</si>
  <si>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</si>
  <si>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</si>
  <si>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</si>
  <si>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</si>
  <si>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</si>
  <si>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</si>
  <si>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</si>
  <si>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</si>
  <si>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</si>
  <si>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</si>
  <si>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</si>
  <si>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</si>
  <si>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</si>
  <si>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</si>
  <si>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</si>
  <si>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</si>
  <si>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</si>
  <si>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</si>
  <si>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</si>
  <si>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</si>
  <si>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</si>
  <si>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</si>
  <si>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</si>
  <si>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</si>
  <si>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</si>
  <si>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</si>
  <si>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</si>
  <si>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</si>
  <si>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</si>
  <si>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</si>
  <si>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</si>
  <si>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</si>
  <si>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</si>
  <si>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</si>
  <si>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</si>
  <si>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</si>
  <si>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</si>
  <si>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</si>
  <si>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</si>
  <si>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</si>
  <si>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</si>
  <si>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</si>
  <si>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</si>
  <si>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</si>
  <si>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</si>
  <si>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</si>
  <si>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</si>
  <si>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</si>
  <si>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</si>
  <si>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</si>
  <si>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</si>
  <si>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</si>
  <si>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</si>
  <si>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</si>
  <si>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</si>
  <si>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</si>
  <si>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</si>
  <si>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</si>
  <si>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</si>
  <si>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</si>
  <si>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</si>
  <si>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</si>
  <si>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</si>
  <si>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</si>
  <si>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</si>
  <si>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</si>
  <si>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</si>
  <si>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</si>
  <si>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</si>
  <si>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</si>
  <si>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</si>
  <si>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</si>
  <si>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</si>
  <si>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</si>
  <si>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</si>
  <si>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</si>
  <si>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</si>
  <si>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</si>
  <si>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</si>
  <si>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</si>
  <si>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</si>
  <si>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</si>
  <si>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</si>
  <si>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</si>
  <si>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</si>
  <si>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</si>
  <si>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</si>
  <si>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</si>
  <si>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</si>
  <si>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</si>
  <si>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</si>
  <si>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</si>
  <si>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</si>
  <si>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</si>
  <si>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</si>
  <si>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</si>
  <si>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</si>
  <si>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</si>
  <si>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</si>
  <si>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</si>
  <si>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</si>
  <si>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</si>
  <si>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</si>
  <si>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</si>
  <si>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</si>
  <si>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</si>
  <si>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</si>
  <si>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</si>
  <si>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</si>
  <si>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</si>
  <si>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</si>
  <si>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</si>
  <si>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</si>
  <si>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</si>
  <si>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</si>
  <si>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</si>
  <si>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</si>
  <si>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</si>
  <si>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</si>
  <si>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</si>
  <si>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</si>
  <si>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</si>
  <si>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</si>
  <si>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</si>
  <si>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</si>
  <si>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</si>
  <si>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</si>
  <si>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</si>
  <si>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</si>
  <si>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</si>
  <si>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</si>
  <si>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</si>
  <si>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</si>
  <si>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</si>
  <si>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</si>
  <si>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</si>
  <si>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</si>
  <si>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</si>
  <si>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</si>
  <si>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</si>
  <si>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</si>
  <si>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</si>
  <si>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</si>
  <si>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</si>
  <si>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</si>
  <si>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</si>
  <si>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</si>
  <si>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</si>
  <si>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</si>
  <si>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</si>
  <si>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</si>
  <si>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</si>
  <si>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</si>
  <si>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</si>
  <si>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</si>
  <si>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</si>
  <si>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</si>
  <si>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</si>
  <si>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</si>
  <si>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</si>
  <si>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</si>
  <si>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</si>
  <si>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</si>
  <si>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</si>
  <si>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</si>
  <si>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</si>
  <si>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</si>
  <si>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</si>
  <si>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</si>
  <si>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</si>
  <si>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</si>
  <si>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</si>
  <si>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</si>
  <si>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</si>
  <si>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</si>
  <si>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</si>
  <si>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</si>
  <si>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</si>
  <si>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</si>
  <si>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</si>
  <si>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</si>
  <si>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</si>
  <si>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</si>
  <si>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</si>
  <si>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</si>
  <si>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</si>
  <si>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</si>
  <si>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</si>
  <si>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</si>
  <si>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</si>
  <si>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</si>
  <si>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</si>
  <si>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</si>
  <si>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</si>
  <si>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</si>
  <si>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</si>
  <si>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</si>
  <si>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</si>
  <si>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</si>
  <si>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</si>
  <si>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</si>
  <si>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</si>
  <si>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</si>
  <si>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</si>
  <si>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</si>
  <si>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</si>
  <si>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</si>
  <si>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</si>
  <si>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</si>
  <si>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</si>
  <si>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</si>
  <si>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</si>
  <si>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</si>
  <si>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</si>
  <si>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</si>
  <si>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</si>
  <si>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</si>
  <si>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</si>
  <si>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</si>
  <si>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</si>
  <si>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</si>
  <si>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</si>
  <si>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</si>
  <si>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</si>
  <si>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</si>
  <si>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</si>
  <si>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</si>
  <si>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</si>
  <si>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</si>
  <si>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</si>
  <si>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</si>
  <si>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</si>
  <si>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</si>
  <si>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</si>
  <si>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</si>
  <si>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</si>
  <si>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</si>
  <si>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</si>
  <si>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</si>
  <si>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</si>
  <si>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</si>
  <si>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</si>
  <si>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</si>
  <si>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</si>
  <si>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</si>
  <si>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</si>
  <si>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</si>
  <si>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</si>
  <si>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</si>
  <si>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</si>
  <si>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</si>
  <si>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</si>
  <si>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</si>
  <si>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</si>
  <si>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</si>
  <si>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</si>
  <si>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</si>
  <si>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</si>
  <si>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</si>
  <si>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</si>
  <si>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</si>
  <si>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</si>
  <si>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</si>
  <si>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</si>
  <si>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</si>
  <si>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</si>
  <si>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</si>
  <si>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</si>
  <si>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</si>
  <si>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</si>
  <si>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</si>
  <si>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</si>
  <si>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</si>
  <si>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</si>
  <si>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</si>
  <si>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</si>
  <si>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</si>
  <si>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</si>
  <si>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</si>
  <si>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</si>
  <si>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</si>
  <si>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</si>
  <si>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</si>
  <si>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</si>
  <si>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</si>
  <si>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</si>
  <si>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</si>
  <si>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</si>
  <si>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</si>
  <si>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</si>
  <si>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</si>
  <si>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</si>
  <si>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</si>
  <si>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</si>
  <si>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</si>
  <si>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</si>
  <si>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</si>
  <si>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</si>
  <si>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</si>
  <si>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</si>
  <si>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</si>
  <si>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</si>
  <si>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</si>
  <si>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</si>
  <si>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</si>
  <si>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</si>
  <si>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</si>
  <si>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</si>
  <si>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</si>
  <si>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</si>
  <si>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</si>
  <si>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</si>
  <si>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</si>
  <si>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</si>
  <si>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</si>
  <si>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</si>
  <si>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</si>
  <si>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</si>
  <si>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</si>
  <si>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</si>
  <si>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</si>
  <si>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</si>
  <si>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</si>
  <si>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</si>
  <si>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</si>
  <si>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</si>
  <si>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</si>
  <si>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</si>
  <si>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</si>
  <si>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</si>
  <si>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</si>
  <si>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</si>
  <si>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</si>
  <si>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</si>
  <si>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</si>
  <si>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</si>
  <si>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</si>
  <si>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</si>
  <si>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</si>
  <si>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</si>
  <si>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</si>
  <si>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</si>
  <si>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</si>
  <si>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</si>
  <si>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</si>
  <si>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</si>
  <si>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</si>
  <si>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</si>
  <si>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</si>
  <si>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</si>
  <si>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</si>
  <si>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</si>
  <si>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</si>
  <si>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</si>
  <si>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</si>
  <si>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</si>
  <si>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</si>
  <si>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</si>
  <si>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</si>
  <si>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</si>
  <si>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</si>
  <si>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</si>
  <si>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</si>
  <si>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</si>
  <si>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</si>
  <si>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</si>
  <si>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</si>
  <si>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</si>
  <si>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</si>
  <si>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</si>
  <si>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</si>
  <si>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</si>
  <si>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</si>
  <si>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</si>
  <si>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</si>
  <si>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</si>
  <si>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</si>
  <si>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</si>
  <si>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</si>
  <si>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</si>
  <si>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</si>
  <si>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</si>
  <si>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</si>
  <si>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</si>
  <si>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</si>
  <si>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</si>
  <si>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</si>
  <si>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</si>
  <si>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</si>
  <si>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</si>
  <si>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</si>
  <si>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</si>
  <si>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</si>
  <si>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</si>
  <si>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</si>
  <si>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</si>
  <si>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</si>
  <si>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</si>
  <si>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</si>
  <si>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</si>
  <si>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</si>
  <si>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</si>
  <si>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</si>
  <si>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</si>
  <si>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</si>
  <si>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</si>
  <si>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</si>
  <si>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</si>
  <si>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</si>
  <si>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</si>
  <si>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</si>
  <si>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</si>
  <si>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</si>
  <si>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</si>
  <si>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</si>
  <si>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</si>
  <si>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</si>
  <si>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</si>
  <si>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</si>
  <si>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</si>
  <si>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</si>
  <si>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</si>
  <si>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</si>
  <si>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</si>
  <si>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</si>
  <si>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</si>
  <si>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</si>
  <si>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</si>
  <si>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</si>
  <si>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</si>
  <si>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</si>
  <si>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</si>
  <si>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</si>
  <si>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</si>
  <si>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</si>
  <si>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</si>
  <si>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</si>
  <si>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</si>
  <si>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</si>
  <si>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</si>
  <si>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</si>
  <si>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</si>
  <si>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</si>
  <si>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</si>
  <si>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</si>
  <si>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</si>
  <si>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</si>
  <si>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</si>
  <si>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</si>
  <si>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</si>
  <si>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</si>
  <si>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</si>
  <si>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</si>
  <si>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</si>
  <si>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</si>
  <si>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</si>
  <si>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</si>
  <si>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</si>
  <si>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</si>
  <si>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</si>
  <si>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</si>
  <si>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</si>
  <si>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</si>
  <si>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</si>
  <si>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</si>
  <si>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</si>
  <si>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</si>
  <si>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</si>
  <si>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</si>
  <si>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</si>
  <si>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</si>
  <si>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</si>
  <si>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</si>
  <si>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</si>
  <si>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</si>
  <si>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</si>
  <si>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</si>
  <si>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</si>
  <si>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</si>
  <si>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</si>
  <si>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</si>
  <si>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</si>
  <si>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</si>
  <si>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</si>
  <si>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</si>
  <si>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</si>
  <si>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</si>
  <si>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</si>
  <si>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</si>
  <si>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</si>
  <si>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</si>
  <si>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</si>
  <si>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</si>
  <si>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</si>
  <si>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</si>
  <si>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</si>
  <si>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</si>
  <si>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</si>
  <si>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</si>
  <si>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</si>
  <si>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</si>
  <si>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</si>
  <si>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</si>
  <si>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</si>
  <si>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</si>
  <si>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</si>
  <si>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</si>
  <si>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</si>
  <si>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</si>
  <si>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</si>
  <si>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</si>
  <si>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</si>
  <si>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</si>
  <si>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</si>
  <si>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</si>
  <si>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</si>
  <si>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</si>
  <si>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</si>
  <si>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</si>
  <si>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</si>
  <si>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</si>
  <si>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</si>
  <si>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</si>
  <si>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</si>
  <si>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</si>
  <si>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</si>
  <si>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</si>
  <si>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</si>
  <si>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</si>
  <si>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</si>
  <si>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</si>
  <si>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</si>
  <si>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</si>
  <si>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</si>
  <si>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</si>
  <si>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</si>
  <si>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</si>
  <si>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</si>
  <si>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</si>
  <si>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</si>
  <si>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</si>
  <si>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</si>
  <si>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</si>
  <si>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</si>
  <si>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</si>
  <si>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</si>
  <si>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</si>
  <si>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</si>
  <si>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</si>
  <si>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</si>
  <si>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</si>
  <si>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</si>
  <si>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</si>
  <si>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</si>
  <si>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</si>
  <si>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</si>
  <si>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</si>
  <si>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</si>
  <si>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</si>
  <si>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</si>
  <si>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</si>
  <si>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</si>
  <si>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</si>
  <si>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</si>
  <si>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</si>
  <si>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</si>
  <si>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</si>
  <si>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</si>
  <si>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</si>
  <si>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</si>
  <si>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</si>
  <si>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</si>
  <si>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</si>
  <si>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</si>
  <si>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</si>
  <si>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</si>
  <si>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</si>
  <si>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</si>
  <si>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</si>
  <si>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</si>
  <si>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</si>
  <si>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</si>
  <si>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</si>
  <si>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</si>
  <si>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</si>
  <si>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</si>
  <si>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</si>
  <si>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</si>
  <si>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</si>
  <si>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</si>
  <si>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</si>
  <si>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</si>
  <si>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</si>
  <si>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</si>
  <si>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</si>
  <si>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</si>
  <si>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</si>
  <si>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</si>
  <si>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</si>
  <si>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</si>
  <si>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</si>
  <si>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</si>
  <si>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</si>
  <si>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</si>
  <si>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</si>
  <si>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</si>
  <si>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</si>
  <si>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</si>
  <si>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</si>
  <si>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</si>
  <si>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</si>
  <si>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</si>
  <si>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</si>
  <si>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</si>
  <si>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</si>
  <si>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</si>
  <si>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</si>
  <si>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</si>
  <si>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</si>
  <si>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</si>
  <si>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</si>
  <si>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</si>
  <si>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</si>
  <si>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</si>
  <si>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</si>
  <si>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</si>
  <si>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</si>
  <si>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</si>
  <si>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</si>
  <si>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</si>
  <si>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</si>
  <si>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</si>
  <si>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</si>
  <si>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</si>
  <si>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</si>
  <si>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</si>
  <si>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</si>
  <si>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</si>
  <si>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</si>
  <si>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</si>
  <si>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</si>
  <si>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</si>
  <si>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</si>
  <si>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</si>
  <si>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</si>
  <si>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</si>
  <si>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</si>
  <si>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</si>
  <si>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</si>
  <si>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</si>
  <si>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</si>
  <si>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</si>
  <si>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</si>
  <si>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</si>
  <si>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</si>
  <si>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</si>
  <si>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</si>
  <si>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</si>
  <si>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</si>
  <si>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</si>
  <si>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</si>
  <si>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</si>
  <si>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</si>
  <si>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</si>
  <si>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</si>
  <si>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</si>
  <si>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</si>
  <si>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</si>
  <si>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</si>
  <si>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</si>
  <si>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</si>
  <si>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</si>
  <si>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</si>
  <si>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</si>
  <si>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</si>
  <si>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</si>
  <si>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</si>
  <si>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</si>
  <si>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</si>
  <si>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</si>
  <si>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</si>
  <si>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</si>
  <si>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</si>
  <si>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</si>
  <si>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</si>
  <si>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</si>
  <si>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</si>
  <si>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</si>
  <si>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</si>
  <si>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</si>
  <si>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</si>
  <si>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</si>
  <si>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</si>
  <si>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</si>
  <si>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</si>
  <si>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</si>
  <si>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</si>
  <si>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</si>
  <si>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</si>
  <si>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</si>
  <si>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</si>
  <si>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</si>
  <si>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</si>
  <si>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</si>
  <si>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</si>
  <si>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</si>
  <si>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</si>
  <si>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</si>
  <si>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</si>
  <si>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</si>
  <si>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</si>
  <si>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</si>
  <si>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</si>
  <si>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</si>
  <si>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</si>
  <si>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</si>
  <si>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</si>
  <si>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</si>
  <si>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</si>
  <si>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</si>
  <si>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</si>
  <si>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</si>
  <si>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</si>
  <si>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</si>
  <si>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</si>
  <si>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</si>
  <si>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</si>
  <si>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</si>
  <si>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</si>
  <si>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</si>
  <si>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</si>
  <si>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</si>
  <si>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</si>
  <si>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</si>
  <si>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</si>
  <si>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</si>
  <si>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</si>
  <si>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</si>
  <si>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</si>
  <si>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</si>
  <si>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</si>
  <si>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</si>
  <si>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</si>
  <si>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</si>
  <si>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</si>
  <si>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</si>
  <si>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</si>
  <si>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</si>
  <si>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</si>
  <si>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</si>
  <si>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</si>
  <si>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</si>
  <si>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</si>
  <si>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</si>
  <si>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</si>
  <si>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</si>
  <si>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</si>
  <si>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</si>
  <si>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</si>
  <si>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</si>
  <si>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</si>
  <si>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</si>
  <si>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</si>
  <si>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</si>
  <si>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</si>
  <si>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</si>
  <si>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</si>
  <si>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</si>
  <si>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</si>
  <si>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</si>
  <si>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</si>
  <si>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</si>
  <si>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</si>
  <si>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</si>
  <si>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</si>
  <si>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</si>
  <si>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</si>
  <si>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</si>
  <si>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</si>
  <si>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</si>
  <si>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</si>
  <si>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</si>
  <si>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</si>
  <si>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</si>
  <si>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</si>
  <si>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</si>
  <si>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</si>
  <si>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</si>
  <si>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</si>
  <si>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</si>
  <si>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</si>
  <si>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</si>
  <si>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</si>
  <si>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</si>
  <si>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</si>
  <si>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</si>
  <si>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</si>
  <si>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</si>
  <si>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</si>
  <si>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</si>
  <si>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</si>
  <si>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</si>
  <si>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</si>
  <si>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</si>
  <si>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</si>
  <si>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</si>
  <si>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</si>
  <si>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</si>
  <si>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</si>
  <si>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</si>
  <si>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</si>
  <si>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</si>
  <si>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</si>
  <si>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</si>
  <si>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</si>
  <si>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</si>
  <si>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</si>
  <si>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</si>
  <si>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</si>
  <si>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</si>
  <si>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</si>
  <si>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</si>
  <si>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</si>
  <si>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</si>
  <si>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</si>
  <si>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</si>
  <si>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</si>
  <si>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</si>
  <si>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</si>
  <si>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</si>
  <si>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</si>
  <si>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</si>
  <si>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</si>
  <si>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</si>
  <si>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</si>
  <si>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</si>
  <si>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</si>
  <si>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</si>
  <si>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</si>
  <si>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</si>
  <si>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</si>
  <si>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</si>
  <si>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</si>
  <si>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</si>
  <si>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</si>
  <si>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</si>
  <si>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</si>
  <si>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</si>
  <si>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</si>
  <si>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</si>
  <si>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</si>
  <si>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</si>
  <si>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</si>
  <si>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</si>
  <si>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</si>
  <si>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</si>
  <si>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</si>
  <si>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</si>
  <si>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</si>
  <si>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</si>
  <si>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</si>
  <si>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</si>
  <si>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</si>
  <si>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</si>
  <si>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</si>
  <si>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</si>
  <si>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</si>
  <si>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</si>
  <si>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</si>
  <si>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</si>
  <si>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</si>
  <si>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</si>
  <si>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</si>
  <si>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</si>
  <si>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</si>
  <si>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</si>
  <si>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</si>
  <si>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</si>
  <si>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</si>
  <si>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</si>
  <si>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</si>
  <si>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</si>
  <si>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</si>
  <si>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</si>
  <si>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</si>
  <si>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</si>
  <si>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</si>
  <si>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</si>
  <si>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</si>
  <si>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</si>
  <si>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</si>
  <si>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</si>
  <si>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</si>
  <si>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</si>
  <si>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</si>
  <si>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</si>
  <si>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</si>
  <si>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</si>
  <si>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</si>
  <si>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</si>
  <si>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</si>
  <si>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</si>
  <si>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</si>
  <si>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</si>
  <si>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</si>
  <si>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</si>
  <si>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</si>
  <si>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</si>
  <si>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</si>
  <si>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</si>
  <si>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</si>
  <si>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</si>
  <si>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</si>
  <si>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</si>
  <si>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</si>
  <si>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</si>
  <si>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</si>
  <si>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</si>
  <si>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</si>
  <si>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</si>
  <si>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</si>
  <si>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</si>
  <si>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</si>
  <si>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</si>
  <si>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</si>
  <si>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</si>
  <si>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</si>
  <si>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</si>
  <si>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</si>
  <si>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</si>
  <si>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</si>
  <si>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</si>
  <si>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</si>
  <si>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</si>
  <si>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</si>
  <si>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</si>
  <si>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</si>
  <si>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</si>
  <si>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</si>
  <si>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</si>
  <si>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</si>
  <si>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</si>
  <si>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</si>
  <si>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</si>
  <si>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</si>
  <si>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</si>
  <si>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</si>
  <si>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</si>
  <si>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</si>
  <si>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</si>
  <si>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</si>
  <si>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</si>
  <si>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</si>
  <si>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</si>
  <si>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</si>
  <si>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</si>
  <si>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</si>
  <si>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</si>
  <si>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</si>
  <si>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</si>
  <si>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</si>
  <si>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</si>
  <si>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</si>
  <si>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</si>
  <si>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</si>
  <si>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</si>
  <si>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</si>
  <si>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</si>
  <si>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</si>
  <si>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</si>
  <si>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</si>
  <si>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</si>
  <si>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</si>
  <si>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</si>
  <si>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</si>
  <si>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</si>
  <si>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</si>
  <si>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</si>
  <si>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</si>
  <si>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</si>
  <si>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</si>
  <si>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</si>
  <si>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</si>
  <si>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</si>
  <si>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</si>
  <si>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</si>
  <si>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</si>
  <si>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</si>
  <si>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</si>
  <si>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</si>
  <si>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</si>
  <si>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</si>
  <si>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</si>
  <si>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</si>
  <si>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</si>
  <si>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</si>
  <si>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</si>
  <si>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</si>
  <si>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</si>
  <si>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</si>
  <si>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</si>
  <si>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</si>
  <si>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</si>
  <si>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</si>
  <si>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</si>
  <si>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</si>
  <si>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</si>
  <si>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</si>
  <si>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</si>
  <si>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</si>
  <si>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</si>
  <si>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</si>
  <si>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</si>
  <si>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</si>
  <si>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</si>
  <si>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</si>
  <si>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</si>
  <si>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</si>
  <si>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</si>
  <si>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</si>
  <si>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</si>
  <si>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</si>
  <si>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</si>
  <si>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</si>
  <si>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</si>
  <si>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</si>
  <si>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</si>
  <si>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</si>
  <si>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</si>
  <si>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</si>
  <si>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</si>
  <si>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</si>
  <si>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</si>
  <si>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</si>
  <si>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</si>
  <si>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</si>
  <si>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</si>
  <si>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</si>
  <si>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</si>
  <si>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</si>
  <si>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</si>
  <si>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</si>
  <si>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</si>
  <si>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</si>
  <si>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</si>
  <si>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</si>
  <si>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</si>
  <si>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</si>
  <si>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</si>
  <si>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</si>
  <si>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</si>
  <si>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</si>
  <si>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</si>
  <si>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</si>
  <si>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</si>
  <si>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</si>
  <si>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</si>
  <si>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</si>
  <si>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</si>
  <si>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</si>
  <si>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</si>
  <si>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</si>
  <si>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</si>
  <si>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</si>
  <si>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</si>
  <si>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</si>
  <si>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</si>
  <si>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</si>
  <si>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</si>
  <si>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</si>
  <si>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</si>
  <si>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</si>
  <si>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</si>
  <si>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</si>
  <si>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</si>
  <si>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</si>
  <si>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</si>
  <si>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</si>
  <si>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</si>
  <si>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</si>
  <si>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</si>
  <si>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</si>
  <si>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</si>
  <si>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</si>
  <si>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</si>
  <si>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</si>
  <si>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</si>
  <si>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</si>
  <si>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</si>
  <si>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</si>
  <si>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</si>
  <si>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</si>
  <si>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</si>
  <si>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</si>
  <si>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</si>
  <si>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</si>
  <si>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</si>
  <si>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</si>
  <si>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</si>
  <si>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</si>
  <si>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</si>
  <si>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</si>
  <si>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</si>
  <si>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</si>
  <si>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</si>
  <si>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</si>
  <si>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</si>
  <si>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</si>
  <si>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</si>
  <si>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</si>
  <si>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</si>
  <si>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</si>
  <si>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</si>
  <si>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</si>
  <si>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</si>
  <si>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</si>
  <si>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</si>
  <si>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</si>
  <si>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</si>
  <si>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</si>
  <si>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</si>
  <si>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</si>
  <si>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</si>
  <si>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</si>
  <si>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</si>
  <si>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</si>
  <si>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</si>
  <si>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</si>
  <si>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</si>
  <si>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</si>
  <si>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</si>
  <si>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</si>
  <si>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</si>
  <si>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</si>
  <si>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</si>
  <si>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</si>
  <si>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</si>
  <si>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</si>
  <si>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</si>
  <si>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</si>
  <si>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</si>
  <si>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</si>
  <si>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</si>
  <si>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</si>
  <si>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</si>
  <si>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</si>
  <si>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</si>
  <si>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</si>
  <si>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</si>
  <si>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</si>
  <si>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</si>
  <si>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</si>
  <si>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</si>
  <si>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</si>
  <si>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</si>
  <si>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</si>
  <si>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</si>
  <si>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</si>
  <si>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</si>
  <si>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</si>
  <si>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</si>
  <si>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</si>
  <si>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</si>
  <si>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</si>
  <si>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</si>
  <si>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</si>
  <si>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</si>
  <si>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</si>
  <si>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</si>
  <si>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</si>
  <si>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</si>
  <si>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</si>
  <si>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</si>
  <si>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</si>
  <si>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</si>
  <si>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</si>
  <si>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</si>
  <si>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</si>
  <si>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</si>
  <si>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</si>
  <si>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</si>
  <si>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</si>
  <si>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</si>
  <si>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</si>
  <si>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</si>
  <si>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</si>
  <si>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</si>
  <si>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</si>
  <si>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</si>
  <si>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</si>
  <si>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</si>
  <si>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</si>
  <si>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</si>
  <si>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</si>
  <si>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</si>
  <si>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</si>
  <si>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</si>
  <si>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</si>
  <si>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</si>
  <si>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</si>
  <si>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</si>
  <si>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</si>
  <si>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</si>
  <si>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</si>
  <si>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</si>
  <si>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</si>
  <si>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</si>
  <si>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</si>
  <si>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</si>
  <si>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</si>
  <si>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</si>
  <si>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</si>
  <si>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</si>
  <si>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</si>
  <si>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</si>
  <si>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</si>
  <si>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</si>
  <si>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</si>
  <si>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</si>
  <si>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</si>
  <si>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</si>
  <si>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</si>
  <si>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</si>
  <si>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</si>
  <si>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</si>
  <si>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</si>
  <si>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</si>
  <si>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</si>
  <si>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</si>
  <si>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</si>
  <si>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</si>
  <si>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</si>
  <si>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</si>
  <si>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</si>
  <si>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</si>
  <si>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</si>
  <si>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</si>
  <si>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</si>
  <si>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</si>
  <si>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</si>
  <si>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</si>
  <si>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</si>
  <si>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</si>
  <si>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</si>
  <si>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</si>
  <si>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</si>
  <si>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</si>
  <si>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</si>
  <si>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</si>
  <si>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</si>
  <si>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</si>
  <si>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</si>
  <si>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</si>
  <si>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</si>
  <si>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</si>
  <si>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</si>
  <si>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</si>
  <si>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</si>
  <si>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</si>
  <si>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</si>
  <si>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</si>
  <si>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</si>
  <si>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</si>
  <si>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</si>
  <si>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</si>
  <si>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</si>
  <si>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</si>
  <si>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</si>
  <si>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</si>
  <si>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</si>
  <si>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</si>
  <si>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</si>
  <si>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</si>
  <si>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</si>
  <si>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</si>
  <si>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</si>
  <si>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</si>
  <si>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</si>
  <si>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</si>
  <si>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</si>
  <si>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</si>
  <si>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</si>
  <si>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</si>
  <si>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</si>
  <si>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</si>
  <si>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</si>
  <si>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</si>
  <si>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</si>
  <si>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</si>
  <si>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</si>
  <si>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</si>
  <si>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</si>
  <si>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</si>
  <si>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</si>
  <si>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</si>
  <si>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</si>
  <si>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</si>
  <si>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</si>
  <si>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</si>
  <si>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</si>
  <si>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</si>
  <si>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</si>
  <si>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</si>
  <si>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</si>
  <si>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</si>
  <si>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</si>
  <si>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</si>
  <si>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</si>
  <si>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</si>
  <si>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</si>
  <si>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</si>
  <si>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</si>
  <si>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</si>
  <si>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</si>
  <si>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</si>
  <si>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</si>
  <si>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</si>
  <si>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</si>
  <si>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</si>
  <si>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</si>
  <si>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</si>
  <si>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</si>
  <si>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</si>
  <si>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</si>
  <si>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</si>
  <si>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</si>
  <si>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</si>
  <si>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</si>
  <si>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</si>
  <si>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</si>
  <si>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</si>
  <si>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</si>
  <si>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</si>
  <si>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</si>
  <si>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</si>
  <si>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</si>
  <si>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</si>
  <si>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</si>
  <si>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</si>
  <si>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</si>
  <si>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</si>
  <si>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</si>
  <si>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</si>
  <si>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</si>
  <si>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</si>
  <si>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</si>
  <si>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</si>
  <si>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</si>
  <si>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</si>
  <si>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</si>
  <si>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</si>
  <si>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</si>
  <si>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</si>
  <si>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</si>
  <si>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</si>
  <si>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</si>
  <si>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</si>
  <si>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</si>
  <si>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</si>
  <si>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</si>
  <si>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</si>
  <si>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</si>
  <si>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</si>
  <si>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</si>
  <si>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</si>
  <si>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</si>
  <si>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</si>
  <si>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</si>
  <si>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</si>
  <si>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</si>
  <si>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</si>
  <si>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</si>
  <si>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</si>
  <si>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</si>
  <si>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</si>
  <si>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</si>
  <si>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</si>
  <si>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</si>
  <si>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</si>
  <si>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</si>
  <si>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</si>
  <si>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</si>
  <si>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</si>
  <si>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</si>
  <si>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</si>
  <si>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</si>
  <si>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</si>
  <si>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</si>
  <si>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</si>
  <si>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</si>
  <si>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</si>
  <si>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</si>
  <si>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</si>
  <si>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</si>
  <si>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</si>
  <si>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</si>
  <si>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</si>
  <si>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</si>
  <si>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</si>
  <si>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</si>
  <si>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</si>
  <si>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</si>
  <si>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</si>
  <si>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</si>
  <si>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</si>
  <si>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</si>
  <si>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</si>
  <si>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</si>
  <si>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</si>
  <si>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</si>
  <si>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</si>
  <si>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</si>
  <si>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</si>
  <si>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</si>
  <si>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</si>
  <si>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</si>
  <si>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</si>
  <si>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</si>
  <si>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</si>
  <si>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</si>
  <si>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</si>
  <si>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</si>
  <si>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</si>
  <si>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</si>
  <si>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</si>
  <si>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</si>
  <si>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</si>
  <si>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</si>
  <si>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</si>
  <si>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</si>
  <si>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</si>
  <si>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</si>
  <si>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</si>
  <si>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</si>
  <si>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</si>
  <si>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</si>
  <si>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</si>
  <si>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</si>
  <si>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</si>
  <si>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</si>
  <si>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</si>
  <si>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</si>
  <si>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</si>
  <si>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</si>
  <si>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</si>
  <si>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</si>
  <si>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</si>
  <si>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</si>
  <si>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</si>
  <si>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</si>
  <si>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</si>
  <si>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</si>
  <si>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</si>
  <si>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</si>
  <si>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</si>
  <si>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</si>
  <si>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</si>
  <si>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</si>
  <si>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</si>
  <si>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</si>
  <si>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</si>
  <si>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</si>
  <si>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</si>
  <si>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</si>
  <si>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</si>
  <si>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</si>
  <si>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</si>
  <si>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</si>
  <si>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</si>
  <si>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</si>
  <si>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</si>
  <si>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</si>
  <si>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</si>
  <si>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</si>
  <si>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</si>
  <si>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</si>
  <si>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</si>
  <si>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</si>
  <si>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</si>
  <si>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</si>
  <si>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</si>
  <si>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</si>
  <si>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</si>
  <si>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</si>
  <si>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</si>
  <si>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</si>
  <si>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</si>
  <si>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</si>
  <si>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</si>
  <si>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</si>
  <si>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</si>
  <si>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</si>
  <si>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</si>
  <si>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</si>
  <si>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</si>
  <si>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</si>
  <si>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</si>
  <si>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</si>
  <si>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</si>
  <si>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</si>
  <si>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</si>
  <si>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</si>
  <si>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</si>
  <si>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</si>
  <si>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</si>
  <si>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</si>
  <si>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</si>
  <si>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</si>
  <si>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</si>
  <si>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</si>
  <si>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</si>
  <si>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</si>
  <si>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</si>
  <si>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</si>
  <si>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</si>
  <si>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</si>
  <si>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</si>
  <si>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</si>
  <si>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</si>
  <si>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</si>
  <si>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</si>
  <si>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</si>
  <si>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</si>
  <si>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</si>
  <si>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</si>
  <si>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</si>
  <si>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</si>
  <si>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</si>
  <si>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</si>
  <si>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</si>
  <si>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</si>
  <si>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</si>
  <si>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</si>
  <si>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</si>
  <si>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</si>
  <si>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</si>
  <si>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</si>
  <si>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</si>
  <si>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</si>
  <si>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</si>
  <si>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</si>
  <si>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</si>
  <si>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</si>
  <si>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</si>
  <si>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</si>
  <si>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</si>
  <si>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</si>
  <si>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</si>
  <si>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</si>
  <si>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</si>
  <si>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</si>
  <si>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</si>
  <si>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</si>
  <si>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</si>
  <si>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</si>
  <si>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</si>
  <si>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</si>
  <si>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</si>
  <si>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</si>
  <si>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</si>
  <si>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</si>
  <si>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</si>
  <si>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</si>
  <si>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</si>
  <si>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</si>
  <si>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</si>
  <si>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</si>
  <si>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</si>
  <si>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</si>
  <si>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</si>
  <si>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</si>
  <si>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</si>
  <si>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</si>
  <si>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</si>
  <si>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</si>
  <si>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</si>
  <si>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</si>
  <si>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</si>
  <si>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</si>
  <si>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</si>
  <si>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</si>
  <si>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</si>
  <si>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</si>
  <si>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</si>
  <si>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</si>
  <si>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</si>
  <si>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</si>
  <si>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</si>
  <si>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</si>
  <si>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</si>
  <si>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</si>
  <si>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</si>
  <si>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</si>
  <si>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</si>
  <si>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</si>
  <si>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</si>
  <si>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</si>
  <si>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</si>
  <si>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</si>
  <si>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</si>
  <si>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</si>
  <si>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</si>
  <si>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</si>
  <si>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</si>
  <si>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</si>
  <si>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</si>
  <si>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</si>
  <si>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</si>
  <si>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</si>
  <si>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</si>
  <si>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</si>
  <si>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</si>
  <si>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</si>
  <si>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</si>
  <si>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</si>
  <si>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</si>
  <si>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</si>
  <si>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</si>
  <si>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</si>
  <si>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</si>
  <si>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</si>
  <si>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</si>
  <si>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</si>
  <si>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</si>
  <si>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</si>
  <si>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</si>
  <si>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</si>
  <si>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</si>
  <si>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</si>
  <si>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</si>
  <si>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</si>
  <si>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</si>
  <si>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</si>
  <si>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</si>
  <si>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</si>
  <si>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</si>
  <si>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</si>
  <si>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</si>
  <si>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</si>
  <si>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</si>
  <si>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</si>
  <si>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</si>
  <si>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</si>
  <si>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</si>
  <si>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</si>
  <si>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</si>
  <si>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</si>
  <si>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</si>
  <si>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</si>
  <si>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</si>
  <si>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</si>
  <si>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</si>
  <si>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</si>
  <si>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</si>
  <si>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</si>
  <si>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</si>
  <si>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</si>
  <si>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</si>
  <si>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</si>
  <si>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</si>
  <si>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</si>
  <si>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</si>
  <si>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</si>
  <si>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</si>
  <si>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</si>
  <si>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</si>
  <si>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</si>
  <si>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</si>
  <si>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</si>
  <si>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</si>
  <si>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</si>
  <si>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</si>
  <si>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</si>
  <si>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</si>
  <si>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</si>
  <si>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</si>
  <si>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</si>
  <si>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</si>
  <si>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</si>
  <si>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</si>
  <si>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</si>
  <si>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</si>
  <si>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</si>
  <si>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</si>
  <si>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</si>
  <si>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</si>
  <si>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</si>
  <si>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</si>
  <si>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</si>
  <si>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</si>
  <si>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</si>
  <si>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</si>
  <si>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</si>
  <si>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</si>
  <si>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</si>
  <si>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</si>
  <si>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</si>
  <si>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</si>
  <si>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</si>
  <si>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</si>
  <si>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</si>
  <si>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</si>
  <si>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</si>
  <si>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</si>
  <si>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</si>
  <si>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</si>
  <si>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</si>
  <si>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</si>
  <si>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</si>
  <si>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</si>
  <si>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</si>
  <si>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</si>
  <si>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</si>
  <si>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</si>
  <si>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</si>
  <si>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</si>
  <si>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</si>
  <si>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</si>
  <si>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</si>
  <si>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</si>
  <si>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</si>
  <si>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</si>
  <si>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</si>
  <si>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</si>
  <si>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</si>
  <si>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</si>
  <si>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</si>
  <si>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</si>
  <si>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</si>
  <si>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</si>
  <si>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</si>
  <si>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</si>
  <si>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</si>
  <si>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</si>
  <si>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</si>
  <si>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</si>
  <si>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</si>
  <si>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</si>
  <si>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</si>
  <si>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</si>
  <si>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</si>
  <si>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</si>
  <si>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</si>
  <si>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</si>
  <si>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</si>
  <si>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</si>
  <si>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</si>
  <si>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</si>
  <si>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</si>
  <si>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</si>
  <si>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</si>
  <si>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</si>
  <si>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</si>
  <si>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</si>
  <si>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</si>
  <si>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</si>
  <si>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</si>
  <si>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</si>
  <si>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</si>
  <si>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</si>
  <si>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</si>
  <si>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</si>
  <si>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</si>
  <si>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</si>
  <si>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</si>
  <si>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</si>
  <si>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</si>
  <si>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</si>
  <si>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</si>
  <si>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</si>
  <si>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</si>
  <si>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</si>
  <si>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</si>
  <si>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</si>
  <si>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</si>
  <si>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</si>
  <si>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</si>
  <si>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</si>
  <si>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</si>
  <si>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</si>
  <si>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</si>
  <si>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</si>
  <si>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</si>
  <si>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</si>
  <si>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</si>
  <si>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</si>
  <si>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</si>
  <si>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</si>
  <si>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</si>
  <si>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</si>
  <si>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</si>
  <si>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</si>
  <si>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</si>
  <si>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</si>
  <si>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</si>
  <si>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</si>
  <si>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</si>
  <si>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</si>
  <si>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</si>
  <si>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</si>
  <si>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</si>
  <si>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</si>
  <si>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</si>
  <si>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</si>
  <si>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</si>
  <si>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</si>
  <si>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</si>
  <si>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</si>
  <si>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</si>
  <si>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</si>
  <si>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</si>
  <si>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</si>
  <si>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</si>
  <si>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</si>
  <si>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</si>
  <si>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</si>
  <si>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</si>
  <si>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</si>
  <si>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</si>
  <si>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</si>
  <si>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</si>
  <si>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</si>
  <si>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</si>
  <si>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</si>
  <si>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</si>
  <si>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</si>
  <si>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</si>
  <si>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</si>
  <si>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</si>
  <si>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</si>
  <si>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</si>
  <si>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</si>
  <si>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</si>
  <si>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</si>
  <si>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</si>
  <si>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</si>
  <si>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</si>
  <si>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</si>
  <si>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</si>
  <si>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</si>
  <si>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</si>
  <si>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</si>
  <si>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</si>
  <si>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</si>
  <si>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</si>
  <si>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</si>
  <si>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</si>
  <si>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</si>
  <si>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</si>
  <si>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</si>
  <si>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</si>
  <si>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</si>
  <si>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</si>
  <si>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</si>
  <si>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</si>
  <si>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</si>
  <si>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</si>
  <si>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</si>
  <si>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</si>
  <si>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</si>
  <si>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</si>
  <si>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</si>
  <si>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</si>
  <si>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</si>
  <si>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</si>
  <si>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</si>
  <si>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</si>
  <si>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</si>
  <si>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</si>
  <si>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</si>
  <si>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</si>
  <si>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</si>
  <si>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</si>
  <si>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</si>
  <si>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</si>
  <si>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</si>
  <si>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</si>
  <si>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</si>
  <si>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</si>
  <si>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</si>
  <si>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</si>
  <si>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</si>
  <si>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</si>
  <si>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</si>
  <si>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</si>
  <si>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</si>
  <si>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</si>
  <si>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</si>
  <si>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</si>
  <si>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</si>
  <si>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</si>
  <si>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</si>
  <si>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</si>
  <si>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</si>
  <si>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</si>
  <si>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</si>
  <si>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</si>
  <si>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</si>
  <si>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</si>
  <si>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</si>
  <si>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</si>
  <si>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</si>
  <si>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</si>
  <si>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</si>
  <si>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</si>
  <si>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</si>
  <si>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</si>
  <si>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</si>
  <si>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</si>
  <si>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</si>
  <si>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</si>
  <si>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</si>
  <si>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</si>
  <si>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</si>
  <si>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</si>
  <si>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</si>
  <si>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</si>
  <si>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</si>
  <si>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</si>
  <si>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</si>
  <si>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</si>
  <si>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</si>
  <si>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</si>
  <si>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</si>
  <si>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</si>
  <si>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</si>
  <si>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</si>
  <si>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</si>
  <si>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</si>
  <si>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</si>
  <si>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</si>
  <si>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</si>
  <si>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</si>
  <si>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</si>
  <si>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</si>
  <si>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</si>
  <si>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</si>
  <si>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</si>
  <si>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</si>
  <si>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</si>
  <si>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</si>
  <si>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</si>
  <si>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</si>
  <si>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</si>
  <si>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</si>
  <si>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</si>
  <si>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</si>
  <si>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</si>
  <si>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</si>
  <si>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</si>
  <si>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</si>
  <si>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</si>
  <si>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</si>
  <si>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</si>
  <si>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</si>
  <si>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</si>
  <si>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</si>
  <si>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</si>
  <si>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</si>
  <si>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</si>
  <si>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</si>
  <si>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</si>
  <si>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</si>
  <si>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</si>
  <si>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</si>
  <si>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</si>
  <si>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</si>
  <si>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</si>
  <si>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</si>
  <si>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</si>
  <si>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</si>
  <si>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</si>
  <si>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</si>
  <si>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</si>
  <si>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</si>
  <si>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</si>
  <si>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</si>
  <si>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</si>
  <si>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</si>
  <si>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</si>
  <si>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</si>
  <si>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</si>
  <si>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</si>
  <si>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</si>
  <si>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</si>
  <si>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</si>
  <si>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</si>
  <si>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</si>
  <si>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</si>
  <si>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</si>
  <si>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</si>
  <si>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</si>
  <si>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</si>
  <si>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</si>
  <si>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</si>
  <si>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</si>
  <si>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</si>
  <si>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</si>
  <si>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</si>
  <si>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</si>
  <si>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</si>
  <si>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</si>
  <si>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</si>
  <si>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</si>
  <si>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</si>
  <si>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</si>
  <si>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</si>
  <si>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</si>
  <si>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</si>
  <si>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</si>
  <si>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</si>
  <si>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</si>
  <si>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</si>
  <si>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</si>
  <si>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</si>
  <si>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</si>
  <si>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</si>
  <si>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</si>
  <si>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</si>
  <si>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</si>
  <si>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</si>
  <si>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</si>
  <si>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</si>
  <si>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</si>
  <si>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</si>
  <si>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</si>
  <si>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</si>
  <si>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</si>
  <si>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</si>
  <si>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</si>
  <si>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</si>
  <si>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</si>
  <si>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</si>
  <si>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</si>
  <si>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</si>
  <si>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</si>
  <si>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</si>
  <si>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</si>
  <si>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</si>
  <si>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</si>
  <si>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</si>
  <si>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</si>
  <si>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</si>
  <si>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</si>
  <si>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</si>
  <si>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</si>
  <si>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</si>
  <si>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</si>
  <si>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</si>
  <si>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</si>
  <si>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</si>
  <si>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</si>
  <si>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</si>
  <si>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</si>
  <si>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</si>
  <si>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</si>
  <si>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</si>
  <si>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</si>
  <si>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</si>
  <si>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</si>
  <si>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</si>
  <si>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</si>
  <si>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</si>
  <si>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</si>
  <si>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</si>
  <si>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</si>
  <si>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</si>
  <si>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</si>
  <si>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</si>
  <si>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</si>
  <si>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</si>
  <si>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</si>
  <si>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</si>
  <si>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</si>
  <si>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</si>
  <si>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</si>
  <si>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</si>
  <si>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</si>
  <si>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</si>
  <si>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</si>
  <si>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</si>
  <si>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</si>
  <si>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</si>
  <si>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</si>
  <si>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</si>
  <si>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</si>
  <si>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</si>
  <si>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</si>
  <si>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</si>
  <si>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</si>
  <si>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</si>
  <si>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</si>
  <si>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</si>
  <si>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</si>
  <si>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</si>
  <si>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</si>
  <si>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</si>
  <si>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</si>
  <si>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</si>
  <si>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</si>
  <si>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</si>
  <si>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</si>
  <si>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</si>
  <si>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</si>
  <si>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</si>
  <si>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</si>
  <si>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</si>
  <si>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</si>
  <si>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</si>
  <si>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</si>
  <si>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</si>
  <si>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</si>
  <si>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</si>
  <si>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</si>
  <si>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</si>
  <si>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</si>
  <si>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</si>
  <si>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</si>
  <si>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</si>
  <si>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</si>
  <si>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</si>
  <si>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</si>
  <si>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</si>
  <si>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</si>
  <si>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</si>
  <si>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</si>
  <si>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</si>
  <si>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</si>
  <si>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</si>
  <si>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</si>
  <si>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</si>
  <si>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</si>
  <si>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</si>
  <si>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</si>
  <si>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</si>
  <si>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</si>
  <si>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</si>
  <si>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</si>
  <si>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</si>
  <si>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</si>
  <si>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</si>
  <si>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</si>
  <si>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</si>
  <si>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</si>
  <si>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</si>
  <si>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</si>
  <si>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</si>
  <si>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</si>
  <si>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</si>
  <si>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</si>
  <si>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</si>
  <si>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</si>
  <si>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</si>
  <si>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</si>
  <si>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</si>
  <si>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</si>
  <si>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</si>
  <si>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</si>
  <si>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</si>
  <si>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</si>
  <si>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</si>
  <si>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</si>
  <si>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</si>
  <si>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</si>
  <si>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</si>
  <si>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</si>
  <si>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</si>
  <si>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</si>
  <si>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</si>
  <si>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</si>
  <si>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</si>
  <si>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</si>
  <si>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</si>
  <si>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</si>
  <si>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</si>
  <si>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</si>
  <si>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</si>
  <si>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</si>
  <si>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</si>
  <si>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</si>
  <si>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</si>
  <si>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</si>
  <si>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</si>
  <si>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</si>
  <si>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</si>
  <si>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</si>
  <si>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</si>
  <si>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</si>
  <si>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</si>
  <si>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</si>
  <si>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</si>
  <si>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</si>
  <si>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</si>
  <si>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</si>
  <si>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</si>
  <si>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</si>
  <si>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</si>
  <si>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</si>
  <si>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</si>
  <si>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</si>
  <si>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</si>
  <si>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</si>
  <si>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</si>
  <si>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</si>
  <si>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</si>
  <si>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</si>
  <si>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</si>
  <si>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</si>
  <si>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</si>
  <si>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</si>
  <si>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</si>
  <si>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</si>
  <si>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</si>
  <si>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</si>
  <si>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</si>
  <si>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</si>
  <si>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</si>
  <si>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</si>
  <si>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</si>
  <si>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</si>
  <si>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</si>
  <si>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</si>
  <si>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</si>
  <si>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</si>
  <si>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</si>
  <si>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</si>
  <si>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</si>
  <si>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</si>
  <si>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</si>
  <si>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</si>
  <si>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</si>
  <si>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</si>
  <si>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</si>
  <si>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</si>
  <si>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</si>
  <si>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</si>
  <si>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</si>
  <si>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</si>
  <si>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</si>
  <si>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</si>
  <si>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</si>
  <si>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</si>
  <si>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</si>
  <si>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</si>
  <si>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</si>
  <si>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</si>
  <si>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</si>
  <si>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</si>
  <si>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</si>
  <si>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</si>
  <si>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</si>
  <si>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</si>
  <si>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</si>
  <si>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</si>
  <si>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</si>
  <si>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</si>
  <si>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</si>
  <si>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</si>
  <si>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</si>
  <si>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</si>
  <si>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</si>
  <si>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</si>
  <si>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</si>
  <si>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</si>
  <si>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</si>
  <si>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</si>
  <si>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</si>
  <si>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</si>
  <si>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</si>
  <si>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</si>
  <si>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</si>
  <si>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</si>
  <si>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</si>
  <si>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</si>
  <si>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</si>
  <si>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</si>
  <si>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</si>
  <si>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</si>
  <si>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</si>
  <si>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</si>
  <si>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</si>
  <si>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</si>
  <si>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</si>
  <si>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</si>
  <si>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</si>
  <si>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</si>
  <si>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</si>
  <si>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</si>
  <si>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</si>
  <si>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</si>
  <si>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</si>
  <si>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</si>
  <si>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</si>
  <si>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</si>
  <si>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</si>
  <si>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</si>
  <si>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</si>
  <si>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</si>
  <si>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</si>
  <si>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</si>
  <si>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</si>
  <si>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</si>
  <si>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</si>
  <si>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</si>
  <si>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</si>
  <si>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</si>
  <si>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</si>
  <si>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</si>
  <si>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</si>
  <si>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</si>
  <si>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</si>
  <si>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</si>
  <si>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</si>
  <si>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</si>
  <si>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</si>
  <si>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</si>
  <si>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</si>
  <si>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</si>
  <si>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</si>
  <si>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</si>
  <si>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</si>
  <si>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</si>
  <si>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</si>
  <si>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</si>
  <si>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</si>
  <si>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</si>
  <si>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</si>
  <si>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</si>
  <si>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</si>
  <si>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</si>
  <si>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</si>
  <si>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</si>
  <si>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</si>
  <si>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</si>
  <si>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</si>
  <si>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</si>
  <si>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</si>
  <si>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</si>
  <si>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</si>
  <si>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</si>
  <si>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</si>
  <si>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</si>
  <si>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</si>
  <si>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</si>
  <si>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</si>
  <si>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</si>
  <si>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</si>
  <si>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</si>
  <si>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</si>
  <si>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</si>
  <si>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</si>
  <si>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</si>
  <si>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</si>
  <si>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</si>
  <si>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</si>
  <si>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</si>
  <si>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</si>
  <si>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</si>
  <si>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</si>
  <si>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</si>
  <si>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</si>
  <si>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</si>
  <si>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</si>
  <si>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</si>
  <si>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</si>
  <si>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</si>
  <si>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</si>
  <si>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</si>
  <si>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</si>
  <si>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</si>
  <si>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</si>
  <si>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</si>
  <si>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</si>
  <si>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</si>
  <si>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</si>
  <si>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</si>
  <si>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</si>
  <si>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</si>
  <si>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</si>
  <si>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</si>
  <si>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</si>
  <si>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</si>
  <si>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</si>
  <si>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</si>
  <si>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</si>
  <si>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</si>
  <si>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</si>
  <si>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</si>
  <si>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</si>
  <si>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</si>
  <si>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</si>
  <si>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</si>
  <si>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</si>
  <si>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</si>
  <si>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</si>
  <si>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</si>
  <si>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</si>
  <si>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</si>
  <si>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</si>
  <si>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</si>
  <si>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</si>
  <si>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</si>
  <si>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</si>
  <si>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</si>
  <si>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</si>
  <si>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</si>
  <si>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</si>
  <si>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</si>
  <si>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</si>
  <si>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</si>
  <si>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</si>
  <si>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</si>
  <si>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</si>
  <si>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</si>
  <si>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</si>
  <si>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</si>
  <si>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</si>
  <si>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</si>
  <si>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</si>
  <si>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</si>
  <si>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</si>
  <si>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</si>
  <si>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</si>
  <si>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</si>
  <si>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</si>
  <si>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</si>
  <si>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</si>
  <si>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</si>
  <si>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</si>
  <si>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</si>
  <si>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</si>
  <si>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</si>
  <si>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</si>
  <si>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</si>
  <si>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</si>
  <si>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</si>
  <si>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</si>
  <si>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</si>
  <si>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</si>
  <si>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</si>
  <si>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</si>
  <si>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</si>
  <si>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</si>
  <si>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</si>
  <si>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</si>
  <si>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</si>
  <si>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</si>
  <si>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</si>
  <si>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</si>
  <si>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</si>
  <si>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</si>
  <si>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</si>
  <si>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</si>
  <si>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</si>
  <si>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</si>
  <si>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</si>
  <si>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</si>
  <si>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</si>
  <si>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</si>
  <si>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</si>
  <si>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</si>
  <si>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</si>
  <si>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</si>
  <si>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</si>
  <si>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</si>
  <si>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</si>
  <si>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</si>
  <si>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</si>
  <si>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</si>
  <si>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</si>
  <si>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</si>
  <si>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</si>
  <si>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</si>
  <si>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</si>
  <si>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</si>
  <si>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</si>
  <si>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</si>
  <si>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</si>
  <si>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</si>
  <si>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</si>
  <si>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</si>
  <si>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</si>
  <si>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</si>
  <si>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</si>
  <si>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</si>
  <si>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</si>
  <si>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</si>
  <si>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</si>
  <si>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</si>
  <si>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</si>
  <si>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</si>
  <si>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</si>
  <si>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</si>
  <si>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</si>
  <si>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</si>
  <si>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</si>
  <si>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</si>
  <si>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</si>
  <si>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</si>
  <si>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</si>
  <si>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</si>
  <si>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</si>
  <si>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</si>
  <si>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</si>
  <si>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</si>
  <si>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</si>
  <si>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</si>
  <si>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</si>
  <si>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</si>
  <si>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</si>
  <si>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</si>
  <si>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</si>
  <si>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</si>
  <si>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</si>
  <si>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</si>
  <si>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</si>
  <si>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</si>
  <si>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</si>
  <si>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</si>
  <si>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</si>
  <si>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</si>
  <si>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</si>
  <si>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</si>
  <si>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</si>
  <si>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</si>
  <si>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</si>
  <si>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</si>
  <si>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</si>
  <si>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</si>
  <si>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</si>
  <si>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</si>
  <si>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</si>
  <si>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</si>
  <si>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</si>
  <si>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</si>
  <si>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</si>
  <si>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</si>
  <si>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</si>
  <si>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</si>
  <si>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</si>
  <si>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</si>
  <si>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</si>
  <si>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</si>
  <si>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</si>
  <si>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</si>
  <si>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</si>
  <si>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</si>
  <si>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</si>
  <si>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</si>
  <si>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</si>
  <si>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</si>
  <si>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</si>
  <si>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</si>
  <si>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</si>
  <si>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</si>
  <si>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</si>
  <si>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</si>
  <si>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</si>
  <si>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</si>
  <si>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</si>
  <si>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</si>
  <si>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</si>
  <si>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</si>
  <si>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</si>
  <si>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</si>
  <si>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</si>
  <si>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</si>
  <si>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</si>
  <si>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</si>
  <si>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</si>
  <si>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</si>
  <si>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</si>
  <si>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</si>
  <si>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</si>
  <si>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</si>
  <si>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</si>
  <si>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</si>
  <si>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</si>
  <si>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</si>
  <si>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</si>
  <si>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</si>
  <si>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</si>
  <si>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</si>
  <si>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</si>
  <si>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</si>
  <si>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</si>
  <si>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</si>
  <si>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</si>
  <si>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</si>
  <si>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</si>
  <si>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</si>
  <si>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</si>
  <si>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</si>
  <si>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</si>
  <si>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</si>
  <si>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</si>
  <si>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</si>
  <si>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</si>
  <si>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</si>
  <si>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</si>
  <si>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</si>
  <si>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</si>
  <si>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</si>
  <si>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</si>
  <si>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</si>
  <si>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</si>
  <si>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</si>
  <si>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</si>
  <si>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</si>
  <si>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</si>
  <si>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</si>
  <si>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</si>
  <si>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</si>
  <si>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</si>
  <si>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</si>
  <si>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</si>
  <si>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</si>
  <si>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</si>
  <si>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</si>
  <si>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</si>
  <si>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</si>
  <si>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</si>
  <si>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</si>
  <si>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</si>
  <si>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</si>
  <si>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</si>
  <si>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</si>
  <si>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</si>
  <si>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</si>
  <si>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</si>
  <si>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</si>
  <si>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</si>
  <si>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</si>
  <si>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</si>
  <si>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</si>
  <si>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</si>
  <si>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</si>
  <si>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</si>
  <si>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</si>
  <si>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</si>
  <si>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</si>
  <si>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</si>
  <si>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</si>
  <si>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</si>
  <si>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</si>
  <si>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</si>
  <si>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</si>
  <si>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</si>
  <si>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</si>
  <si>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</si>
  <si>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</si>
  <si>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</si>
  <si>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</si>
  <si>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</si>
  <si>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</si>
  <si>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</si>
  <si>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</si>
  <si>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</si>
  <si>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</si>
  <si>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</si>
  <si>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</si>
  <si>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</si>
  <si>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</si>
  <si>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</si>
  <si>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</si>
  <si>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</si>
  <si>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</si>
  <si>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</si>
  <si>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</si>
  <si>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</si>
  <si>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</si>
  <si>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</si>
  <si>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</si>
  <si>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</si>
  <si>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</si>
  <si>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</si>
  <si>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</si>
  <si>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</si>
  <si>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</si>
  <si>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</si>
  <si>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</si>
  <si>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</si>
  <si>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</si>
  <si>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</si>
  <si>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</si>
  <si>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</si>
  <si>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</si>
  <si>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</si>
  <si>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</si>
  <si>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</si>
  <si>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</si>
  <si>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</si>
  <si>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</si>
  <si>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</si>
  <si>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</si>
  <si>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</si>
  <si>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</si>
  <si>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</si>
  <si>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</si>
  <si>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</si>
  <si>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</si>
  <si>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</si>
  <si>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</si>
  <si>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</si>
  <si>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</si>
  <si>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</si>
  <si>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</si>
  <si>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</si>
  <si>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</si>
  <si>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</si>
  <si>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</si>
  <si>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</si>
  <si>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</si>
  <si>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</si>
  <si>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</si>
  <si>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</si>
  <si>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</si>
  <si>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</si>
  <si>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</si>
  <si>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</si>
  <si>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</si>
  <si>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</si>
  <si>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</si>
  <si>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</si>
  <si>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</si>
  <si>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</si>
  <si>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</si>
  <si>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</si>
  <si>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</si>
  <si>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</si>
  <si>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</si>
  <si>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</si>
  <si>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</si>
  <si>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</si>
  <si>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</si>
  <si>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</si>
  <si>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</si>
  <si>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</si>
  <si>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</si>
  <si>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</si>
  <si>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</si>
  <si>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</si>
  <si>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</si>
  <si>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</si>
  <si>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</si>
  <si>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</si>
  <si>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</si>
  <si>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</si>
  <si>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</si>
  <si>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</si>
  <si>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</si>
  <si>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</si>
  <si>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</si>
  <si>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</si>
  <si>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</si>
  <si>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</si>
  <si>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</si>
  <si>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</si>
  <si>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</si>
  <si>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</si>
  <si>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</si>
  <si>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</si>
  <si>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</si>
  <si>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</si>
  <si>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</si>
  <si>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</si>
  <si>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</si>
  <si>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</si>
  <si>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</si>
  <si>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</si>
  <si>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</si>
  <si>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</si>
  <si>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</si>
  <si>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</si>
  <si>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</si>
  <si>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</si>
  <si>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</si>
  <si>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</si>
  <si>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</si>
  <si>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</si>
  <si>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</si>
  <si>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</si>
  <si>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</si>
  <si>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</si>
  <si>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</si>
  <si>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</si>
  <si>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</si>
  <si>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</si>
  <si>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</si>
  <si>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</si>
  <si>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</si>
  <si>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</si>
  <si>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</si>
  <si>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</si>
  <si>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</si>
  <si>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</si>
  <si>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</si>
  <si>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</si>
  <si>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</si>
  <si>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</si>
  <si>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</si>
  <si>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</si>
  <si>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</si>
  <si>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</si>
  <si>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</si>
  <si>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</si>
  <si>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</si>
  <si>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</si>
  <si>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</si>
  <si>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</si>
  <si>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</si>
  <si>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</si>
  <si>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</si>
  <si>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</si>
  <si>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</si>
  <si>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</si>
  <si>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</si>
  <si>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</si>
  <si>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</si>
  <si>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</si>
  <si>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</si>
  <si>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</si>
  <si>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</si>
  <si>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</si>
  <si>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</si>
  <si>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</si>
  <si>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</si>
  <si>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</si>
  <si>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</si>
  <si>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</si>
  <si>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</si>
  <si>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</si>
  <si>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</si>
  <si>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</si>
  <si>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</si>
  <si>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</si>
  <si>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</si>
  <si>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</si>
  <si>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</si>
  <si>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</si>
  <si>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</si>
  <si>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</si>
  <si>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</si>
  <si>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</si>
  <si>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</si>
  <si>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</si>
  <si>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</si>
  <si>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</si>
  <si>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</si>
  <si>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</si>
  <si>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</si>
  <si>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</si>
  <si>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</si>
  <si>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</si>
  <si>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</si>
  <si>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</si>
  <si>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</si>
  <si>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</si>
  <si>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</si>
  <si>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</si>
  <si>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</si>
  <si>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</si>
  <si>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</si>
  <si>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</si>
  <si>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</si>
  <si>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</si>
  <si>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</si>
  <si>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</si>
  <si>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</si>
  <si>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</si>
  <si>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</si>
  <si>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</si>
  <si>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</si>
  <si>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</si>
  <si>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</si>
  <si>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</si>
  <si>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</si>
  <si>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</si>
  <si>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</si>
  <si>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</si>
  <si>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</si>
  <si>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</si>
  <si>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</si>
  <si>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</si>
  <si>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</si>
  <si>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</si>
  <si>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</si>
  <si>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</si>
  <si>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</si>
  <si>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</si>
  <si>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</si>
  <si>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</si>
  <si>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</si>
  <si>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</si>
  <si>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</si>
  <si>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</si>
  <si>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</si>
  <si>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</si>
  <si>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</si>
  <si>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</si>
  <si>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</si>
  <si>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</si>
  <si>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</si>
  <si>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</si>
  <si>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</si>
  <si>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</si>
  <si>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</si>
  <si>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</si>
  <si>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</si>
  <si>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</si>
  <si>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</si>
  <si>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</si>
  <si>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</si>
  <si>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</si>
  <si>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</si>
  <si>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</si>
  <si>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</si>
  <si>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</si>
  <si>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</si>
  <si>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</si>
  <si>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</si>
  <si>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</si>
  <si>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</si>
  <si>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</si>
  <si>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</si>
  <si>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</si>
  <si>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</si>
  <si>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</si>
  <si>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</si>
  <si>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</si>
  <si>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</si>
  <si>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</si>
  <si>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</si>
  <si>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</si>
  <si>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</si>
  <si>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</si>
  <si>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</si>
  <si>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</si>
  <si>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</si>
  <si>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</si>
  <si>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</si>
  <si>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</si>
  <si>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</si>
  <si>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</si>
  <si>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</si>
  <si>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</si>
  <si>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</si>
  <si>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</si>
  <si>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</si>
  <si>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</si>
  <si>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</si>
  <si>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</si>
  <si>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</si>
  <si>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</si>
  <si>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</si>
  <si>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</si>
  <si>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</si>
  <si>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</si>
  <si>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</si>
  <si>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</si>
  <si>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</si>
  <si>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</si>
  <si>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</si>
  <si>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</si>
  <si>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</si>
  <si>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</si>
  <si>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</si>
  <si>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</si>
  <si>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</si>
  <si>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</si>
  <si>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</si>
  <si>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</si>
  <si>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</si>
  <si>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</si>
  <si>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</si>
  <si>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</si>
  <si>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</si>
  <si>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</si>
  <si>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</si>
  <si>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</si>
  <si>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</si>
  <si>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</si>
  <si>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</si>
  <si>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</si>
  <si>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</si>
  <si>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</si>
  <si>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</si>
  <si>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</si>
  <si>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</si>
  <si>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</si>
  <si>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</si>
  <si>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</si>
  <si>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</si>
  <si>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</si>
  <si>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</si>
  <si>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</si>
  <si>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</si>
  <si>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</si>
  <si>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</si>
  <si>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</si>
  <si>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</si>
  <si>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</si>
  <si>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</si>
  <si>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</si>
  <si>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</si>
  <si>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</si>
  <si>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</si>
  <si>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</si>
  <si>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</si>
  <si>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</si>
  <si>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</si>
  <si>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</si>
  <si>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</si>
  <si>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</si>
  <si>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</si>
  <si>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</si>
  <si>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</si>
  <si>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</si>
  <si>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</si>
  <si>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</si>
  <si>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</si>
  <si>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</si>
  <si>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</si>
  <si>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</si>
  <si>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</si>
  <si>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</si>
  <si>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</si>
  <si>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</si>
  <si>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</si>
  <si>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</si>
  <si>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</si>
  <si>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</si>
  <si>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</si>
  <si>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</si>
  <si>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</si>
  <si>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</si>
  <si>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</si>
  <si>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</si>
  <si>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</si>
  <si>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</si>
  <si>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</si>
  <si>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</si>
  <si>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</si>
  <si>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</si>
  <si>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</si>
  <si>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</si>
  <si>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</si>
  <si>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</si>
  <si>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</si>
  <si>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</si>
  <si>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</si>
  <si>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</si>
  <si>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</si>
  <si>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</si>
  <si>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</si>
  <si>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</si>
  <si>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</si>
  <si>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</si>
  <si>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</si>
  <si>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</si>
  <si>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</si>
  <si>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</si>
  <si>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</si>
  <si>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</si>
  <si>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</si>
  <si>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</si>
  <si>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</si>
  <si>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</si>
  <si>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</si>
  <si>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</si>
  <si>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</si>
  <si>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</si>
  <si>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</si>
  <si>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</si>
  <si>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</si>
  <si>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</si>
  <si>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</si>
  <si>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</si>
  <si>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</si>
  <si>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</si>
  <si>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</si>
  <si>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</si>
  <si>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</si>
  <si>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</si>
  <si>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</si>
  <si>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</si>
  <si>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</si>
  <si>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</si>
  <si>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</si>
  <si>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</si>
  <si>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</si>
  <si>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</si>
  <si>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</si>
  <si>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</si>
  <si>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</si>
  <si>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</si>
  <si>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</si>
  <si>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</si>
  <si>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</si>
  <si>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</si>
  <si>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</si>
  <si>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</si>
  <si>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</si>
  <si>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</si>
  <si>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</si>
  <si>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</si>
  <si>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</si>
  <si>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</si>
  <si>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</si>
  <si>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</si>
  <si>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</si>
  <si>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</si>
  <si>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</si>
  <si>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</si>
  <si>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</si>
  <si>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</si>
  <si>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</si>
  <si>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</si>
  <si>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</si>
  <si>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</si>
  <si>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</si>
  <si>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</si>
  <si>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</si>
  <si>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</si>
  <si>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</si>
  <si>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</si>
  <si>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</si>
  <si>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</si>
  <si>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</si>
  <si>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</si>
  <si>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</si>
  <si>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</si>
  <si>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</si>
  <si>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</si>
  <si>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</si>
  <si>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</si>
  <si>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</si>
  <si>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</si>
  <si>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</si>
  <si>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</si>
  <si>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</si>
  <si>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</si>
  <si>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</si>
  <si>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</si>
  <si>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</si>
  <si>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</si>
  <si>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</si>
  <si>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</si>
  <si>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</si>
  <si>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</si>
  <si>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</si>
  <si>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</si>
  <si>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</si>
  <si>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</si>
  <si>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</si>
  <si>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</si>
  <si>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</si>
  <si>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</si>
  <si>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</si>
  <si>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</si>
  <si>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</si>
  <si>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</si>
  <si>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</si>
  <si>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</si>
  <si>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</si>
  <si>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</si>
  <si>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</si>
  <si>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</si>
  <si>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</si>
  <si>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</si>
  <si>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</si>
  <si>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</si>
  <si>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</si>
  <si>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</si>
  <si>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</si>
  <si>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</si>
  <si>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</si>
  <si>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</si>
  <si>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</si>
  <si>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</si>
  <si>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</si>
  <si>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</si>
  <si>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</si>
  <si>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</si>
  <si>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</si>
  <si>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</si>
  <si>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</si>
  <si>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</si>
  <si>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</si>
  <si>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</si>
  <si>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</si>
  <si>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</si>
  <si>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</si>
  <si>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</si>
  <si>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</si>
  <si>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</si>
  <si>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</si>
  <si>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</si>
  <si>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</si>
  <si>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</si>
  <si>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</si>
  <si>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</si>
  <si>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</si>
  <si>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</si>
  <si>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</si>
  <si>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</si>
  <si>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</si>
  <si>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</si>
  <si>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</si>
  <si>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</si>
  <si>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</si>
  <si>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</si>
  <si>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</si>
  <si>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</si>
  <si>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</si>
  <si>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</si>
  <si>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</si>
  <si>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</si>
  <si>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</si>
  <si>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</si>
  <si>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</si>
  <si>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</si>
  <si>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</si>
  <si>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</si>
  <si>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</si>
  <si>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</si>
  <si>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</si>
  <si>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</si>
  <si>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</si>
  <si>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</si>
  <si>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</si>
  <si>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</si>
  <si>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</si>
  <si>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</si>
  <si>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</si>
  <si>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</si>
  <si>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</si>
  <si>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</si>
  <si>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</si>
  <si>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</si>
  <si>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</si>
  <si>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</si>
  <si>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</si>
  <si>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</si>
  <si>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</si>
  <si>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</si>
  <si>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</si>
  <si>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</si>
  <si>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</si>
  <si>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</si>
  <si>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</si>
  <si>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</si>
  <si>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</si>
  <si>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</si>
  <si>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</si>
  <si>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</si>
  <si>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</si>
  <si>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</si>
  <si>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</si>
  <si>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</si>
  <si>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</si>
  <si>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</si>
  <si>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</si>
  <si>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</si>
  <si>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</si>
  <si>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</si>
  <si>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</si>
  <si>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</si>
  <si>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</si>
  <si>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</si>
  <si>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</si>
  <si>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</si>
  <si>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</si>
  <si>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</si>
  <si>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</si>
  <si>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</si>
  <si>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</si>
  <si>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</si>
  <si>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</si>
  <si>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</si>
  <si>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</si>
  <si>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</si>
  <si>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</si>
  <si>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</si>
  <si>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</si>
  <si>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</si>
  <si>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</si>
  <si>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</si>
  <si>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</si>
  <si>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</si>
  <si>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</si>
  <si>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</si>
  <si>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</si>
  <si>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</si>
  <si>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</si>
  <si>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</si>
  <si>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</si>
  <si>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</si>
  <si>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</si>
  <si>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</si>
  <si>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</si>
  <si>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</si>
  <si>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</si>
  <si>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</si>
  <si>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</si>
  <si>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</si>
  <si>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</si>
  <si>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</si>
  <si>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</si>
  <si>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</si>
  <si>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</si>
  <si>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</si>
  <si>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</si>
  <si>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</si>
  <si>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</si>
  <si>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</si>
  <si>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</si>
  <si>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</si>
  <si>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</si>
  <si>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</si>
  <si>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</si>
  <si>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</si>
  <si>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</si>
  <si>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</si>
  <si>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</si>
  <si>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</si>
  <si>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</si>
  <si>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</si>
  <si>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</si>
  <si>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</si>
  <si>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</si>
  <si>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</si>
  <si>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</si>
  <si>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</si>
  <si>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</si>
  <si>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</si>
  <si>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</si>
  <si>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</si>
  <si>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</si>
  <si>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</si>
  <si>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</si>
  <si>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</si>
  <si>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</si>
  <si>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</si>
  <si>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</si>
  <si>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</si>
  <si>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</si>
  <si>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</si>
  <si>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</si>
  <si>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</si>
  <si>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</si>
  <si>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</si>
  <si>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</si>
  <si>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</si>
  <si>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</si>
  <si>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</si>
  <si>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</si>
  <si>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</si>
  <si>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</si>
  <si>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</si>
  <si>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</si>
  <si>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</si>
  <si>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</si>
  <si>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</si>
  <si>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</si>
  <si>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</si>
  <si>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</si>
  <si>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</si>
  <si>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</si>
  <si>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</si>
  <si>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</si>
  <si>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</si>
  <si>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</si>
  <si>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</si>
  <si>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</si>
  <si>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</si>
  <si>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</si>
  <si>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</si>
  <si>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</si>
  <si>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</si>
  <si>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</si>
  <si>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</si>
  <si>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</si>
  <si>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</si>
  <si>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</si>
  <si>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</si>
  <si>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</si>
  <si>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</si>
  <si>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</si>
  <si>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</si>
  <si>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</si>
  <si>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</si>
  <si>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</si>
  <si>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</si>
  <si>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</si>
  <si>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</si>
  <si>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</si>
  <si>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</si>
  <si>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</si>
  <si>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</si>
  <si>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</si>
  <si>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</si>
  <si>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</si>
  <si>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</si>
  <si>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</si>
  <si>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</si>
  <si>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</si>
  <si>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</si>
  <si>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</si>
  <si>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</si>
  <si>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</si>
  <si>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</si>
  <si>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</si>
  <si>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</si>
  <si>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</si>
  <si>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</si>
  <si>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</si>
  <si>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</si>
  <si>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</si>
  <si>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</si>
  <si>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</si>
  <si>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</si>
  <si>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</si>
  <si>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</si>
  <si>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</si>
  <si>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</si>
  <si>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</si>
  <si>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</si>
  <si>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</si>
  <si>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</si>
  <si>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</si>
  <si>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</si>
  <si>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</si>
  <si>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</si>
  <si>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</si>
  <si>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</si>
  <si>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</si>
  <si>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</si>
  <si>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</si>
  <si>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</si>
  <si>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</si>
  <si>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</si>
  <si>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</si>
  <si>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</si>
  <si>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</si>
  <si>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</si>
  <si>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</si>
  <si>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</si>
  <si>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</si>
  <si>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</si>
  <si>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</si>
  <si>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</si>
  <si>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</si>
  <si>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</si>
  <si>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</si>
  <si>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</si>
  <si>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</si>
  <si>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</si>
  <si>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</si>
  <si>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</si>
  <si>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</si>
  <si>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</si>
  <si>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</si>
  <si>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</si>
  <si>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</si>
  <si>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</si>
  <si>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</si>
  <si>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</si>
  <si>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</si>
  <si>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</si>
  <si>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</si>
  <si>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</si>
  <si>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</si>
  <si>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</si>
  <si>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</si>
  <si>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</si>
  <si>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</si>
  <si>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</si>
  <si>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</si>
  <si>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</si>
  <si>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</si>
  <si>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</si>
  <si>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</si>
  <si>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</si>
  <si>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</si>
  <si>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</si>
  <si>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</si>
  <si>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</si>
  <si>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</si>
  <si>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</si>
  <si>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</si>
  <si>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</si>
  <si>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</si>
  <si>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</si>
  <si>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</si>
  <si>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</si>
  <si>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</si>
  <si>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</si>
  <si>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</si>
  <si>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</si>
  <si>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</si>
  <si>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</si>
  <si>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</si>
  <si>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</si>
  <si>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</si>
  <si>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</si>
  <si>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</si>
  <si>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</si>
  <si>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</si>
  <si>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</si>
  <si>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</si>
  <si>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</si>
  <si>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</si>
  <si>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</si>
  <si>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</si>
  <si>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</si>
  <si>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</si>
  <si>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</si>
  <si>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</si>
  <si>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</si>
  <si>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</si>
  <si>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</si>
  <si>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</si>
  <si>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</si>
  <si>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</si>
  <si>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</si>
  <si>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</si>
  <si>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</si>
  <si>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</si>
  <si>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</si>
  <si>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</si>
  <si>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</si>
  <si>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</si>
  <si>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</si>
  <si>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</si>
  <si>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</si>
  <si>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</si>
  <si>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</si>
  <si>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</si>
  <si>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</si>
  <si>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</si>
  <si>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</si>
  <si>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</si>
  <si>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</si>
  <si>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</si>
  <si>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</si>
  <si>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</si>
  <si>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</si>
  <si>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</si>
  <si>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</si>
  <si>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</si>
  <si>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</si>
  <si>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</si>
  <si>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</si>
  <si>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</si>
  <si>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</si>
  <si>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</si>
  <si>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</si>
  <si>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</si>
  <si>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</si>
  <si>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</si>
  <si>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</si>
  <si>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</si>
  <si>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</si>
  <si>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</si>
  <si>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</si>
  <si>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</si>
  <si>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</si>
  <si>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</si>
  <si>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</si>
  <si>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</si>
  <si>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</si>
  <si>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</si>
  <si>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</si>
  <si>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</si>
  <si>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</si>
  <si>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</si>
  <si>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</si>
  <si>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</si>
  <si>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</si>
  <si>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</si>
  <si>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</si>
  <si>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</si>
  <si>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</si>
  <si>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</si>
  <si>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</si>
  <si>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</si>
  <si>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</si>
  <si>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</si>
  <si>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</si>
  <si>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</si>
  <si>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</si>
  <si>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</si>
  <si>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</si>
  <si>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</si>
  <si>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</si>
  <si>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</si>
  <si>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</si>
  <si>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</si>
  <si>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</si>
  <si>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</si>
  <si>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</si>
  <si>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</si>
  <si>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</si>
  <si>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</si>
  <si>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</si>
  <si>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</si>
  <si>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</si>
  <si>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</si>
  <si>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</si>
  <si>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</si>
  <si>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</si>
  <si>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</si>
  <si>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</si>
  <si>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</si>
  <si>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</si>
  <si>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</si>
  <si>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</si>
  <si>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</si>
  <si>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</si>
  <si>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</si>
  <si>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</si>
  <si>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</si>
  <si>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</si>
  <si>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</si>
  <si>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</si>
  <si>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</si>
  <si>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</si>
  <si>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</si>
  <si>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</si>
  <si>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</si>
  <si>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</si>
  <si>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</si>
  <si>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</si>
  <si>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</si>
  <si>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</si>
  <si>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</si>
  <si>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</si>
  <si>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</si>
  <si>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</si>
  <si>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</si>
  <si>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</si>
  <si>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</si>
  <si>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</si>
  <si>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</si>
  <si>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</si>
  <si>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</si>
  <si>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</si>
  <si>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</si>
  <si>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</si>
  <si>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</si>
  <si>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</si>
  <si>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</si>
  <si>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</si>
  <si>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</si>
  <si>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</si>
  <si>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</si>
  <si>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</si>
  <si>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</si>
  <si>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</si>
  <si>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</si>
  <si>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</si>
  <si>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</si>
  <si>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</si>
  <si>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</si>
  <si>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</si>
  <si>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</si>
  <si>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</si>
  <si>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</si>
  <si>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</si>
  <si>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</si>
  <si>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</si>
  <si>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</si>
  <si>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</si>
  <si>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</si>
  <si>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</si>
  <si>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</si>
  <si>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</si>
  <si>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</si>
  <si>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</si>
  <si>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</si>
  <si>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</si>
  <si>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</si>
  <si>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</si>
  <si>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</si>
  <si>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</si>
  <si>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</si>
  <si>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</si>
  <si>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</si>
  <si>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</si>
  <si>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</si>
  <si>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</si>
  <si>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</si>
  <si>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</si>
  <si>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</si>
  <si>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</si>
  <si>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</si>
  <si>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</si>
  <si>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</si>
  <si>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</si>
  <si>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</si>
  <si>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</si>
  <si>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</si>
  <si>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</si>
  <si>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</si>
  <si>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</si>
  <si>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</si>
  <si>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</si>
  <si>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</si>
  <si>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</si>
  <si>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</si>
  <si>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</si>
  <si>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</si>
  <si>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</si>
  <si>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</si>
  <si>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</si>
  <si>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</si>
  <si>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</si>
  <si>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</si>
  <si>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</si>
  <si>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</si>
  <si>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</si>
  <si>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</si>
  <si>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</si>
  <si>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</si>
  <si>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</si>
  <si>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</si>
  <si>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</si>
  <si>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</si>
  <si>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</si>
  <si>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</si>
  <si>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</si>
  <si>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</si>
  <si>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</si>
  <si>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</si>
  <si>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</si>
  <si>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</si>
  <si>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</si>
  <si>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</si>
  <si>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</si>
  <si>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</si>
  <si>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</si>
  <si>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</si>
  <si>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</si>
  <si>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</si>
  <si>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</si>
  <si>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</si>
  <si>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</si>
  <si>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</si>
  <si>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</si>
  <si>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</si>
  <si>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</si>
  <si>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</si>
  <si>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</si>
  <si>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</si>
  <si>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</si>
  <si>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</si>
  <si>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</si>
  <si>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</si>
  <si>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</si>
  <si>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</si>
  <si>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</si>
  <si>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</si>
  <si>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</si>
  <si>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</si>
  <si>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</si>
  <si>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</si>
  <si>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</si>
  <si>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</si>
  <si>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</si>
  <si>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</si>
  <si>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</si>
  <si>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</si>
  <si>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</si>
  <si>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</si>
  <si>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</si>
  <si>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</si>
  <si>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</si>
  <si>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</si>
  <si>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</si>
  <si>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</si>
  <si>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</si>
  <si>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</si>
  <si>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</si>
  <si>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</si>
  <si>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</si>
  <si>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</si>
  <si>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</si>
  <si>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</si>
  <si>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</si>
  <si>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</si>
  <si>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</si>
  <si>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</si>
  <si>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</si>
  <si>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</si>
  <si>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</si>
  <si>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</si>
  <si>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</si>
  <si>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</si>
  <si>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</si>
  <si>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</si>
  <si>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</si>
  <si>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</si>
  <si>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</si>
  <si>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</si>
  <si>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</si>
  <si>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</si>
  <si>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</si>
  <si>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</si>
  <si>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</si>
  <si>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</si>
  <si>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</si>
  <si>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</si>
  <si>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</si>
  <si>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</si>
  <si>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</si>
  <si>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</si>
  <si>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</si>
  <si>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</si>
  <si>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</si>
  <si>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</si>
  <si>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</si>
  <si>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</si>
  <si>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</si>
  <si>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</si>
  <si>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</si>
  <si>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</si>
  <si>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</si>
  <si>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</si>
  <si>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</si>
  <si>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</si>
  <si>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</si>
  <si>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</si>
  <si>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</si>
  <si>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</si>
  <si>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</si>
  <si>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</si>
  <si>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</si>
  <si>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</si>
  <si>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</si>
  <si>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</si>
  <si>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</si>
  <si>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</si>
  <si>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</si>
  <si>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</si>
  <si>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</si>
  <si>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</si>
  <si>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</si>
  <si>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</si>
  <si>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</si>
  <si>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</si>
  <si>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</si>
  <si>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</si>
  <si>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</si>
  <si>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</si>
  <si>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</si>
  <si>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</si>
  <si>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</si>
  <si>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</si>
  <si>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</si>
  <si>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</si>
  <si>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</si>
  <si>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</si>
  <si>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</si>
  <si>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</si>
  <si>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</si>
  <si>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</si>
  <si>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</si>
  <si>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</si>
  <si>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</si>
  <si>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</si>
  <si>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</si>
  <si>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</si>
  <si>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</si>
  <si>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</si>
  <si>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</si>
  <si>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</si>
  <si>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</si>
  <si>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</si>
  <si>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</si>
  <si>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</si>
  <si>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</si>
  <si>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</si>
  <si>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</si>
  <si>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</si>
  <si>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</si>
  <si>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</si>
  <si>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</si>
  <si>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</si>
  <si>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</si>
  <si>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</si>
  <si>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</si>
  <si>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</si>
  <si>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</si>
  <si>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</si>
  <si>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</si>
  <si>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</si>
  <si>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</si>
  <si>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</si>
  <si>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</si>
  <si>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</si>
  <si>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</si>
  <si>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</si>
  <si>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</si>
  <si>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</si>
  <si>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</si>
  <si>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</si>
  <si>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</si>
  <si>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</si>
  <si>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</si>
  <si>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</si>
  <si>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</si>
  <si>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</si>
  <si>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</si>
  <si>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</si>
  <si>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</si>
  <si>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</si>
  <si>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</si>
  <si>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</si>
  <si>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</si>
  <si>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</si>
  <si>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</si>
  <si>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</si>
  <si>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</si>
  <si>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</si>
  <si>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</si>
  <si>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</si>
  <si>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</si>
  <si>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</si>
  <si>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</si>
  <si>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</si>
  <si>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</si>
  <si>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</si>
  <si>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</si>
  <si>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</si>
  <si>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</si>
  <si>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</si>
  <si>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</si>
  <si>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</si>
  <si>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</si>
  <si>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</si>
  <si>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</si>
  <si>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</si>
  <si>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</si>
  <si>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</si>
  <si>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</si>
  <si>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</si>
  <si>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</si>
  <si>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</si>
  <si>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</si>
  <si>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</si>
  <si>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</si>
  <si>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</si>
  <si>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</si>
  <si>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</si>
  <si>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</si>
  <si>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</si>
  <si>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</si>
  <si>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</si>
  <si>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</si>
  <si>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</si>
  <si>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</si>
  <si>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</si>
  <si>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</si>
  <si>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</si>
  <si>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</si>
  <si>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</si>
  <si>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</si>
  <si>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</si>
  <si>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</si>
  <si>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</si>
  <si>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</si>
  <si>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</si>
  <si>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</si>
  <si>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</si>
  <si>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</si>
  <si>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</si>
  <si>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</si>
  <si>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</si>
  <si>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</si>
  <si>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</si>
  <si>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</si>
  <si>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</si>
  <si>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</si>
  <si>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</si>
  <si>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</si>
  <si>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</si>
  <si>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</si>
  <si>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</si>
  <si>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</si>
  <si>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</si>
  <si>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</si>
  <si>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</si>
  <si>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</si>
  <si>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</si>
  <si>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</si>
  <si>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</si>
  <si>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</si>
  <si>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</si>
  <si>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</si>
  <si>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</si>
  <si>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</si>
  <si>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</si>
  <si>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</si>
  <si>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</si>
  <si>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</si>
  <si>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</si>
  <si>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</si>
  <si>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</si>
  <si>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</si>
  <si>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</si>
  <si>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</si>
  <si>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</si>
  <si>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</si>
  <si>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</si>
  <si>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</si>
  <si>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</si>
  <si>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</si>
  <si>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</si>
  <si>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</si>
  <si>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</si>
  <si>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</si>
  <si>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</si>
  <si>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</si>
  <si>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</si>
  <si>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</si>
  <si>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</si>
  <si>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</si>
  <si>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</si>
  <si>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</si>
  <si>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</si>
  <si>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</si>
  <si>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</si>
  <si>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</si>
  <si>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</si>
  <si>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</si>
  <si>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</si>
  <si>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</si>
  <si>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</si>
  <si>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</si>
  <si>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</si>
  <si>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</si>
  <si>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</si>
  <si>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</si>
  <si>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</si>
  <si>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</si>
  <si>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</si>
  <si>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</si>
  <si>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</si>
  <si>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</si>
  <si>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</si>
  <si>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</si>
  <si>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</si>
  <si>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</si>
  <si>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</si>
  <si>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</si>
  <si>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</si>
  <si>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</si>
  <si>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</si>
  <si>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</si>
  <si>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</si>
  <si>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</si>
  <si>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</si>
  <si>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</si>
  <si>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</si>
  <si>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</si>
  <si>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</si>
  <si>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</si>
  <si>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</si>
  <si>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</si>
  <si>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</si>
  <si>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</si>
  <si>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</si>
  <si>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</si>
  <si>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</si>
  <si>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</si>
  <si>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</si>
  <si>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</si>
  <si>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</si>
  <si>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</si>
  <si>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</si>
  <si>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</si>
  <si>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</si>
  <si>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</si>
  <si>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</si>
  <si>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</si>
  <si>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</si>
  <si>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</si>
  <si>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</si>
  <si>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</si>
  <si>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</si>
  <si>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</si>
  <si>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</si>
  <si>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</si>
  <si>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</si>
  <si>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</si>
  <si>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</si>
  <si>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</si>
  <si>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</si>
  <si>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</si>
  <si>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</si>
  <si>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</si>
  <si>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</si>
  <si>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</si>
  <si>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</si>
  <si>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</si>
  <si>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</si>
  <si>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</si>
  <si>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</si>
  <si>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</si>
  <si>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</si>
  <si>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</si>
  <si>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</si>
  <si>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</si>
  <si>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</si>
  <si>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</si>
  <si>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</si>
  <si>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</si>
  <si>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</si>
  <si>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</si>
  <si>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</si>
  <si>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</si>
  <si>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</si>
  <si>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</si>
  <si>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</si>
  <si>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</si>
  <si>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</si>
  <si>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</si>
  <si>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</si>
  <si>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</si>
  <si>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</si>
  <si>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</si>
  <si>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</si>
  <si>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</si>
  <si>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</si>
  <si>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</si>
  <si>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</si>
  <si>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</si>
  <si>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</si>
  <si>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</si>
  <si>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</si>
  <si>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</si>
  <si>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</si>
  <si>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</si>
  <si>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</si>
  <si>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</si>
  <si>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</si>
  <si>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</si>
  <si>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</si>
  <si>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</si>
  <si>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</si>
  <si>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</si>
  <si>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</si>
  <si>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</si>
  <si>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</si>
  <si>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</si>
  <si>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</si>
  <si>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</si>
  <si>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</si>
  <si>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</si>
  <si>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</si>
  <si>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</si>
  <si>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</si>
  <si>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</si>
  <si>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</si>
  <si>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</si>
  <si>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</si>
  <si>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</si>
  <si>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</si>
  <si>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</si>
  <si>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</si>
  <si>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</si>
  <si>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</si>
  <si>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</si>
  <si>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</si>
  <si>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</si>
  <si>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</si>
  <si>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</si>
  <si>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</si>
  <si>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</si>
  <si>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</si>
  <si>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</si>
  <si>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</si>
  <si>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</si>
  <si>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</si>
  <si>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</si>
  <si>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</si>
  <si>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</si>
  <si>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</si>
  <si>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</si>
  <si>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</si>
  <si>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</si>
  <si>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</si>
  <si>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</si>
  <si>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</si>
  <si>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</si>
  <si>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</si>
  <si>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</si>
  <si>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</si>
  <si>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</si>
  <si>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</si>
  <si>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</si>
  <si>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</si>
  <si>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</si>
  <si>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</si>
  <si>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</si>
  <si>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</si>
  <si>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</si>
  <si>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</si>
  <si>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</si>
  <si>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</si>
  <si>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</si>
  <si>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</si>
  <si>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</si>
  <si>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</si>
  <si>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</si>
  <si>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</si>
  <si>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</si>
  <si>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</si>
  <si>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</si>
  <si>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</si>
  <si>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</si>
  <si>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</si>
  <si>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</si>
  <si>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</si>
  <si>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</si>
  <si>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</si>
  <si>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</si>
  <si>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</si>
  <si>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</si>
  <si>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</si>
  <si>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</si>
  <si>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</si>
  <si>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</si>
  <si>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</si>
  <si>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</si>
  <si>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</si>
  <si>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</si>
  <si>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</si>
  <si>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</si>
  <si>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</si>
  <si>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</si>
  <si>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</si>
  <si>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</si>
  <si>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</si>
  <si>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</si>
  <si>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</si>
  <si>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</si>
  <si>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</si>
  <si>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</si>
  <si>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</si>
  <si>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</si>
  <si>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</si>
  <si>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</si>
  <si>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</si>
  <si>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</si>
  <si>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</si>
  <si>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</si>
  <si>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</si>
  <si>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</si>
  <si>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</si>
  <si>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</si>
  <si>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</si>
  <si>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</si>
  <si>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</si>
  <si>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</si>
  <si>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</si>
  <si>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</si>
  <si>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</si>
  <si>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</si>
  <si>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</si>
  <si>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</si>
  <si>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</si>
  <si>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</si>
  <si>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</si>
  <si>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</si>
  <si>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</si>
  <si>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</si>
  <si>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</si>
  <si>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</si>
  <si>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</si>
  <si>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</si>
  <si>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</si>
  <si>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</si>
  <si>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</si>
  <si>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</si>
  <si>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</si>
  <si>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</si>
  <si>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</si>
  <si>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</si>
  <si>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</si>
  <si>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</si>
  <si>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</si>
  <si>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</si>
  <si>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</si>
  <si>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</si>
  <si>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</si>
  <si>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</si>
  <si>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</si>
  <si>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</si>
  <si>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</si>
  <si>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</si>
  <si>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</si>
  <si>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</si>
  <si>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</si>
  <si>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</si>
  <si>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</si>
  <si>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</si>
  <si>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</si>
  <si>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</si>
  <si>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</si>
  <si>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</si>
  <si>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</si>
  <si>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</si>
  <si>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</si>
  <si>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</si>
  <si>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</si>
  <si>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</si>
  <si>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</si>
  <si>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</si>
  <si>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</si>
  <si>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</si>
  <si>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</si>
  <si>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</si>
  <si>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</si>
  <si>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</si>
  <si>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</si>
  <si>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</si>
  <si>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</si>
  <si>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</si>
  <si>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</si>
  <si>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</si>
  <si>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</si>
  <si>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</si>
  <si>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</si>
  <si>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</si>
  <si>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</si>
  <si>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</si>
  <si>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</si>
  <si>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</si>
  <si>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</si>
  <si>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</si>
  <si>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</si>
  <si>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</si>
  <si>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</si>
  <si>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</si>
  <si>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</si>
  <si>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</si>
  <si>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</si>
  <si>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</si>
  <si>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</si>
  <si>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</si>
  <si>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</si>
  <si>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</si>
  <si>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</si>
  <si>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</si>
  <si>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</si>
  <si>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</si>
  <si>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</si>
  <si>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</si>
  <si>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</si>
  <si>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</si>
  <si>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</si>
  <si>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</si>
  <si>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</si>
  <si>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</si>
  <si>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</si>
  <si>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</si>
  <si>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</si>
  <si>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</si>
  <si>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</si>
  <si>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</si>
  <si>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</si>
  <si>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</si>
  <si>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</si>
  <si>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</si>
  <si>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</si>
  <si>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</si>
  <si>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</si>
  <si>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</si>
  <si>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</si>
  <si>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</si>
  <si>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</si>
  <si>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</si>
  <si>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</si>
  <si>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</si>
  <si>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</si>
  <si>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</si>
  <si>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</si>
  <si>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</si>
  <si>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</si>
  <si>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</si>
  <si>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</si>
  <si>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</si>
  <si>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</si>
  <si>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</si>
  <si>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</si>
  <si>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</si>
  <si>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</si>
  <si>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</si>
  <si>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</si>
  <si>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</si>
  <si>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</si>
  <si>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</si>
  <si>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</si>
  <si>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</si>
  <si>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</si>
  <si>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</si>
  <si>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</si>
  <si>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</si>
  <si>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</si>
  <si>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</si>
  <si>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</si>
  <si>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</si>
  <si>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</si>
  <si>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</si>
  <si>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</si>
  <si>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</si>
  <si>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</si>
  <si>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</si>
  <si>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</si>
  <si>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</si>
  <si>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</si>
  <si>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</si>
  <si>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</si>
  <si>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</si>
  <si>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</si>
  <si>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</si>
  <si>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</si>
  <si>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</si>
  <si>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</si>
  <si>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</si>
  <si>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</si>
  <si>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</si>
  <si>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</si>
  <si>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</si>
  <si>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</si>
  <si>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</si>
  <si>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</si>
  <si>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</si>
  <si>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</si>
  <si>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</si>
  <si>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</si>
  <si>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</si>
  <si>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</si>
  <si>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</si>
  <si>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</si>
  <si>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</si>
  <si>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</si>
  <si>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</si>
  <si>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</si>
  <si>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</si>
  <si>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</si>
  <si>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</si>
  <si>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</si>
  <si>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</si>
  <si>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</si>
  <si>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</si>
  <si>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</si>
  <si>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</si>
  <si>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</si>
  <si>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</si>
  <si>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</si>
  <si>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</si>
  <si>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</si>
  <si>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</si>
  <si>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</si>
  <si>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</si>
  <si>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</si>
  <si>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</si>
  <si>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</si>
  <si>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</si>
  <si>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</si>
  <si>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</si>
  <si>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</si>
  <si>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</si>
  <si>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</si>
  <si>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</si>
  <si>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</si>
  <si>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</si>
  <si>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</si>
  <si>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</si>
  <si>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</si>
  <si>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</si>
  <si>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</si>
  <si>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</si>
  <si>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</si>
  <si>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</si>
  <si>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</si>
  <si>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</si>
  <si>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</si>
  <si>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</si>
  <si>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</si>
  <si>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</si>
  <si>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</si>
  <si>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</si>
  <si>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</si>
  <si>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</si>
  <si>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</si>
  <si>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</si>
  <si>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</si>
  <si>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</si>
  <si>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</si>
  <si>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</si>
  <si>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</si>
  <si>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</si>
  <si>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</si>
  <si>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</si>
  <si>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</si>
  <si>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</si>
  <si>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</si>
  <si>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</si>
  <si>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</si>
  <si>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</si>
  <si>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</si>
  <si>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</si>
  <si>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</si>
  <si>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</si>
  <si>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</si>
  <si>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</si>
  <si>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</si>
  <si>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</si>
  <si>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</si>
  <si>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</si>
  <si>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</si>
  <si>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</si>
  <si>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</si>
  <si>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</si>
  <si>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</si>
  <si>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</si>
  <si>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</si>
  <si>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</si>
  <si>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</si>
  <si>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</si>
  <si>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</si>
  <si>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</si>
  <si>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</si>
  <si>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</si>
  <si>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</si>
  <si>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</si>
  <si>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</si>
  <si>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</si>
  <si>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</si>
  <si>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</si>
  <si>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</si>
  <si>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</si>
  <si>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</si>
  <si>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</si>
  <si>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</si>
  <si>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</si>
  <si>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</si>
  <si>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</si>
  <si>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</si>
  <si>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</si>
  <si>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</si>
  <si>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</si>
  <si>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</si>
  <si>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</si>
  <si>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</si>
  <si>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</si>
  <si>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</si>
  <si>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</si>
  <si>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</si>
  <si>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</si>
  <si>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</si>
  <si>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</si>
  <si>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</si>
  <si>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</si>
  <si>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</si>
  <si>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</si>
  <si>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</si>
  <si>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</si>
  <si>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</si>
  <si>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</si>
  <si>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</si>
  <si>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</si>
  <si>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</si>
  <si>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</si>
  <si>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</si>
  <si>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</si>
  <si>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</si>
  <si>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</si>
  <si>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</si>
  <si>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</si>
  <si>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</si>
  <si>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</si>
  <si>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</si>
  <si>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</si>
  <si>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</si>
  <si>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</si>
  <si>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</si>
  <si>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</si>
  <si>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</si>
  <si>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</si>
  <si>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</si>
  <si>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</si>
  <si>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</si>
  <si>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</si>
  <si>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</si>
  <si>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</si>
  <si>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</si>
  <si>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</si>
  <si>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</si>
  <si>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</si>
  <si>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</si>
  <si>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</si>
  <si>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</si>
  <si>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</si>
  <si>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</si>
  <si>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</si>
  <si>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</si>
  <si>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</si>
  <si>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</si>
  <si>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</si>
  <si>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</si>
  <si>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</si>
  <si>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</si>
  <si>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</si>
  <si>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</si>
  <si>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</si>
  <si>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</si>
  <si>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</si>
  <si>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</si>
  <si>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</si>
  <si>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</si>
  <si>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</si>
  <si>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</si>
  <si>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</si>
  <si>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</si>
  <si>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</si>
  <si>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</si>
  <si>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</si>
  <si>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</si>
  <si>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</si>
  <si>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</si>
  <si>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</si>
  <si>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</si>
  <si>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</si>
  <si>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</si>
  <si>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</si>
  <si>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</si>
  <si>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</si>
  <si>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</si>
  <si>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</si>
  <si>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</si>
  <si>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</si>
  <si>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</si>
  <si>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</si>
  <si>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</si>
  <si>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</si>
  <si>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</si>
  <si>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</si>
  <si>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</si>
  <si>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</si>
  <si>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</si>
  <si>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</si>
  <si>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</si>
  <si>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</si>
  <si>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</si>
  <si>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</si>
  <si>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</si>
  <si>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</si>
  <si>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</si>
  <si>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</si>
  <si>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</si>
  <si>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</si>
  <si>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</si>
  <si>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</si>
  <si>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</si>
  <si>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</si>
  <si>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</si>
  <si>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</si>
  <si>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</si>
  <si>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</si>
  <si>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</si>
  <si>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</si>
  <si>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</si>
  <si>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</si>
  <si>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</si>
  <si>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</si>
  <si>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</si>
  <si>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</si>
  <si>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</si>
  <si>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</si>
  <si>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</si>
  <si>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</si>
  <si>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</si>
  <si>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</si>
  <si>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</si>
  <si>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</si>
  <si>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</si>
  <si>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</si>
  <si>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</si>
  <si>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</si>
  <si>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</si>
  <si>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</si>
  <si>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</si>
  <si>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</si>
  <si>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</si>
  <si>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</si>
  <si>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</si>
  <si>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</si>
  <si>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</si>
  <si>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</si>
  <si>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</si>
  <si>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</si>
  <si>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</si>
  <si>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</si>
  <si>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</si>
  <si>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</si>
  <si>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</si>
  <si>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</si>
  <si>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</si>
  <si>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</si>
  <si>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</si>
  <si>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</si>
  <si>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</si>
  <si>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</si>
  <si>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</si>
  <si>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</si>
  <si>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</si>
  <si>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</si>
  <si>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</si>
  <si>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</si>
  <si>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</si>
  <si>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</si>
  <si>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</si>
  <si>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</si>
  <si>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</si>
  <si>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</si>
  <si>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</si>
  <si>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</si>
  <si>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</si>
  <si>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</si>
  <si>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</si>
  <si>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</si>
  <si>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</si>
  <si>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</si>
  <si>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</si>
  <si>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</si>
  <si>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</si>
  <si>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</si>
  <si>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</si>
  <si>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</si>
  <si>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</si>
  <si>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</si>
  <si>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</si>
  <si>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</si>
  <si>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</si>
  <si>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</si>
  <si>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</si>
  <si>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</si>
  <si>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</si>
  <si>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</si>
  <si>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</si>
  <si>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</si>
  <si>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</si>
  <si>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</si>
  <si>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</si>
  <si>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</si>
  <si>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</si>
  <si>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</si>
  <si>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</si>
  <si>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</si>
  <si>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</si>
  <si>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</si>
  <si>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</si>
  <si>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</si>
  <si>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</si>
  <si>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</si>
  <si>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</si>
  <si>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</si>
  <si>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</si>
  <si>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</si>
  <si>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</si>
  <si>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</si>
  <si>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</si>
  <si>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</si>
  <si>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</si>
  <si>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</si>
  <si>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</si>
  <si>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</si>
  <si>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</si>
  <si>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</si>
  <si>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</si>
  <si>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</si>
  <si>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</si>
  <si>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</si>
  <si>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</si>
  <si>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</si>
  <si>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</si>
  <si>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</si>
  <si>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</si>
  <si>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</si>
  <si>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</si>
  <si>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</si>
  <si>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</si>
  <si>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</si>
  <si>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</si>
  <si>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</si>
  <si>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</si>
  <si>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</si>
  <si>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</si>
  <si>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</si>
  <si>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</si>
  <si>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</si>
  <si>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</si>
  <si>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</si>
  <si>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</si>
  <si>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</si>
  <si>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</si>
  <si>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</si>
  <si>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</si>
  <si>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</si>
  <si>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</si>
  <si>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</si>
  <si>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</si>
  <si>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</si>
  <si>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</si>
  <si>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</si>
  <si>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</si>
  <si>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</si>
  <si>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</si>
  <si>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</si>
  <si>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</si>
  <si>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</si>
  <si>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</si>
  <si>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</si>
  <si>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</si>
  <si>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</si>
  <si>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</si>
  <si>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</si>
  <si>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</si>
  <si>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</si>
  <si>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</si>
  <si>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</si>
  <si>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</si>
  <si>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</si>
  <si>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</si>
  <si>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</si>
  <si>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</si>
  <si>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</si>
  <si>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</si>
  <si>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</si>
  <si>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</si>
  <si>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</si>
  <si>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</si>
  <si>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</si>
  <si>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</si>
  <si>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</si>
  <si>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</si>
  <si>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</si>
  <si>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</si>
  <si>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</si>
  <si>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</si>
  <si>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</si>
  <si>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</si>
  <si>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</si>
  <si>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</si>
  <si>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</si>
  <si>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</si>
  <si>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</si>
  <si>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</si>
  <si>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</si>
  <si>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</si>
  <si>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</si>
  <si>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</si>
  <si>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</si>
  <si>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</si>
  <si>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</si>
  <si>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</si>
  <si>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</si>
  <si>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</si>
  <si>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</si>
  <si>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</si>
  <si>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</si>
  <si>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</si>
  <si>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</si>
  <si>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</si>
  <si>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</si>
  <si>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</si>
  <si>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</si>
  <si>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</si>
  <si>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</si>
  <si>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</si>
  <si>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</si>
  <si>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</si>
  <si>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</si>
  <si>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</si>
  <si>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</si>
  <si>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</si>
  <si>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</si>
  <si>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</si>
  <si>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</si>
  <si>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</si>
  <si>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</si>
  <si>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</si>
  <si>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</si>
  <si>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</si>
  <si>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</si>
  <si>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</si>
  <si>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</si>
  <si>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</si>
  <si>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</si>
  <si>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</si>
  <si>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</si>
  <si>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</si>
  <si>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</si>
  <si>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</si>
  <si>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</si>
  <si>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</si>
  <si>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</si>
  <si>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</si>
  <si>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</si>
  <si>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</si>
  <si>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</si>
  <si>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</si>
  <si>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</si>
  <si>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</si>
  <si>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</si>
  <si>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</si>
  <si>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</si>
  <si>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</si>
  <si>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</si>
  <si>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</si>
  <si>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</si>
  <si>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</si>
  <si>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</si>
  <si>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</si>
  <si>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</si>
  <si>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</si>
  <si>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</si>
  <si>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</si>
  <si>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</si>
  <si>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</si>
  <si>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</si>
  <si>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</si>
  <si>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</si>
  <si>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</si>
  <si>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</si>
  <si>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</si>
  <si>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</si>
  <si>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</si>
  <si>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</si>
  <si>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</si>
  <si>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</si>
  <si>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</si>
  <si>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</si>
  <si>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</si>
  <si>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</si>
  <si>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</si>
  <si>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</si>
  <si>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</si>
  <si>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</si>
  <si>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</si>
  <si>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</si>
  <si>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</si>
  <si>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</si>
  <si>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</si>
  <si>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</si>
  <si>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</si>
  <si>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</si>
  <si>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</si>
  <si>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</si>
  <si>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</si>
  <si>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</si>
  <si>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</si>
  <si>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</si>
  <si>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</si>
  <si>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</si>
  <si>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</si>
  <si>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</si>
  <si>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</si>
  <si>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</si>
  <si>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</si>
  <si>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</si>
  <si>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</si>
  <si>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</si>
  <si>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</si>
  <si>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</si>
  <si>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</si>
  <si>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</si>
  <si>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</si>
  <si>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</si>
  <si>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</si>
  <si>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</si>
  <si>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</si>
  <si>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</si>
  <si>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</si>
  <si>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</si>
  <si>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</si>
  <si>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</si>
  <si>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</si>
  <si>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</si>
  <si>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</si>
  <si>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</si>
  <si>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</si>
  <si>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</si>
  <si>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</si>
  <si>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</si>
  <si>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</si>
  <si>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</si>
  <si>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</si>
  <si>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</si>
  <si>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</si>
  <si>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</si>
  <si>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</si>
  <si>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</si>
  <si>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</si>
  <si>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</si>
  <si>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</si>
  <si>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</si>
  <si>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</si>
  <si>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</si>
  <si>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</si>
  <si>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</si>
  <si>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</si>
  <si>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</si>
  <si>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</si>
  <si>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</si>
  <si>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</si>
  <si>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</si>
  <si>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</si>
  <si>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</si>
  <si>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</si>
  <si>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</si>
  <si>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</si>
  <si>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</si>
  <si>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</si>
  <si>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</si>
  <si>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</si>
  <si>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</si>
  <si>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</si>
  <si>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</si>
  <si>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</si>
  <si>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</si>
  <si>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</si>
  <si>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</si>
  <si>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</si>
  <si>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</si>
  <si>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</si>
  <si>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</si>
  <si>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</si>
  <si>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</si>
  <si>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</si>
  <si>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</si>
  <si>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</si>
  <si>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</si>
  <si>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</si>
  <si>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</si>
  <si>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</si>
  <si>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</si>
  <si>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</si>
  <si>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</si>
  <si>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</si>
  <si>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</si>
  <si>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</si>
  <si>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</si>
  <si>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</si>
  <si>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</si>
  <si>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</si>
  <si>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</si>
  <si>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</si>
  <si>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</si>
  <si>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</si>
  <si>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</si>
  <si>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</si>
  <si>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</si>
  <si>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</si>
  <si>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</si>
  <si>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</si>
  <si>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</si>
  <si>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</si>
  <si>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</si>
  <si>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</si>
  <si>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</si>
  <si>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</si>
  <si>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</si>
  <si>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</si>
  <si>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</si>
  <si>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</si>
  <si>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</si>
  <si>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</si>
  <si>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</si>
  <si>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</si>
  <si>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</si>
  <si>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</si>
  <si>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</si>
  <si>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</si>
  <si>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</si>
  <si>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</si>
  <si>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</si>
  <si>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</si>
  <si>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</si>
  <si>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</si>
  <si>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</si>
  <si>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</si>
  <si>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</si>
  <si>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</si>
  <si>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</si>
  <si>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</si>
  <si>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</si>
  <si>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</si>
  <si>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</si>
  <si>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</si>
  <si>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</si>
  <si>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</si>
  <si>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</si>
  <si>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</si>
  <si>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</si>
  <si>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</si>
  <si>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</si>
  <si>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</si>
  <si>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</si>
  <si>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</si>
  <si>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</si>
  <si>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</si>
  <si>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</si>
  <si>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</si>
  <si>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</si>
  <si>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</si>
  <si>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</si>
  <si>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</si>
  <si>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</si>
  <si>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</si>
  <si>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</si>
  <si>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</si>
  <si>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</si>
  <si>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</si>
  <si>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</si>
  <si>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</si>
  <si>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</si>
  <si>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</si>
  <si>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</si>
  <si>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</si>
  <si>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</si>
  <si>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</si>
  <si>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</si>
  <si>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</si>
  <si>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</si>
  <si>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</si>
  <si>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</si>
  <si>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</si>
  <si>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</si>
  <si>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</si>
  <si>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</si>
  <si>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</si>
  <si>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</si>
  <si>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</si>
  <si>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</si>
  <si>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</si>
  <si>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</si>
  <si>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</si>
  <si>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</si>
  <si>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</si>
  <si>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</si>
  <si>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</si>
  <si>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</si>
  <si>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</si>
  <si>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</si>
  <si>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</si>
  <si>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</si>
  <si>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</si>
  <si>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</si>
  <si>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</si>
  <si>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</si>
  <si>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</si>
  <si>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</si>
  <si>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</si>
  <si>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</si>
  <si>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</si>
  <si>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</si>
  <si>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</si>
  <si>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</si>
  <si>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</si>
  <si>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</si>
  <si>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</si>
  <si>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</si>
  <si>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</si>
  <si>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</si>
  <si>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</si>
  <si>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</si>
  <si>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</si>
  <si>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</si>
  <si>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</si>
  <si>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</si>
  <si>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</si>
  <si>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</si>
  <si>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</si>
  <si>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</si>
  <si>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</si>
  <si>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</si>
  <si>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</si>
  <si>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</si>
  <si>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</si>
  <si>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</si>
  <si>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</si>
  <si>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</si>
  <si>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</si>
  <si>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</si>
  <si>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</si>
  <si>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</si>
  <si>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</si>
  <si>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</si>
  <si>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</si>
  <si>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</si>
  <si>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</si>
  <si>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</si>
  <si>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</si>
  <si>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</si>
  <si>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</si>
  <si>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</si>
  <si>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</si>
  <si>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</si>
  <si>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</si>
  <si>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</si>
  <si>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</si>
  <si>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</si>
  <si>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</si>
  <si>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</si>
  <si>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</si>
  <si>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</si>
  <si>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</si>
  <si>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</si>
  <si>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</si>
  <si>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</si>
  <si>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</si>
  <si>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</si>
  <si>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</si>
  <si>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</si>
  <si>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</si>
  <si>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</si>
  <si>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</si>
  <si>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</si>
  <si>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</si>
  <si>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</si>
  <si>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</si>
  <si>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</si>
  <si>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</si>
  <si>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</si>
  <si>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</si>
  <si>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</si>
  <si>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</si>
  <si>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</si>
  <si>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</si>
  <si>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</si>
  <si>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</si>
  <si>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</si>
  <si>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</si>
  <si>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</si>
  <si>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</si>
  <si>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</si>
  <si>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</si>
  <si>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</si>
  <si>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</si>
  <si>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</si>
  <si>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</si>
  <si>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</si>
  <si>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</si>
  <si>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</si>
  <si>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</si>
  <si>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</si>
  <si>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</si>
  <si>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</si>
  <si>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</si>
  <si>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</si>
  <si>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</si>
  <si>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</si>
  <si>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</si>
  <si>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</si>
  <si>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</si>
  <si>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</si>
  <si>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</si>
  <si>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</si>
  <si>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</si>
  <si>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</si>
  <si>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</si>
  <si>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</si>
  <si>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</si>
  <si>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</si>
  <si>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</si>
  <si>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</si>
  <si>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</si>
  <si>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</si>
  <si>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</si>
  <si>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</si>
  <si>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</si>
  <si>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</si>
  <si>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</si>
  <si>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</si>
  <si>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</si>
  <si>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</si>
  <si>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</si>
  <si>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</si>
  <si>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</si>
  <si>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</si>
  <si>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</si>
  <si>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</si>
  <si>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</si>
  <si>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</si>
  <si>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</si>
  <si>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</si>
  <si>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</si>
  <si>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</si>
  <si>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</si>
  <si>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</si>
  <si>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</si>
  <si>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</si>
  <si>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</si>
  <si>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</si>
  <si>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</si>
  <si>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</si>
  <si>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</si>
  <si>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</si>
  <si>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</si>
  <si>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</si>
  <si>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</si>
  <si>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</si>
  <si>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</si>
  <si>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</si>
  <si>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</si>
  <si>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</si>
  <si>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</si>
  <si>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</si>
  <si>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</si>
  <si>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</si>
  <si>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</si>
  <si>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</si>
  <si>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</si>
  <si>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</si>
  <si>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</si>
  <si>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</si>
  <si>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</si>
  <si>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</si>
  <si>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</si>
  <si>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</si>
  <si>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</si>
  <si>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</si>
  <si>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</si>
  <si>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</si>
  <si>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</si>
  <si>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</si>
  <si>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</si>
  <si>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</si>
  <si>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</si>
  <si>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</si>
  <si>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</si>
  <si>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</si>
  <si>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</si>
  <si>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</si>
  <si>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</si>
  <si>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</si>
  <si>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</si>
  <si>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</si>
  <si>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</si>
  <si>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</si>
  <si>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</si>
  <si>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</si>
  <si>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</si>
  <si>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</si>
  <si>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</si>
  <si>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</si>
  <si>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</si>
  <si>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</si>
  <si>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</si>
  <si>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</si>
  <si>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</si>
  <si>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</si>
  <si>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</si>
  <si>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</si>
  <si>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</si>
  <si>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</si>
  <si>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</si>
  <si>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</si>
  <si>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</si>
  <si>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</si>
  <si>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</si>
  <si>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</si>
  <si>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</si>
  <si>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</si>
  <si>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</si>
  <si>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</si>
  <si>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</si>
  <si>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</si>
  <si>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</si>
  <si>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</si>
  <si>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</si>
  <si>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</si>
  <si>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</si>
  <si>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</si>
  <si>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</si>
  <si>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</si>
  <si>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</si>
  <si>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</si>
  <si>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</si>
  <si>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</si>
  <si>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</si>
  <si>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</si>
  <si>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</si>
  <si>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</si>
  <si>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</si>
  <si>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</si>
  <si>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</si>
  <si>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</si>
  <si>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</si>
  <si>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</si>
  <si>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</si>
  <si>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</si>
  <si>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</si>
  <si>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</si>
  <si>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</si>
  <si>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</si>
  <si>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</si>
  <si>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</si>
  <si>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</si>
  <si>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</si>
  <si>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</si>
  <si>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</si>
  <si>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</si>
  <si>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</si>
  <si>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</si>
  <si>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</si>
  <si>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</si>
  <si>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</si>
  <si>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</si>
  <si>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</si>
  <si>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</si>
  <si>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</si>
  <si>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</si>
  <si>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</si>
  <si>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</si>
  <si>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</si>
  <si>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</si>
  <si>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</si>
  <si>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</si>
  <si>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</si>
  <si>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</si>
  <si>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</si>
  <si>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</si>
  <si>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</si>
  <si>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</si>
  <si>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</si>
  <si>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</si>
  <si>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</si>
  <si>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</si>
  <si>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</si>
  <si>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</si>
  <si>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</si>
  <si>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</si>
  <si>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</si>
  <si>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</si>
  <si>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</si>
  <si>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</si>
  <si>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</si>
  <si>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</si>
  <si>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</si>
  <si>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</si>
  <si>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</si>
  <si>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</si>
  <si>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</si>
  <si>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</si>
  <si>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</si>
  <si>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</si>
  <si>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</si>
  <si>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</si>
  <si>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</si>
  <si>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</si>
  <si>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</si>
  <si>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</si>
  <si>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</si>
  <si>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</si>
  <si>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</si>
  <si>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</si>
  <si>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</si>
  <si>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</si>
  <si>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</si>
  <si>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</si>
  <si>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</si>
  <si>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</si>
  <si>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</si>
  <si>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</si>
  <si>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</si>
  <si>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</si>
  <si>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</si>
  <si>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</si>
  <si>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</si>
  <si>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</si>
  <si>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</si>
  <si>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</si>
  <si>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</si>
  <si>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</si>
  <si>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</si>
  <si>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</si>
  <si>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</si>
  <si>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</si>
  <si>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</si>
  <si>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</si>
  <si>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</si>
  <si>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</si>
  <si>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</si>
  <si>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</si>
  <si>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</si>
  <si>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</si>
  <si>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</si>
  <si>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</si>
  <si>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</si>
  <si>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</si>
  <si>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</si>
  <si>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</si>
  <si>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</si>
  <si>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</si>
  <si>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</si>
  <si>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</si>
  <si>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</si>
  <si>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</si>
  <si>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</si>
  <si>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</si>
  <si>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</si>
  <si>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</si>
  <si>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</si>
  <si>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</si>
  <si>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</si>
  <si>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</si>
  <si>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</si>
  <si>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</si>
  <si>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</si>
  <si>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</si>
  <si>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</si>
  <si>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</si>
  <si>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</si>
  <si>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</si>
  <si>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</si>
  <si>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</si>
  <si>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</si>
  <si>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</si>
  <si>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</si>
  <si>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</si>
  <si>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</si>
  <si>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</si>
  <si>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</si>
  <si>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</si>
  <si>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</si>
  <si>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</si>
  <si>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</si>
  <si>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</si>
  <si>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</si>
  <si>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</si>
  <si>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</si>
  <si>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</si>
  <si>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</si>
  <si>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</si>
  <si>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</si>
  <si>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</si>
  <si>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</si>
  <si>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</si>
  <si>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</si>
  <si>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</si>
  <si>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</si>
  <si>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</si>
  <si>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</si>
  <si>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</si>
  <si>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</si>
  <si>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</si>
  <si>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</si>
  <si>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</si>
  <si>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</si>
  <si>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</si>
  <si>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</si>
  <si>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</si>
  <si>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</si>
  <si>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</si>
  <si>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</si>
  <si>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</si>
  <si>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</si>
  <si>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</si>
  <si>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</si>
  <si>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</si>
  <si>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</si>
  <si>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</si>
  <si>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</si>
  <si>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</si>
  <si>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</si>
  <si>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</si>
  <si>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</si>
  <si>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</si>
  <si>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</si>
  <si>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</si>
  <si>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</si>
  <si>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</si>
  <si>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</si>
  <si>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</si>
  <si>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</si>
  <si>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</si>
  <si>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</si>
  <si>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</si>
  <si>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</si>
  <si>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</si>
  <si>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</si>
  <si>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</si>
  <si>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</si>
  <si>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</si>
  <si>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</si>
  <si>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</si>
  <si>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</si>
  <si>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</si>
  <si>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</si>
  <si>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</si>
  <si>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</si>
  <si>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</si>
  <si>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</si>
  <si>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</si>
  <si>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</si>
  <si>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</si>
  <si>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</si>
  <si>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</si>
  <si>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</si>
  <si>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</si>
  <si>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</si>
  <si>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</si>
  <si>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</si>
  <si>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</si>
  <si>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</si>
  <si>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</si>
  <si>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</si>
  <si>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</si>
  <si>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</si>
  <si>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</si>
  <si>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</si>
  <si>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</si>
  <si>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</si>
  <si>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</si>
  <si>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</si>
  <si>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</si>
  <si>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</si>
  <si>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</si>
  <si>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</si>
  <si>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</si>
  <si>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</si>
  <si>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</si>
  <si>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</si>
  <si>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</si>
  <si>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</si>
  <si>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</si>
  <si>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</si>
  <si>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</si>
  <si>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</si>
  <si>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</si>
  <si>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</si>
  <si>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</si>
  <si>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</si>
  <si>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</si>
  <si>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</si>
  <si>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</si>
  <si>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</si>
  <si>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</si>
  <si>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</si>
  <si>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</si>
  <si>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</si>
  <si>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</si>
  <si>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</si>
  <si>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</si>
  <si>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</si>
  <si>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</si>
  <si>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</si>
  <si>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</si>
  <si>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</si>
  <si>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</si>
  <si>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</si>
  <si>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</si>
  <si>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</si>
  <si>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</si>
  <si>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</si>
  <si>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</si>
  <si>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</si>
  <si>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</si>
  <si>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</si>
  <si>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</si>
  <si>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</si>
  <si>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</si>
  <si>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</si>
  <si>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</si>
  <si>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</si>
  <si>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</si>
  <si>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</si>
  <si>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</si>
  <si>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</si>
  <si>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</si>
  <si>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</si>
  <si>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</si>
  <si>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</si>
  <si>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</si>
  <si>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</si>
  <si>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</si>
  <si>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</si>
  <si>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</si>
  <si>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</si>
  <si>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</si>
  <si>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</si>
  <si>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</si>
  <si>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</si>
  <si>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</si>
  <si>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</si>
  <si>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</si>
  <si>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</si>
  <si>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</si>
  <si>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</si>
  <si>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</si>
  <si>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</si>
  <si>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</si>
  <si>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</si>
  <si>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</si>
  <si>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</si>
  <si>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</si>
  <si>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</si>
  <si>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</si>
  <si>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</si>
  <si>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</si>
  <si>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</si>
  <si>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</si>
  <si>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</si>
  <si>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</si>
  <si>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</si>
  <si>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</si>
  <si>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</si>
  <si>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</si>
  <si>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</si>
  <si>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</si>
  <si>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</si>
  <si>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</si>
  <si>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</si>
  <si>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</si>
  <si>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</si>
  <si>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</si>
  <si>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</si>
  <si>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</si>
  <si>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</si>
  <si>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</si>
  <si>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</si>
  <si>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</si>
  <si>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</si>
  <si>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</si>
  <si>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</si>
  <si>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</si>
  <si>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</si>
  <si>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</si>
  <si>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</si>
  <si>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</si>
  <si>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</si>
  <si>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</si>
  <si>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</si>
  <si>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</si>
  <si>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</si>
  <si>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</si>
  <si>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</si>
  <si>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</si>
  <si>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</si>
  <si>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</si>
  <si>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</si>
  <si>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</si>
  <si>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</si>
  <si>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</si>
  <si>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</si>
  <si>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</si>
  <si>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</si>
  <si>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</si>
  <si>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</si>
  <si>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</si>
  <si>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</si>
  <si>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</si>
  <si>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</si>
  <si>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</si>
  <si>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</si>
  <si>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</si>
  <si>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</si>
  <si>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</si>
  <si>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</si>
  <si>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</si>
  <si>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</si>
  <si>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</si>
  <si>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</si>
  <si>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</si>
  <si>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</si>
  <si>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</si>
  <si>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</si>
  <si>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</si>
  <si>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</si>
  <si>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</si>
  <si>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</si>
  <si>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</si>
  <si>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</si>
  <si>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</si>
  <si>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</si>
  <si>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</si>
  <si>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</si>
  <si>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</si>
  <si>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</si>
  <si>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</si>
  <si>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</si>
  <si>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</si>
  <si>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</si>
  <si>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</si>
  <si>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</si>
  <si>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</si>
  <si>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</si>
  <si>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</si>
  <si>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</si>
  <si>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</si>
  <si>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</si>
  <si>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</si>
  <si>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</si>
  <si>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</si>
  <si>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</si>
  <si>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</si>
  <si>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</si>
  <si>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</si>
  <si>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</si>
  <si>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</si>
  <si>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</si>
  <si>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</si>
  <si>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</si>
  <si>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</si>
  <si>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</si>
  <si>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</si>
  <si>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</si>
  <si>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</si>
  <si>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</si>
  <si>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</si>
  <si>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</si>
  <si>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</si>
  <si>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</si>
  <si>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</si>
  <si>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</si>
  <si>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</si>
  <si>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</si>
  <si>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</si>
  <si>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</si>
  <si>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</si>
  <si>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</si>
  <si>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</si>
  <si>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</si>
  <si>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</si>
  <si>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</si>
  <si>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</si>
  <si>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</si>
  <si>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</si>
  <si>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</si>
  <si>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</si>
  <si>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</si>
  <si>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</si>
  <si>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</si>
  <si>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</si>
  <si>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</si>
  <si>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</si>
  <si>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</si>
  <si>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</si>
  <si>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</si>
  <si>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</si>
  <si>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</si>
  <si>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</si>
  <si>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</si>
  <si>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</si>
  <si>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</si>
  <si>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</si>
  <si>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</si>
  <si>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</si>
  <si>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</si>
  <si>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</si>
  <si>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</si>
  <si>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</si>
  <si>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</si>
  <si>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</si>
  <si>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</si>
  <si>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</si>
  <si>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</si>
  <si>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</si>
  <si>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</si>
  <si>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</si>
  <si>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</si>
  <si>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</si>
  <si>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</si>
  <si>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</si>
  <si>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</si>
  <si>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</si>
  <si>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</si>
  <si>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</si>
  <si>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</si>
  <si>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</si>
  <si>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</si>
  <si>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</si>
  <si>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</si>
  <si>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</si>
  <si>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</si>
  <si>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</si>
  <si>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</si>
  <si>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</si>
  <si>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</si>
  <si>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</si>
  <si>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</si>
  <si>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</si>
  <si>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</si>
  <si>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</si>
  <si>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</si>
  <si>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</si>
  <si>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</si>
  <si>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</si>
  <si>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</si>
  <si>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</si>
  <si>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</si>
  <si>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</si>
  <si>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</si>
  <si>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</si>
  <si>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</si>
  <si>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</si>
  <si>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</si>
  <si>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</si>
  <si>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</si>
  <si>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</si>
  <si>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</si>
  <si>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</si>
  <si>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</si>
  <si>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</si>
  <si>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</si>
  <si>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</si>
  <si>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</si>
  <si>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</si>
  <si>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</si>
  <si>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</si>
  <si>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</si>
  <si>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</si>
  <si>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</si>
  <si>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</si>
  <si>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</si>
  <si>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</si>
  <si>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</si>
  <si>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</si>
  <si>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</si>
  <si>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</si>
  <si>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</si>
  <si>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</si>
  <si>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</si>
  <si>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</si>
  <si>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</si>
  <si>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</si>
  <si>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</si>
  <si>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</si>
  <si>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</si>
  <si>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</si>
  <si>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</si>
  <si>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</si>
  <si>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</si>
  <si>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</si>
  <si>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</si>
  <si>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</si>
  <si>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</si>
  <si>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</si>
  <si>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</si>
  <si>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</si>
  <si>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</si>
  <si>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</si>
  <si>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</si>
  <si>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</si>
  <si>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</si>
  <si>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</si>
  <si>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</si>
  <si>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</si>
  <si>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</si>
  <si>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</si>
  <si>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</si>
  <si>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</si>
  <si>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</si>
  <si>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</si>
  <si>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</si>
  <si>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</si>
  <si>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</si>
  <si>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</si>
  <si>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</si>
  <si>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</si>
  <si>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</si>
  <si>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</si>
  <si>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</si>
  <si>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</si>
  <si>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</si>
  <si>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</si>
  <si>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</si>
  <si>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</si>
  <si>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</si>
  <si>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</si>
  <si>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</si>
  <si>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</si>
  <si>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</si>
  <si>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</si>
  <si>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</si>
  <si>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</si>
  <si>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</si>
  <si>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</si>
  <si>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</si>
  <si>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</si>
  <si>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</si>
  <si>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</si>
  <si>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</si>
  <si>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</si>
  <si>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</si>
  <si>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</si>
  <si>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</si>
  <si>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</si>
  <si>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</si>
  <si>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</si>
  <si>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</si>
  <si>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</si>
  <si>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</si>
  <si>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</si>
  <si>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</si>
  <si>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</si>
  <si>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</si>
  <si>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</si>
  <si>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</si>
  <si>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</si>
  <si>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</si>
  <si>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</si>
  <si>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</si>
  <si>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</si>
  <si>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</si>
  <si>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</si>
  <si>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</si>
  <si>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</si>
  <si>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</si>
  <si>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</si>
  <si>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</si>
  <si>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</si>
  <si>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</si>
  <si>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</si>
  <si>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</si>
  <si>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</si>
  <si>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</si>
  <si>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</si>
  <si>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</si>
  <si>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</si>
  <si>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</si>
  <si>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</si>
  <si>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</si>
  <si>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</si>
  <si>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</si>
  <si>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</si>
  <si>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</si>
  <si>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</si>
  <si>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</si>
  <si>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</si>
  <si>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</si>
  <si>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</si>
  <si>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</si>
  <si>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</si>
  <si>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</si>
  <si>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</si>
  <si>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</si>
  <si>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</si>
  <si>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</si>
  <si>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</si>
  <si>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</si>
  <si>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</si>
  <si>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</si>
  <si>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</si>
  <si>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</si>
  <si>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</si>
  <si>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</si>
  <si>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</si>
  <si>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</si>
  <si>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</si>
  <si>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</si>
  <si>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</si>
  <si>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</si>
  <si>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</si>
  <si>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</si>
  <si>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</si>
  <si>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</si>
  <si>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</si>
  <si>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</si>
  <si>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</si>
  <si>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</si>
  <si>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</si>
  <si>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</si>
  <si>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</si>
  <si>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</si>
  <si>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</si>
  <si>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</si>
  <si>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</si>
  <si>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</si>
  <si>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</si>
  <si>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</si>
  <si>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</si>
  <si>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</si>
  <si>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</si>
  <si>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</si>
  <si>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</si>
  <si>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</si>
  <si>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</si>
  <si>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</si>
  <si>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</si>
  <si>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</si>
  <si>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</si>
  <si>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</si>
  <si>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</si>
  <si>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</si>
  <si>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</si>
  <si>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</si>
  <si>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</si>
  <si>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</si>
  <si>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</si>
  <si>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</si>
  <si>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</si>
  <si>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</si>
  <si>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</si>
  <si>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</si>
  <si>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</si>
  <si>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</si>
  <si>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</si>
  <si>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</si>
  <si>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</si>
  <si>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</si>
  <si>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</si>
  <si>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</si>
  <si>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</si>
  <si>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</si>
  <si>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</si>
  <si>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</si>
  <si>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</si>
  <si>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</si>
  <si>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</si>
  <si>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</si>
  <si>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</si>
  <si>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</si>
  <si>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</si>
  <si>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</si>
  <si>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</si>
  <si>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</si>
  <si>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</si>
  <si>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</si>
  <si>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</si>
  <si>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</si>
  <si>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</si>
  <si>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</si>
  <si>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</si>
  <si>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</si>
  <si>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</si>
  <si>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</si>
  <si>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</si>
  <si>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</si>
  <si>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</si>
  <si>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</si>
  <si>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</si>
  <si>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</si>
  <si>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</si>
  <si>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</si>
  <si>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</si>
  <si>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</si>
  <si>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</si>
  <si>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</si>
  <si>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</si>
  <si>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</si>
  <si>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</si>
  <si>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</si>
  <si>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</si>
  <si>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</si>
  <si>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</si>
  <si>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</si>
  <si>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</si>
  <si>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</si>
  <si>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</si>
  <si>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</si>
  <si>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</si>
  <si>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</si>
  <si>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</si>
  <si>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</si>
  <si>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</si>
  <si>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</si>
  <si>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</si>
  <si>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</si>
  <si>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</si>
  <si>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</si>
  <si>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</si>
  <si>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</si>
  <si>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</si>
  <si>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</si>
  <si>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</si>
  <si>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</si>
  <si>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</si>
  <si>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</si>
  <si>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</si>
  <si>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</si>
  <si>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</si>
  <si>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</si>
  <si>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</si>
  <si>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</si>
  <si>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</si>
  <si>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</si>
  <si>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</si>
  <si>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</si>
  <si>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</si>
  <si>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</si>
  <si>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</si>
  <si>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</si>
  <si>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</si>
  <si>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</si>
  <si>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</si>
  <si>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</si>
  <si>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</si>
  <si>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</si>
  <si>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</si>
  <si>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</si>
  <si>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</si>
  <si>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</si>
  <si>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</si>
  <si>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</si>
  <si>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</si>
  <si>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</si>
  <si>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</si>
  <si>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</si>
  <si>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</si>
  <si>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</si>
  <si>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</si>
  <si>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</si>
  <si>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</si>
  <si>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</si>
  <si>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</si>
  <si>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</si>
  <si>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</si>
  <si>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</si>
  <si>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</si>
  <si>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</si>
  <si>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</si>
  <si>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</si>
  <si>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</si>
  <si>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</si>
  <si>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</si>
  <si>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</si>
  <si>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</si>
  <si>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</si>
  <si>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</si>
  <si>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</si>
  <si>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</si>
  <si>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</si>
  <si>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</si>
  <si>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</si>
  <si>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</si>
  <si>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</si>
  <si>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</si>
  <si>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</si>
  <si>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</si>
  <si>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</si>
  <si>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</si>
  <si>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</si>
  <si>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</si>
  <si>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</si>
  <si>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</si>
  <si>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</si>
  <si>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</si>
  <si>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</si>
  <si>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</si>
  <si>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</si>
  <si>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</si>
  <si>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</si>
  <si>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</si>
  <si>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</si>
  <si>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</si>
  <si>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</si>
  <si>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</si>
  <si>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</si>
  <si>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</si>
  <si>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</si>
  <si>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</si>
  <si>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</si>
  <si>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</si>
  <si>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</si>
  <si>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</si>
  <si>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</si>
  <si>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</si>
  <si>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</si>
  <si>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</si>
  <si>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</si>
  <si>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</si>
  <si>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</si>
  <si>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</si>
  <si>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</si>
  <si>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</si>
  <si>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</si>
  <si>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</si>
  <si>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</si>
  <si>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</si>
  <si>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</si>
  <si>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</si>
  <si>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</si>
  <si>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</si>
  <si>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</si>
  <si>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</si>
  <si>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</si>
  <si>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</si>
  <si>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</si>
  <si>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</si>
  <si>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</si>
  <si>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</si>
  <si>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</si>
  <si>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</si>
  <si>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</si>
  <si>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</si>
  <si>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</si>
  <si>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</si>
  <si>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</si>
  <si>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</si>
  <si>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</si>
  <si>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</si>
  <si>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</si>
  <si>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</si>
  <si>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</si>
  <si>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</si>
  <si>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</si>
  <si>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</si>
  <si>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</si>
  <si>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</si>
  <si>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</si>
  <si>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</si>
  <si>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</si>
  <si>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</si>
  <si>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</si>
  <si>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</si>
  <si>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</si>
  <si>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</si>
  <si>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</si>
  <si>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</si>
  <si>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</si>
  <si>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</si>
  <si>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</si>
  <si>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</si>
  <si>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</si>
  <si>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</si>
  <si>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</si>
  <si>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</si>
  <si>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</si>
  <si>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</si>
  <si>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</si>
  <si>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</si>
  <si>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</si>
  <si>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</si>
  <si>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</si>
  <si>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</si>
  <si>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</si>
  <si>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</si>
  <si>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</si>
  <si>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</si>
  <si>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</si>
  <si>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</si>
  <si>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</si>
  <si>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</si>
  <si>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</si>
  <si>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</si>
  <si>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</si>
  <si>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</si>
  <si>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</si>
  <si>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</si>
  <si>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</si>
  <si>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</si>
  <si>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</si>
  <si>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</si>
  <si>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</si>
  <si>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</si>
  <si>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</si>
  <si>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</si>
  <si>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</si>
  <si>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</si>
  <si>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</si>
  <si>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</si>
  <si>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</si>
  <si>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</si>
  <si>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</si>
  <si>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</si>
  <si>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</si>
  <si>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</si>
  <si>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</si>
  <si>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</si>
  <si>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</si>
  <si>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</si>
  <si>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</si>
  <si>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</si>
  <si>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</si>
  <si>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</si>
  <si>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</si>
  <si>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</si>
  <si>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</si>
  <si>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</si>
  <si>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</si>
  <si>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</si>
  <si>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</si>
  <si>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</si>
  <si>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</si>
  <si>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</si>
  <si>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</si>
  <si>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</si>
  <si>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</si>
  <si>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</si>
  <si>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</si>
  <si>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</si>
  <si>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</si>
  <si>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</si>
  <si>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</si>
  <si>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</si>
  <si>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</si>
  <si>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</si>
  <si>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</si>
  <si>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</si>
  <si>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</si>
  <si>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</si>
  <si>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</si>
  <si>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</si>
  <si>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</si>
  <si>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</si>
  <si>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</si>
  <si>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</si>
  <si>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</si>
  <si>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</si>
  <si>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</si>
  <si>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</si>
  <si>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</si>
  <si>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</si>
  <si>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</si>
  <si>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</si>
  <si>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</si>
  <si>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</si>
  <si>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</si>
  <si>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</si>
  <si>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</si>
  <si>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</si>
  <si>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</si>
  <si>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</si>
  <si>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</si>
  <si>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</si>
  <si>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</si>
  <si>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</si>
  <si>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</si>
  <si>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</si>
  <si>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</si>
  <si>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</si>
  <si>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</si>
  <si>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</si>
  <si>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</si>
  <si>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</si>
  <si>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</si>
  <si>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</si>
  <si>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</si>
  <si>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</si>
  <si>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</si>
  <si>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</si>
  <si>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</si>
  <si>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</si>
  <si>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</si>
  <si>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</si>
  <si>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</si>
  <si>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</si>
  <si>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</si>
  <si>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</si>
  <si>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</si>
  <si>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</si>
  <si>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</si>
  <si>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</si>
  <si>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</si>
  <si>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</si>
  <si>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</si>
  <si>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</si>
  <si>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</si>
  <si>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</si>
  <si>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</si>
  <si>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</si>
  <si>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</si>
  <si>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</si>
  <si>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</si>
  <si>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</si>
  <si>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</si>
  <si>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</si>
  <si>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</si>
  <si>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</si>
  <si>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</si>
  <si>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</si>
  <si>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</si>
  <si>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</si>
  <si>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</si>
  <si>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</si>
  <si>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</si>
  <si>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</si>
  <si>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</si>
  <si>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</si>
  <si>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</si>
  <si>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</si>
  <si>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</si>
  <si>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</si>
  <si>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</si>
  <si>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</si>
  <si>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</si>
  <si>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</si>
  <si>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</si>
  <si>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</si>
  <si>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</si>
  <si>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</si>
  <si>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</si>
  <si>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</si>
  <si>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</si>
  <si>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</si>
  <si>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</si>
  <si>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</si>
  <si>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</si>
  <si>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</si>
  <si>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</si>
  <si>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</si>
  <si>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</si>
  <si>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</si>
  <si>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</si>
  <si>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</si>
  <si>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</si>
  <si>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</si>
  <si>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</si>
  <si>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</si>
  <si>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</si>
  <si>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</si>
  <si>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</si>
  <si>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</si>
  <si>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</si>
  <si>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</si>
  <si>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</si>
  <si>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</si>
  <si>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</si>
  <si>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</si>
  <si>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</si>
  <si>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</si>
  <si>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</si>
  <si>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</si>
  <si>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</si>
  <si>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</si>
  <si>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</si>
  <si>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</si>
  <si>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</si>
  <si>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</si>
  <si>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</si>
  <si>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</si>
  <si>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</si>
  <si>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</si>
  <si>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</si>
  <si>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</si>
  <si>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</si>
  <si>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</si>
  <si>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</si>
  <si>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</si>
  <si>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</si>
  <si>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</si>
  <si>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</si>
  <si>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</si>
  <si>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</si>
  <si>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</si>
  <si>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</si>
  <si>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</si>
  <si>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</si>
  <si>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</si>
  <si>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</si>
  <si>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</si>
  <si>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</si>
  <si>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</si>
  <si>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</si>
  <si>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</si>
  <si>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</si>
  <si>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</si>
  <si>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</si>
  <si>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</si>
  <si>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</si>
  <si>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</si>
  <si>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</si>
  <si>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</si>
  <si>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</si>
  <si>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</si>
  <si>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</si>
  <si>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</si>
  <si>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</si>
  <si>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</si>
  <si>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</si>
  <si>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</si>
  <si>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</si>
  <si>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</si>
  <si>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</si>
  <si>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</si>
  <si>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</si>
  <si>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</si>
  <si>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</si>
  <si>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</si>
  <si>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</si>
  <si>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</si>
  <si>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</si>
  <si>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</si>
  <si>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</si>
  <si>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</si>
  <si>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</si>
  <si>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</si>
  <si>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</si>
  <si>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</si>
  <si>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</si>
  <si>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</si>
  <si>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</si>
  <si>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</si>
  <si>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</si>
  <si>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</si>
  <si>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</si>
  <si>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</si>
  <si>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</si>
  <si>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</si>
  <si>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</si>
  <si>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</si>
  <si>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</si>
  <si>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</si>
  <si>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</si>
  <si>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</si>
  <si>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</si>
  <si>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</si>
  <si>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</si>
  <si>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</si>
  <si>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</si>
  <si>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</si>
  <si>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</si>
  <si>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</si>
  <si>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</si>
  <si>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</si>
  <si>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</si>
  <si>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</si>
  <si>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</si>
  <si>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</si>
  <si>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</si>
  <si>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</si>
  <si>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</si>
  <si>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</si>
  <si>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</si>
  <si>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</si>
  <si>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</si>
  <si>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</si>
  <si>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</si>
  <si>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</si>
  <si>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</si>
  <si>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</si>
  <si>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</si>
  <si>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</si>
  <si>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</si>
  <si>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</si>
  <si>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</si>
  <si>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</si>
  <si>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</si>
  <si>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</si>
  <si>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</si>
  <si>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</si>
  <si>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</si>
  <si>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</si>
  <si>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</si>
  <si>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</si>
  <si>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</si>
  <si>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</si>
  <si>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</si>
  <si>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</si>
  <si>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</si>
  <si>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</si>
  <si>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</si>
  <si>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</si>
  <si>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</si>
  <si>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</si>
  <si>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</si>
  <si>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</si>
  <si>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</si>
  <si>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</si>
  <si>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</si>
  <si>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</si>
  <si>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</si>
  <si>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</si>
  <si>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</si>
  <si>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</si>
  <si>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</si>
  <si>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</si>
  <si>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</si>
  <si>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</si>
  <si>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</si>
  <si>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</si>
  <si>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</si>
  <si>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</si>
  <si>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</si>
  <si>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</si>
  <si>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</si>
  <si>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</si>
  <si>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</si>
  <si>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</si>
  <si>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</si>
  <si>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</si>
  <si>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</si>
  <si>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</si>
  <si>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</si>
  <si>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</si>
  <si>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</si>
  <si>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</si>
  <si>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</si>
  <si>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</si>
  <si>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</si>
  <si>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</si>
  <si>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</si>
  <si>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</si>
  <si>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</si>
  <si>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</si>
  <si>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</si>
  <si>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</si>
  <si>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</si>
  <si>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</si>
  <si>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</si>
  <si>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</si>
  <si>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</si>
  <si>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</si>
  <si>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</si>
  <si>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</si>
  <si>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</si>
  <si>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</si>
  <si>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</si>
  <si>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</si>
  <si>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</si>
  <si>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</si>
  <si>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</si>
  <si>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</si>
  <si>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</si>
  <si>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</si>
  <si>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</si>
  <si>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</si>
  <si>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</si>
  <si>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</si>
  <si>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</si>
  <si>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</si>
  <si>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</si>
  <si>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</si>
  <si>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</si>
  <si>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</si>
  <si>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</si>
  <si>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</si>
  <si>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</si>
  <si>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</si>
  <si>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</si>
  <si>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</si>
  <si>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</si>
  <si>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</si>
  <si>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</si>
  <si>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</si>
  <si>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</si>
  <si>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</si>
  <si>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</si>
  <si>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</si>
  <si>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</si>
  <si>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</si>
  <si>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</si>
  <si>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</si>
  <si>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</si>
  <si>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</si>
  <si>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</si>
  <si>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</si>
  <si>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</si>
  <si>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</si>
  <si>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</si>
  <si>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</si>
  <si>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</si>
  <si>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</si>
  <si>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</si>
  <si>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</si>
  <si>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</si>
  <si>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</si>
  <si>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</si>
  <si>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</si>
  <si>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</si>
  <si>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</si>
  <si>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</si>
  <si>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</si>
  <si>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</si>
  <si>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</si>
  <si>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</si>
  <si>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</si>
  <si>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</si>
  <si>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</si>
  <si>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</si>
  <si>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</si>
  <si>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</si>
  <si>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</si>
  <si>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</si>
  <si>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</si>
  <si>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</si>
  <si>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</si>
  <si>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</si>
  <si>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</si>
  <si>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</si>
  <si>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</si>
  <si>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</si>
  <si>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</si>
  <si>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</si>
  <si>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</si>
  <si>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</si>
  <si>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</si>
  <si>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</si>
  <si>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</si>
  <si>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</si>
  <si>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</si>
  <si>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</si>
  <si>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</si>
  <si>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</si>
  <si>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</si>
  <si>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</si>
  <si>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</si>
  <si>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</si>
  <si>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</si>
  <si>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</si>
  <si>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</si>
  <si>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</si>
  <si>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</si>
  <si>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</si>
  <si>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</si>
  <si>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</si>
  <si>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</si>
  <si>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</si>
  <si>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</si>
  <si>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</si>
  <si>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</si>
  <si>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</si>
  <si>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</si>
  <si>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</si>
  <si>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</si>
  <si>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</si>
  <si>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</si>
  <si>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</si>
  <si>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</si>
  <si>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</si>
  <si>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</si>
  <si>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</si>
  <si>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</si>
  <si>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</si>
  <si>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</si>
  <si>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</si>
  <si>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</si>
  <si>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</si>
  <si>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</si>
  <si>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</si>
  <si>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</si>
  <si>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</si>
  <si>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</si>
  <si>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</si>
  <si>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</si>
  <si>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</si>
  <si>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</si>
  <si>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</si>
  <si>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</si>
  <si>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</si>
  <si>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</si>
  <si>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</si>
  <si>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</si>
  <si>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</si>
  <si>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</si>
  <si>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</si>
  <si>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</si>
  <si>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</si>
  <si>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</si>
  <si>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</si>
  <si>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</si>
  <si>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</si>
  <si>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</si>
  <si>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</si>
  <si>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</si>
  <si>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</si>
  <si>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</si>
  <si>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</si>
  <si>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</si>
  <si>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</si>
  <si>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</si>
  <si>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</si>
  <si>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</si>
  <si>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</si>
  <si>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</si>
  <si>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</si>
  <si>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</si>
  <si>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</si>
  <si>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</si>
  <si>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</si>
  <si>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</si>
  <si>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</si>
  <si>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</si>
  <si>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</si>
  <si>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</si>
  <si>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</si>
  <si>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</si>
  <si>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</si>
  <si>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</si>
  <si>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</si>
  <si>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</si>
  <si>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</si>
  <si>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</si>
  <si>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</si>
  <si>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</si>
  <si>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</si>
  <si>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</si>
  <si>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</si>
  <si>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</si>
  <si>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</si>
  <si>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</si>
  <si>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</si>
  <si>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</si>
  <si>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</si>
  <si>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</si>
  <si>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</si>
  <si>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</si>
  <si>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</si>
  <si>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</si>
  <si>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</si>
  <si>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</si>
  <si>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</si>
  <si>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</si>
  <si>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</si>
  <si>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</si>
  <si>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</si>
  <si>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</si>
  <si>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</si>
  <si>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</si>
  <si>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</si>
  <si>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</si>
  <si>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</si>
  <si>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</si>
  <si>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</si>
  <si>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</si>
  <si>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</si>
  <si>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</si>
  <si>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</si>
  <si>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</si>
  <si>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</si>
  <si>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</si>
  <si>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</si>
  <si>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</si>
  <si>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</si>
  <si>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</si>
  <si>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</si>
  <si>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</si>
  <si>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</si>
  <si>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</si>
  <si>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</si>
  <si>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</si>
  <si>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</si>
  <si>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</si>
  <si>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</si>
  <si>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</si>
  <si>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</si>
  <si>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</si>
  <si>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</si>
  <si>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</si>
  <si>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</si>
  <si>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</si>
  <si>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</si>
  <si>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</si>
  <si>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</si>
  <si>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</si>
  <si>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</si>
  <si>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</si>
  <si>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</si>
  <si>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</si>
  <si>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</si>
  <si>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</si>
  <si>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</si>
  <si>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</si>
  <si>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</si>
  <si>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</si>
  <si>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</si>
  <si>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</si>
  <si>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</si>
  <si>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</si>
  <si>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</si>
  <si>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</si>
  <si>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</si>
  <si>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</si>
  <si>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</si>
  <si>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</si>
  <si>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</si>
  <si>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</si>
  <si>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</si>
  <si>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</si>
  <si>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</si>
  <si>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</si>
  <si>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</si>
  <si>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</si>
  <si>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</si>
  <si>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</si>
  <si>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</si>
  <si>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</si>
  <si>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</si>
  <si>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</si>
  <si>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</si>
  <si>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</si>
  <si>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</si>
  <si>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</si>
  <si>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</si>
  <si>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</si>
  <si>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</si>
  <si>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</si>
  <si>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</si>
  <si>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</si>
  <si>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</si>
  <si>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</si>
  <si>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</si>
  <si>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</si>
  <si>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</si>
  <si>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</si>
  <si>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</si>
  <si>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</si>
  <si>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</si>
  <si>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</si>
  <si>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</si>
  <si>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</si>
  <si>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</si>
  <si>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</si>
  <si>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</si>
  <si>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</si>
  <si>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</si>
  <si>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</si>
  <si>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</si>
  <si>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</si>
  <si>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</si>
  <si>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</si>
  <si>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</si>
  <si>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</si>
  <si>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</si>
  <si>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</si>
  <si>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</si>
  <si>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</si>
  <si>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</si>
  <si>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</si>
  <si>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</si>
  <si>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</si>
  <si>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</si>
  <si>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</si>
  <si>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</si>
  <si>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</si>
  <si>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</si>
  <si>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</si>
  <si>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</si>
  <si>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</si>
  <si>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</si>
  <si>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</si>
  <si>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</si>
  <si>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</si>
  <si>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</si>
  <si>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</si>
  <si>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</si>
  <si>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</si>
  <si>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</si>
  <si>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</si>
  <si>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</si>
  <si>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</si>
  <si>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</si>
  <si>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</si>
  <si>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</si>
  <si>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</si>
  <si>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</si>
  <si>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</si>
  <si>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</si>
  <si>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</si>
  <si>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</si>
  <si>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</si>
  <si>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</si>
  <si>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</si>
  <si>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</si>
  <si>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</si>
  <si>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</si>
  <si>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</si>
  <si>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</si>
  <si>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</si>
  <si>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</si>
  <si>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</si>
  <si>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</si>
  <si>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</si>
  <si>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</si>
  <si>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</si>
  <si>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</si>
  <si>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</si>
  <si>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</si>
  <si>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</si>
  <si>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</si>
  <si>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</si>
  <si>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</si>
  <si>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</si>
  <si>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</si>
  <si>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</si>
  <si>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</si>
  <si>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</si>
  <si>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</si>
  <si>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</si>
  <si>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</si>
  <si>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</si>
  <si>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</si>
  <si>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</si>
  <si>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</si>
  <si>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</si>
  <si>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</si>
  <si>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</si>
  <si>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</si>
  <si>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</si>
  <si>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</si>
  <si>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</si>
  <si>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</si>
  <si>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</si>
  <si>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</si>
  <si>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</si>
  <si>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</si>
  <si>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</si>
  <si>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</si>
  <si>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</si>
  <si>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</si>
  <si>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</si>
  <si>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</si>
  <si>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</si>
  <si>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</si>
  <si>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</si>
  <si>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</si>
  <si>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</si>
  <si>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</si>
  <si>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</si>
  <si>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</si>
  <si>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</si>
  <si>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</si>
  <si>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</si>
  <si>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</si>
  <si>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</si>
  <si>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</si>
  <si>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</si>
  <si>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</si>
  <si>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</si>
  <si>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</si>
  <si>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</si>
  <si>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</si>
  <si>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</si>
  <si>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</si>
  <si>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</si>
  <si>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</si>
  <si>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</si>
  <si>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</si>
  <si>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</si>
  <si>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</si>
  <si>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</si>
  <si>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</si>
  <si>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</si>
  <si>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</si>
  <si>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</si>
  <si>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</si>
  <si>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</si>
  <si>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</si>
  <si>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</si>
  <si>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</si>
  <si>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</si>
  <si>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</si>
  <si>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</si>
  <si>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</si>
  <si>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</si>
  <si>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</si>
  <si>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</si>
  <si>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</si>
  <si>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</si>
  <si>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</si>
  <si>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</si>
  <si>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</si>
  <si>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</si>
  <si>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</si>
  <si>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</si>
  <si>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</si>
  <si>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</si>
  <si>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</si>
  <si>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</si>
  <si>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</si>
  <si>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</si>
  <si>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</si>
  <si>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</si>
  <si>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</si>
  <si>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</si>
  <si>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</si>
  <si>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</si>
  <si>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</si>
  <si>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</si>
  <si>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</si>
  <si>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</si>
  <si>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</si>
  <si>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</si>
  <si>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</si>
  <si>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</si>
  <si>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</si>
  <si>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</si>
  <si>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</si>
  <si>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</si>
  <si>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</si>
  <si>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</si>
  <si>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</si>
  <si>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</si>
  <si>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</si>
  <si>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</si>
  <si>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</si>
  <si>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</si>
  <si>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</si>
  <si>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</si>
  <si>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</si>
  <si>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</si>
  <si>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</si>
  <si>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</si>
  <si>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</si>
  <si>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</si>
  <si>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</si>
  <si>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</si>
  <si>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</si>
  <si>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</si>
  <si>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</si>
  <si>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</si>
  <si>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</si>
  <si>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</si>
  <si>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</si>
  <si>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</si>
  <si>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</si>
  <si>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</si>
  <si>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</si>
  <si>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</si>
  <si>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</si>
  <si>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</si>
  <si>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</si>
  <si>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</si>
  <si>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</si>
  <si>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</si>
  <si>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</si>
  <si>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</si>
  <si>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</si>
  <si>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</si>
  <si>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</si>
  <si>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</si>
  <si>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</si>
  <si>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</si>
  <si>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</si>
  <si>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</si>
  <si>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</si>
  <si>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</si>
  <si>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</si>
  <si>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</si>
  <si>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</si>
  <si>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</si>
  <si>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</si>
  <si>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</si>
  <si>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</si>
  <si>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</si>
  <si>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</si>
  <si>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</si>
  <si>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</si>
  <si>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</si>
  <si>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</si>
  <si>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</si>
  <si>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</si>
  <si>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</si>
  <si>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</si>
  <si>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</si>
  <si>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</si>
  <si>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</si>
  <si>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</si>
  <si>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</si>
  <si>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</si>
  <si>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</si>
  <si>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</si>
  <si>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</si>
  <si>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</si>
  <si>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</si>
  <si>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</si>
  <si>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</si>
  <si>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</si>
  <si>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</si>
  <si>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</si>
  <si>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</si>
  <si>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</si>
  <si>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</si>
  <si>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</si>
  <si>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</si>
  <si>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</si>
  <si>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</si>
  <si>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</si>
  <si>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</si>
  <si>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</si>
  <si>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</si>
  <si>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</si>
  <si>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</si>
  <si>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</si>
  <si>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</si>
  <si>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</si>
  <si>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</si>
  <si>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</si>
  <si>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</si>
  <si>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</si>
  <si>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</si>
  <si>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</si>
  <si>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</si>
  <si>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</si>
  <si>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</si>
  <si>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</si>
  <si>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</si>
  <si>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</si>
  <si>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</si>
  <si>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</si>
  <si>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</si>
  <si>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</si>
  <si>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</si>
  <si>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</si>
  <si>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</si>
  <si>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</si>
  <si>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</si>
  <si>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</si>
  <si>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</si>
  <si>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</si>
  <si>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</si>
  <si>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</si>
  <si>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</si>
  <si>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</si>
  <si>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</si>
  <si>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</si>
  <si>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</si>
  <si>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</si>
  <si>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</si>
  <si>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</si>
  <si>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</si>
  <si>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</si>
  <si>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</si>
  <si>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</si>
  <si>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</si>
  <si>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</si>
  <si>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</si>
  <si>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</si>
  <si>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</si>
  <si>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</si>
  <si>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</si>
  <si>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</si>
  <si>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</si>
  <si>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</si>
  <si>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</si>
  <si>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</si>
  <si>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</si>
  <si>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</si>
  <si>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</si>
  <si>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</si>
  <si>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</si>
  <si>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</si>
  <si>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</si>
  <si>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</si>
  <si>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</si>
  <si>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</si>
  <si>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</si>
  <si>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</si>
  <si>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</si>
  <si>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</si>
  <si>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</si>
  <si>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</si>
  <si>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</si>
  <si>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</si>
  <si>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</si>
  <si>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</si>
  <si>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</si>
  <si>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</si>
  <si>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</si>
  <si>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</si>
  <si>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</si>
  <si>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</si>
  <si>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</si>
  <si>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</si>
  <si>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</si>
  <si>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</si>
  <si>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</si>
  <si>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</si>
  <si>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</si>
  <si>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</si>
  <si>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</si>
  <si>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</si>
  <si>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</si>
  <si>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</si>
  <si>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</si>
  <si>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</si>
  <si>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</si>
  <si>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</si>
  <si>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</si>
  <si>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</si>
  <si>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</si>
  <si>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</si>
  <si>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</si>
  <si>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</si>
  <si>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</si>
  <si>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</si>
  <si>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</si>
  <si>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</si>
  <si>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</si>
  <si>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</si>
  <si>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</si>
  <si>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</si>
  <si>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</si>
  <si>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</si>
  <si>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</si>
  <si>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</si>
  <si>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</si>
  <si>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</si>
  <si>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</si>
  <si>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</si>
  <si>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</si>
  <si>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</si>
  <si>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</si>
  <si>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</si>
  <si>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</si>
  <si>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</si>
  <si>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</si>
  <si>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</si>
  <si>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</si>
  <si>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</si>
  <si>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</si>
  <si>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</si>
  <si>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</si>
  <si>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</si>
  <si>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</si>
  <si>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</si>
  <si>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</si>
  <si>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</si>
  <si>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</si>
  <si>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</si>
  <si>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</si>
  <si>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</si>
  <si>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</si>
  <si>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</si>
  <si>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</si>
  <si>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</si>
  <si>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</si>
  <si>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</si>
  <si>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</si>
  <si>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</si>
  <si>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</si>
  <si>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</si>
  <si>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</si>
  <si>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</si>
  <si>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</si>
  <si>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</si>
  <si>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</si>
  <si>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</si>
  <si>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</si>
  <si>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</si>
  <si>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</si>
  <si>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</si>
  <si>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</si>
  <si>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</si>
  <si>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</si>
  <si>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</si>
  <si>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</si>
  <si>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</si>
  <si>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</si>
  <si>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</si>
  <si>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</si>
  <si>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</si>
  <si>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</si>
  <si>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</si>
  <si>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</si>
  <si>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</si>
  <si>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</si>
  <si>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</si>
  <si>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</si>
  <si>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</si>
  <si>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</si>
  <si>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</si>
  <si>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</si>
  <si>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</si>
  <si>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</si>
  <si>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</si>
  <si>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</si>
  <si>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</si>
  <si>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</si>
  <si>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</si>
  <si>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</si>
  <si>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</si>
  <si>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</si>
  <si>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</si>
  <si>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</si>
  <si>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</si>
  <si>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</si>
  <si>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</si>
  <si>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</si>
  <si>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</si>
  <si>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</si>
  <si>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</si>
  <si>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</si>
  <si>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</si>
  <si>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</si>
  <si>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</si>
  <si>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</si>
  <si>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</si>
  <si>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</si>
  <si>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</si>
  <si>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</si>
  <si>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</si>
  <si>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</si>
  <si>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</si>
  <si>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</si>
  <si>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</si>
  <si>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</si>
  <si>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</si>
  <si>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</si>
  <si>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</si>
  <si>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</si>
  <si>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</si>
  <si>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</si>
  <si>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</si>
  <si>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</si>
  <si>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</si>
  <si>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</si>
  <si>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</si>
  <si>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</si>
  <si>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</si>
  <si>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</si>
  <si>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</si>
  <si>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</si>
  <si>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</si>
  <si>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</si>
  <si>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</si>
  <si>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</si>
  <si>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</si>
  <si>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</si>
  <si>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</si>
  <si>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</si>
  <si>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</si>
  <si>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</si>
  <si>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</si>
  <si>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</si>
  <si>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</si>
  <si>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</si>
  <si>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</si>
  <si>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</si>
  <si>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</si>
  <si>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</si>
  <si>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</si>
  <si>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</si>
  <si>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</si>
  <si>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</si>
  <si>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</si>
  <si>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</si>
  <si>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</si>
  <si>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</si>
  <si>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</si>
  <si>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</si>
  <si>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</si>
  <si>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</si>
  <si>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</si>
  <si>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</si>
  <si>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</si>
  <si>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</si>
  <si>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</si>
  <si>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</si>
  <si>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</si>
  <si>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</si>
  <si>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</si>
  <si>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</si>
  <si>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</si>
  <si>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</si>
  <si>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</si>
  <si>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</si>
  <si>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</si>
  <si>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</si>
  <si>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</si>
  <si>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</si>
  <si>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</si>
  <si>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</si>
  <si>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</si>
  <si>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</si>
  <si>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</si>
  <si>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</si>
  <si>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</si>
  <si>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</si>
  <si>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</si>
  <si>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</si>
  <si>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</si>
  <si>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</si>
  <si>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</si>
  <si>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</si>
  <si>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</si>
  <si>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</si>
  <si>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</si>
  <si>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</si>
  <si>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</si>
  <si>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</si>
  <si>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</si>
  <si>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</si>
  <si>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</si>
  <si>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</si>
  <si>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</si>
  <si>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</si>
  <si>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</si>
  <si>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</si>
  <si>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</si>
  <si>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</si>
  <si>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</si>
  <si>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</si>
  <si>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</si>
  <si>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</si>
  <si>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</si>
  <si>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</si>
  <si>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</si>
  <si>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</si>
  <si>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</si>
  <si>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</si>
  <si>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</si>
  <si>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</si>
  <si>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</si>
  <si>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</si>
  <si>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</si>
  <si>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</si>
  <si>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</si>
  <si>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</si>
  <si>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</si>
  <si>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</si>
  <si>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</si>
  <si>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</si>
  <si>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</si>
  <si>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</si>
  <si>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</si>
  <si>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</si>
  <si>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</si>
  <si>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</si>
  <si>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</si>
  <si>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</si>
  <si>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</si>
  <si>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</si>
  <si>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</si>
  <si>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</si>
  <si>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</si>
  <si>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</si>
  <si>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</si>
  <si>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</si>
  <si>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</si>
  <si>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</si>
  <si>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</si>
  <si>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</si>
  <si>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</si>
  <si>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</si>
  <si>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</si>
  <si>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</si>
  <si>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</si>
  <si>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</si>
  <si>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</si>
  <si>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</si>
  <si>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</si>
  <si>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</si>
  <si>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</si>
  <si>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</si>
  <si>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</si>
  <si>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</si>
  <si>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</si>
  <si>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</si>
  <si>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</si>
  <si>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</si>
  <si>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</si>
  <si>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</si>
  <si>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</si>
  <si>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</si>
  <si>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</si>
  <si>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</si>
  <si>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</si>
  <si>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</si>
  <si>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</si>
  <si>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</si>
  <si>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</si>
  <si>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</si>
  <si>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</si>
  <si>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</si>
  <si>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</si>
  <si>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</si>
  <si>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</si>
  <si>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</si>
  <si>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</si>
  <si>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</si>
  <si>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</si>
  <si>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</si>
  <si>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</si>
  <si>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</si>
  <si>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</si>
  <si>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</si>
  <si>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</si>
  <si>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</si>
  <si>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</si>
  <si>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</si>
  <si>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</si>
  <si>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</si>
  <si>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</si>
  <si>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</si>
  <si>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</si>
  <si>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</si>
  <si>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</si>
  <si>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</si>
  <si>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</si>
  <si>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</si>
  <si>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</si>
  <si>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</si>
  <si>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</si>
  <si>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</si>
  <si>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</si>
  <si>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</si>
  <si>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</si>
  <si>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</si>
  <si>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</si>
  <si>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</si>
  <si>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</si>
  <si>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</si>
  <si>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</si>
  <si>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</si>
  <si>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</si>
  <si>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</si>
  <si>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</si>
  <si>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</si>
  <si>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</si>
  <si>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</si>
  <si>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</si>
  <si>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</si>
  <si>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</si>
  <si>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</si>
  <si>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</si>
  <si>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</si>
  <si>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</si>
  <si>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</si>
  <si>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</si>
  <si>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</si>
  <si>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</si>
  <si>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</si>
  <si>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</si>
  <si>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</si>
  <si>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</si>
  <si>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</si>
  <si>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</si>
  <si>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</si>
  <si>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</si>
  <si>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</si>
  <si>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</si>
  <si>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</si>
  <si>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</si>
  <si>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</si>
  <si>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</si>
  <si>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</si>
  <si>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</si>
  <si>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</si>
  <si>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</si>
  <si>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</si>
  <si>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</si>
  <si>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</si>
  <si>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</si>
  <si>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</si>
  <si>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</si>
  <si>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</si>
  <si>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</si>
  <si>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</si>
  <si>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</si>
  <si>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</si>
  <si>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</si>
  <si>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</si>
  <si>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</si>
  <si>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</si>
  <si>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</si>
  <si>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</si>
  <si>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</si>
  <si>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</si>
  <si>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</si>
  <si>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</si>
  <si>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</si>
  <si>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</si>
  <si>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</si>
  <si>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</si>
  <si>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</si>
  <si>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</si>
  <si>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</si>
  <si>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</si>
  <si>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</si>
  <si>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</si>
  <si>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</si>
  <si>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</si>
  <si>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</si>
  <si>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</si>
  <si>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</si>
  <si>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</si>
  <si>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</si>
  <si>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</si>
  <si>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</si>
  <si>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</si>
  <si>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</si>
  <si>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</si>
  <si>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</si>
  <si>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</si>
  <si>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</si>
  <si>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</si>
  <si>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</si>
  <si>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</si>
  <si>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</si>
  <si>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</si>
  <si>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</si>
  <si>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</si>
  <si>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</si>
  <si>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</si>
  <si>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</si>
  <si>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</si>
  <si>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</si>
  <si>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</si>
  <si>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</si>
  <si>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</si>
  <si>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</si>
  <si>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</si>
  <si>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</si>
  <si>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</si>
  <si>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</si>
  <si>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</si>
  <si>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</si>
  <si>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</si>
  <si>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</si>
  <si>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</si>
  <si>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</si>
  <si>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</si>
  <si>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</si>
  <si>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</si>
  <si>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</si>
  <si>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</si>
  <si>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</si>
  <si>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</si>
  <si>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</si>
  <si>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</si>
  <si>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</si>
  <si>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</si>
  <si>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</si>
  <si>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</si>
  <si>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</si>
  <si>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</si>
  <si>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</si>
  <si>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</si>
  <si>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</si>
  <si>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</si>
  <si>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</si>
  <si>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</si>
  <si>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</si>
  <si>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</si>
  <si>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</si>
  <si>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</si>
  <si>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</si>
  <si>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</si>
  <si>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</si>
  <si>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</si>
  <si>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</si>
  <si>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</si>
  <si>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</si>
  <si>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</si>
  <si>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</si>
  <si>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</si>
  <si>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</si>
  <si>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</si>
  <si>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</si>
  <si>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</si>
  <si>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</si>
  <si>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</si>
  <si>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</si>
  <si>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</si>
  <si>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</si>
  <si>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</si>
  <si>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</si>
  <si>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</si>
  <si>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</si>
  <si>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</si>
  <si>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</si>
  <si>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</si>
  <si>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</si>
  <si>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</si>
  <si>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</si>
  <si>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</si>
  <si>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</si>
  <si>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</si>
  <si>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</si>
  <si>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</si>
  <si>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</si>
  <si>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</si>
  <si>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</si>
  <si>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</si>
  <si>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</si>
  <si>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</si>
  <si>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</si>
  <si>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</si>
  <si>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</si>
  <si>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</si>
  <si>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</si>
  <si>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</si>
  <si>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</si>
  <si>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</si>
  <si>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</si>
  <si>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</si>
  <si>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</si>
  <si>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</si>
  <si>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</si>
  <si>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</si>
  <si>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</si>
  <si>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</si>
  <si>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</si>
  <si>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</si>
  <si>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</si>
  <si>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</si>
  <si>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</si>
  <si>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</si>
  <si>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</si>
  <si>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</si>
  <si>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</si>
  <si>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</si>
  <si>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</si>
  <si>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</si>
  <si>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</si>
  <si>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</si>
  <si>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</si>
  <si>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</si>
  <si>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</si>
  <si>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</si>
  <si>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</si>
  <si>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</si>
  <si>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</si>
  <si>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</si>
  <si>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</si>
  <si>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</si>
  <si>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</si>
  <si>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</si>
  <si>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</si>
  <si>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</si>
  <si>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</si>
  <si>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</si>
  <si>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</si>
  <si>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</si>
  <si>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</si>
  <si>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</si>
  <si>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</si>
  <si>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</si>
  <si>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</si>
  <si>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</si>
  <si>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</si>
  <si>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</si>
  <si>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</si>
  <si>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</si>
  <si>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</si>
  <si>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</si>
  <si>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</si>
  <si>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</si>
  <si>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</si>
  <si>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</si>
  <si>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</si>
  <si>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</si>
  <si>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</si>
  <si>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</si>
  <si>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</si>
  <si>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</si>
  <si>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</si>
  <si>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</si>
  <si>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</si>
  <si>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</si>
  <si>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</si>
  <si>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</si>
  <si>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</si>
  <si>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</si>
  <si>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</si>
  <si>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</si>
  <si>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</si>
  <si>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</si>
  <si>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</si>
  <si>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</si>
  <si>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</si>
  <si>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</si>
  <si>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</si>
  <si>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</si>
  <si>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</si>
  <si>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</si>
  <si>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</si>
  <si>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</si>
  <si>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</si>
  <si>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</si>
  <si>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</si>
  <si>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</si>
  <si>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</si>
  <si>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</si>
  <si>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</si>
  <si>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</si>
  <si>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</si>
  <si>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</si>
  <si>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</si>
  <si>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</si>
  <si>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</si>
  <si>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</si>
  <si>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</si>
  <si>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</si>
  <si>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</si>
  <si>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</si>
  <si>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</si>
  <si>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</si>
  <si>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</si>
  <si>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</si>
  <si>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</si>
  <si>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</si>
  <si>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</si>
  <si>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</si>
  <si>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</si>
  <si>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</si>
  <si>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</si>
  <si>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</si>
  <si>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</si>
  <si>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</si>
  <si>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</si>
  <si>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</si>
  <si>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</si>
  <si>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</si>
  <si>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</si>
  <si>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</si>
  <si>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</si>
  <si>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</si>
  <si>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</si>
  <si>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</si>
  <si>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</si>
  <si>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</si>
  <si>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</si>
  <si>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</si>
  <si>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</si>
  <si>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</si>
  <si>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</si>
  <si>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</si>
  <si>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</si>
  <si>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</si>
  <si>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</si>
  <si>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</si>
  <si>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</si>
  <si>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</si>
  <si>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</si>
  <si>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</si>
  <si>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</si>
  <si>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</si>
  <si>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</si>
  <si>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</si>
  <si>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</si>
  <si>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</si>
  <si>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</si>
  <si>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</si>
  <si>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</si>
  <si>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</si>
  <si>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</si>
  <si>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</si>
  <si>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</si>
  <si>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</si>
  <si>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</si>
  <si>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</si>
  <si>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</si>
  <si>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</si>
  <si>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</si>
  <si>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</si>
  <si>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</si>
  <si>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</si>
  <si>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</si>
  <si>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</si>
  <si>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</si>
  <si>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</si>
  <si>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</si>
  <si>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</si>
  <si>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</si>
  <si>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</si>
  <si>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</si>
  <si>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</si>
  <si>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</si>
  <si>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</si>
  <si>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</si>
  <si>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</si>
  <si>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</si>
  <si>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</si>
  <si>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</si>
  <si>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</si>
  <si>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</si>
  <si>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</si>
  <si>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</si>
  <si>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</si>
  <si>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</si>
  <si>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</si>
  <si>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</si>
  <si>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</si>
  <si>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</si>
  <si>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</si>
  <si>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</si>
  <si>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</si>
  <si>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</si>
  <si>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</si>
  <si>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</si>
  <si>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</si>
  <si>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</si>
  <si>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</si>
  <si>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</si>
  <si>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</si>
  <si>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</si>
  <si>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</si>
  <si>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</si>
  <si>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</si>
  <si>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</si>
  <si>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</si>
  <si>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</si>
  <si>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</si>
  <si>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</si>
  <si>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</si>
  <si>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</si>
  <si>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</si>
  <si>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</si>
  <si>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</si>
  <si>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</si>
  <si>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</si>
  <si>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</si>
  <si>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</si>
  <si>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</si>
  <si>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</si>
  <si>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</si>
  <si>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</si>
  <si>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</si>
  <si>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</si>
  <si>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</si>
  <si>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</si>
  <si>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</si>
  <si>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</si>
  <si>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</si>
  <si>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</si>
  <si>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</si>
  <si>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</si>
  <si>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</si>
  <si>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</si>
  <si>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</si>
  <si>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</si>
  <si>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</si>
  <si>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</si>
  <si>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</si>
  <si>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</si>
  <si>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</si>
  <si>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</si>
  <si>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</si>
  <si>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</si>
  <si>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</si>
  <si>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</si>
  <si>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</si>
  <si>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</si>
  <si>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</si>
  <si>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</si>
  <si>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</si>
  <si>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</si>
  <si>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</si>
  <si>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</si>
  <si>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</si>
  <si>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</si>
  <si>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</si>
  <si>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</si>
  <si>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</si>
  <si>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</si>
  <si>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</si>
  <si>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</si>
  <si>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</si>
  <si>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</si>
  <si>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</si>
  <si>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</si>
  <si>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</si>
  <si>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</si>
  <si>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</si>
  <si>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</si>
  <si>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</si>
  <si>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</si>
  <si>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</si>
  <si>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</si>
  <si>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</si>
  <si>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</si>
  <si>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</si>
  <si>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</si>
  <si>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</si>
  <si>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</si>
  <si>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</si>
  <si>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</si>
  <si>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</si>
  <si>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</si>
  <si>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</si>
  <si>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</si>
  <si>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</si>
  <si>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</si>
  <si>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</si>
  <si>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</si>
  <si>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</si>
  <si>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</si>
  <si>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</si>
  <si>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</si>
  <si>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</si>
  <si>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</si>
  <si>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</si>
  <si>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</si>
  <si>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</si>
  <si>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</si>
  <si>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</si>
  <si>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</si>
  <si>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</si>
  <si>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</si>
  <si>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</si>
  <si>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</si>
  <si>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</si>
  <si>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</si>
  <si>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</si>
  <si>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</si>
  <si>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</si>
  <si>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</si>
  <si>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</si>
  <si>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</si>
  <si>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</si>
  <si>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</si>
  <si>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</si>
  <si>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</si>
  <si>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</si>
  <si>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</si>
  <si>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</si>
  <si>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</si>
  <si>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</si>
  <si>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</si>
  <si>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</si>
  <si>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</si>
  <si>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</si>
  <si>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</si>
  <si>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</si>
  <si>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</si>
  <si>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</si>
  <si>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</si>
  <si>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</si>
  <si>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</si>
  <si>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</si>
  <si>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</si>
  <si>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</si>
  <si>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</si>
  <si>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</si>
  <si>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</si>
  <si>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</si>
  <si>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</si>
  <si>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</si>
  <si>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</si>
  <si>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</si>
  <si>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</si>
  <si>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</si>
  <si>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</si>
  <si>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</si>
  <si>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</si>
  <si>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</si>
  <si>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</si>
  <si>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</si>
  <si>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</si>
  <si>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</si>
  <si>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</si>
  <si>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</si>
  <si>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</si>
  <si>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</si>
  <si>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</si>
  <si>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</si>
  <si>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</si>
  <si>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</si>
  <si>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</si>
  <si>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</si>
  <si>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</si>
  <si>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</si>
  <si>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</si>
  <si>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</si>
  <si>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</si>
  <si>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</si>
  <si>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</si>
  <si>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</si>
  <si>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</si>
  <si>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</si>
  <si>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</si>
  <si>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</si>
  <si>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</si>
  <si>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</si>
  <si>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</si>
  <si>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</si>
  <si>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</si>
  <si>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</si>
  <si>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</si>
  <si>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</si>
  <si>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</si>
  <si>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</si>
  <si>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</si>
  <si>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</si>
  <si>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</si>
  <si>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</si>
  <si>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</si>
  <si>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</si>
  <si>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</si>
  <si>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</si>
  <si>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</si>
  <si>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</si>
  <si>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</si>
  <si>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</si>
  <si>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</si>
  <si>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</si>
  <si>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</si>
  <si>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</si>
  <si>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</si>
  <si>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</si>
  <si>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</si>
  <si>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</si>
  <si>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</si>
  <si>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</si>
  <si>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</si>
  <si>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</si>
  <si>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</si>
  <si>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</si>
  <si>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</si>
  <si>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</si>
  <si>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</si>
  <si>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</si>
  <si>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</si>
  <si>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</si>
  <si>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</si>
  <si>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</si>
  <si>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</si>
  <si>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</si>
  <si>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</si>
  <si>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</si>
  <si>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</si>
  <si>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</si>
  <si>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</si>
  <si>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</si>
  <si>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</si>
  <si>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</si>
  <si>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</si>
  <si>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</si>
  <si>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</si>
  <si>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</si>
  <si>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</si>
  <si>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</si>
  <si>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</si>
  <si>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</si>
  <si>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</si>
  <si>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</si>
  <si>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</si>
  <si>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</si>
  <si>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</si>
  <si>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</si>
  <si>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</si>
  <si>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</si>
  <si>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</si>
  <si>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</si>
  <si>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</si>
  <si>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</si>
  <si>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</si>
  <si>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</si>
  <si>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</si>
  <si>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</si>
  <si>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</si>
  <si>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</si>
  <si>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</si>
  <si>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</si>
  <si>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</si>
  <si>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</si>
  <si>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</si>
  <si>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</si>
  <si>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</si>
  <si>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</si>
  <si>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</si>
  <si>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</si>
  <si>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</si>
  <si>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</si>
  <si>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</si>
  <si>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</si>
  <si>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</si>
  <si>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</si>
  <si>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</si>
  <si>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</si>
  <si>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</si>
  <si>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</si>
  <si>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</si>
  <si>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</si>
  <si>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</si>
  <si>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</si>
  <si>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</si>
  <si>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</si>
  <si>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</si>
  <si>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</si>
  <si>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</si>
  <si>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</si>
  <si>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</si>
  <si>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</si>
  <si>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</si>
  <si>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</si>
  <si>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</si>
  <si>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</si>
  <si>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</si>
  <si>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</si>
  <si>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</si>
  <si>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</si>
  <si>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</si>
  <si>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</si>
  <si>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</si>
  <si>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</si>
  <si>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</si>
  <si>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</si>
  <si>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</si>
  <si>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</si>
  <si>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</si>
  <si>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</si>
  <si>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</si>
  <si>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</si>
  <si>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</si>
  <si>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</si>
  <si>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</si>
  <si>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</si>
  <si>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</si>
  <si>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</si>
  <si>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</si>
  <si>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</si>
  <si>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</si>
  <si>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</si>
  <si>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</si>
  <si>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</si>
  <si>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</si>
  <si>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</si>
  <si>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</si>
  <si>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</si>
  <si>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</si>
  <si>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</si>
  <si>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</si>
  <si>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</si>
  <si>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</si>
  <si>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</si>
  <si>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</si>
  <si>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</si>
  <si>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</si>
  <si>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</si>
  <si>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</si>
  <si>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</si>
  <si>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</si>
  <si>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</si>
  <si>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</si>
  <si>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</si>
  <si>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</si>
  <si>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</si>
  <si>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</si>
  <si>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</si>
  <si>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</si>
  <si>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</si>
  <si>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</si>
  <si>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</si>
  <si>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</si>
  <si>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</si>
  <si>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</si>
  <si>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</si>
  <si>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</si>
  <si>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</si>
  <si>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</si>
  <si>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</si>
  <si>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</si>
  <si>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</si>
  <si>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</si>
  <si>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</si>
  <si>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</si>
  <si>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</si>
  <si>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</si>
  <si>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</si>
  <si>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</si>
  <si>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</si>
  <si>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</si>
  <si>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</si>
  <si>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</si>
  <si>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</si>
  <si>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</si>
  <si>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</si>
  <si>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</si>
  <si>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</si>
  <si>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</si>
  <si>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</si>
  <si>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</si>
  <si>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</si>
  <si>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</si>
  <si>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</si>
  <si>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</si>
  <si>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</si>
  <si>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</si>
  <si>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</si>
  <si>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</si>
  <si>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</si>
  <si>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</si>
  <si>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</si>
  <si>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</si>
  <si>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</si>
  <si>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</si>
  <si>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</si>
  <si>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</si>
  <si>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</si>
  <si>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</si>
  <si>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</si>
  <si>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</si>
  <si>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</si>
  <si>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</si>
  <si>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</si>
  <si>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</si>
  <si>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</si>
  <si>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</si>
  <si>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</si>
  <si>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</si>
  <si>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</si>
  <si>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</si>
  <si>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</si>
  <si>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</si>
  <si>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</si>
  <si>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</si>
  <si>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</si>
  <si>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</si>
  <si>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</si>
  <si>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</si>
  <si>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</si>
  <si>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</si>
  <si>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</si>
  <si>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</si>
  <si>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</si>
  <si>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</si>
  <si>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</si>
  <si>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</si>
  <si>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</si>
  <si>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</si>
  <si>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</si>
  <si>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</si>
  <si>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</si>
  <si>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</si>
  <si>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</si>
  <si>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</si>
  <si>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</si>
  <si>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</si>
  <si>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</si>
  <si>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</si>
  <si>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</si>
  <si>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</si>
  <si>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</si>
  <si>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</si>
  <si>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</si>
  <si>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</si>
  <si>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</si>
  <si>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</si>
  <si>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</si>
  <si>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</si>
  <si>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</si>
  <si>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</si>
  <si>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</si>
  <si>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</si>
  <si>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</si>
  <si>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</si>
  <si>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</si>
  <si>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</si>
  <si>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</si>
  <si>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</si>
  <si>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</si>
  <si>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</si>
  <si>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</si>
  <si>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</si>
  <si>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</si>
  <si>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</si>
  <si>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</si>
  <si>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</si>
  <si>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</si>
  <si>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</si>
  <si>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</si>
  <si>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</si>
  <si>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</si>
  <si>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</si>
  <si>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</si>
  <si>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</si>
  <si>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</si>
  <si>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</si>
  <si>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</si>
  <si>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</si>
  <si>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</si>
  <si>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</si>
  <si>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</si>
  <si>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</si>
  <si>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</si>
  <si>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</si>
  <si>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</si>
  <si>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</si>
  <si>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</si>
  <si>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</si>
  <si>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</si>
  <si>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</si>
  <si>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</si>
  <si>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</si>
  <si>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</si>
  <si>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</si>
  <si>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</si>
  <si>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</si>
  <si>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</si>
  <si>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</si>
  <si>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</si>
  <si>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</si>
  <si>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</si>
  <si>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</si>
  <si>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</si>
  <si>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</si>
  <si>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</si>
  <si>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</si>
  <si>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</si>
  <si>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</si>
  <si>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</si>
  <si>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</si>
  <si>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</si>
  <si>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</si>
  <si>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</si>
  <si>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</si>
  <si>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</si>
  <si>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</si>
  <si>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</si>
  <si>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</si>
  <si>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</si>
  <si>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</si>
  <si>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</si>
  <si>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</si>
  <si>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</si>
  <si>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</si>
  <si>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</si>
  <si>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</si>
  <si>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</si>
  <si>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</si>
  <si>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</si>
  <si>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</si>
  <si>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</si>
  <si>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</si>
  <si>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</si>
  <si>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</si>
  <si>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</si>
  <si>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</si>
  <si>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</si>
  <si>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</si>
  <si>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</si>
  <si>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</si>
  <si>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</si>
  <si>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</si>
  <si>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</si>
  <si>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</si>
  <si>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</si>
  <si>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</si>
  <si>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</si>
  <si>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</si>
  <si>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</si>
  <si>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</si>
  <si>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</si>
  <si>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</si>
  <si>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</si>
  <si>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</si>
  <si>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</si>
  <si>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</si>
  <si>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</si>
  <si>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</si>
  <si>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</si>
  <si>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</si>
  <si>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</si>
  <si>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</si>
  <si>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</si>
  <si>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</si>
  <si>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</si>
  <si>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</si>
  <si>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</si>
  <si>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</si>
  <si>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</si>
  <si>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</si>
  <si>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</si>
  <si>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</si>
  <si>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</si>
  <si>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</si>
  <si>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</si>
  <si>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</si>
  <si>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</si>
  <si>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</si>
  <si>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</si>
  <si>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</si>
  <si>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</si>
  <si>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</si>
  <si>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</si>
  <si>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</si>
  <si>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</si>
  <si>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</si>
  <si>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</si>
  <si>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</si>
  <si>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</si>
  <si>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</si>
  <si>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</si>
  <si>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</si>
  <si>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</si>
  <si>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</si>
  <si>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</si>
  <si>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</si>
  <si>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</si>
  <si>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</si>
  <si>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</si>
  <si>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</si>
  <si>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</si>
  <si>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</si>
  <si>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</si>
  <si>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</si>
  <si>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</si>
  <si>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</si>
  <si>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</si>
  <si>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</si>
  <si>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</si>
  <si>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</si>
  <si>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</si>
  <si>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</si>
  <si>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</si>
  <si>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</si>
  <si>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</si>
  <si>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</si>
  <si>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</si>
  <si>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</si>
  <si>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</si>
  <si>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</si>
  <si>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</si>
  <si>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</si>
  <si>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</si>
  <si>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</si>
  <si>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</si>
  <si>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</si>
  <si>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</si>
  <si>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</si>
  <si>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</si>
  <si>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</si>
  <si>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</si>
  <si>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</si>
  <si>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</si>
  <si>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</si>
  <si>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</si>
  <si>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</si>
  <si>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</si>
  <si>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</si>
  <si>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</si>
  <si>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</si>
  <si>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</si>
  <si>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</si>
  <si>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</si>
  <si>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</si>
  <si>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</si>
  <si>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</si>
  <si>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</si>
  <si>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</si>
  <si>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</si>
  <si>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</si>
  <si>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</si>
  <si>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</si>
  <si>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</si>
  <si>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</si>
  <si>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</si>
  <si>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</si>
  <si>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</si>
  <si>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</si>
  <si>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</si>
  <si>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</si>
  <si>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</si>
  <si>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</si>
  <si>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</si>
  <si>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</si>
  <si>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</si>
  <si>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</si>
  <si>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</si>
  <si>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</si>
  <si>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</si>
  <si>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</si>
  <si>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</si>
  <si>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</si>
  <si>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</si>
  <si>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</si>
  <si>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</si>
  <si>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</si>
  <si>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</si>
  <si>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</si>
  <si>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</si>
  <si>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</si>
  <si>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</si>
  <si>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</si>
  <si>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</si>
  <si>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</si>
  <si>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</si>
  <si>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</si>
  <si>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</si>
  <si>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</si>
  <si>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</si>
  <si>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</si>
  <si>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</si>
  <si>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</si>
  <si>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</si>
  <si>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</si>
  <si>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</si>
  <si>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</si>
  <si>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</si>
  <si>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</si>
  <si>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</si>
  <si>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</si>
  <si>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</si>
  <si>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</si>
  <si>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</si>
  <si>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</si>
  <si>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</si>
  <si>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</si>
  <si>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</si>
  <si>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</si>
  <si>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</si>
  <si>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</si>
  <si>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</si>
  <si>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</si>
  <si>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</si>
  <si>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</si>
  <si>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</si>
  <si>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</si>
  <si>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</si>
  <si>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</si>
  <si>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</si>
  <si>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</si>
  <si>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</si>
  <si>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</si>
  <si>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</si>
  <si>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</si>
  <si>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</si>
  <si>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</si>
  <si>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</si>
  <si>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</si>
  <si>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</si>
  <si>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</si>
  <si>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</si>
  <si>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</si>
  <si>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</si>
  <si>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</si>
  <si>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</si>
  <si>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</si>
  <si>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</si>
  <si>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</si>
  <si>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</si>
  <si>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</si>
  <si>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</si>
  <si>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</si>
  <si>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</si>
  <si>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</si>
  <si>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</si>
  <si>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</si>
  <si>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</si>
  <si>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</si>
  <si>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</si>
  <si>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</si>
  <si>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</si>
  <si>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</si>
  <si>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</si>
  <si>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</si>
  <si>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</si>
  <si>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</si>
  <si>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</si>
  <si>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</si>
  <si>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</si>
  <si>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</si>
  <si>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</si>
  <si>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</si>
  <si>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</si>
  <si>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</si>
  <si>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</si>
  <si>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</si>
  <si>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</si>
  <si>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</si>
  <si>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</si>
  <si>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</si>
  <si>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</si>
  <si>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</si>
  <si>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</si>
  <si>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</si>
  <si>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</si>
  <si>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</si>
  <si>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</si>
  <si>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</si>
  <si>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</si>
  <si>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</si>
  <si>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</si>
  <si>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</si>
  <si>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</si>
  <si>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</si>
  <si>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</si>
  <si>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</si>
  <si>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</si>
  <si>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</si>
  <si>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</si>
  <si>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</si>
  <si>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</si>
  <si>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</si>
  <si>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</si>
  <si>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</si>
  <si>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</si>
  <si>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</si>
  <si>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</si>
  <si>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</si>
  <si>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</si>
  <si>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</si>
  <si>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</si>
  <si>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</si>
  <si>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</si>
  <si>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</si>
  <si>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</si>
  <si>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</si>
  <si>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</si>
  <si>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</si>
  <si>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</si>
  <si>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</si>
  <si>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</si>
  <si>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</si>
  <si>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</si>
  <si>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</si>
  <si>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</si>
  <si>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</si>
  <si>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</si>
  <si>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</si>
  <si>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</si>
  <si>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</si>
  <si>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</si>
  <si>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</si>
  <si>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</si>
  <si>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</si>
  <si>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</si>
  <si>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</si>
  <si>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</si>
  <si>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</si>
  <si>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</si>
  <si>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</si>
  <si>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</si>
  <si>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</si>
  <si>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</si>
  <si>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</si>
  <si>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</si>
  <si>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</si>
  <si>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</si>
  <si>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</si>
  <si>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</si>
  <si>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</si>
  <si>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</si>
  <si>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</si>
  <si>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</si>
  <si>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</si>
  <si>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</si>
  <si>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</si>
  <si>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</si>
  <si>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</si>
  <si>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</si>
  <si>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</si>
  <si>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</si>
  <si>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</si>
  <si>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</si>
  <si>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</si>
  <si>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</si>
  <si>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</si>
  <si>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</si>
  <si>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</si>
  <si>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</si>
  <si>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</si>
  <si>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</si>
  <si>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</si>
  <si>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</si>
  <si>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</si>
  <si>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</si>
  <si>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</si>
  <si>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</si>
  <si>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</si>
  <si>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</si>
  <si>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</si>
  <si>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</si>
  <si>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</si>
  <si>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</si>
  <si>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</si>
  <si>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</si>
  <si>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</si>
  <si>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</si>
  <si>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</si>
  <si>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</si>
  <si>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</si>
  <si>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</si>
  <si>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</si>
  <si>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</si>
  <si>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</si>
  <si>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</si>
  <si>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</si>
  <si>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</si>
  <si>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</si>
  <si>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</si>
  <si>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</si>
  <si>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</si>
  <si>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</si>
  <si>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</si>
  <si>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</si>
  <si>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</si>
  <si>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</si>
  <si>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</si>
  <si>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</si>
  <si>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</si>
  <si>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</si>
  <si>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</si>
  <si>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</si>
  <si>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</si>
  <si>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</si>
  <si>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</si>
  <si>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</si>
  <si>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</si>
  <si>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</si>
  <si>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</si>
  <si>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</si>
  <si>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</si>
  <si>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</si>
  <si>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</si>
  <si>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</si>
  <si>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</si>
  <si>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</si>
  <si>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</si>
  <si>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</si>
  <si>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</si>
  <si>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</si>
  <si>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</si>
  <si>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</si>
  <si>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</si>
  <si>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</si>
  <si>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</si>
  <si>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</si>
  <si>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</si>
  <si>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</si>
  <si>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</si>
  <si>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</si>
  <si>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</si>
  <si>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</si>
  <si>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</si>
  <si>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</si>
  <si>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</si>
  <si>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</si>
  <si>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</si>
  <si>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</si>
  <si>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</si>
  <si>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</si>
  <si>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</si>
  <si>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</si>
  <si>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</si>
  <si>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</si>
  <si>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</si>
  <si>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</si>
  <si>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</si>
  <si>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</si>
  <si>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</si>
  <si>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</si>
  <si>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</si>
  <si>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</si>
  <si>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</si>
  <si>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</si>
  <si>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</si>
  <si>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</si>
  <si>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</si>
  <si>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</si>
  <si>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</si>
  <si>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</si>
  <si>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</si>
  <si>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</si>
  <si>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</si>
  <si>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</si>
  <si>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</si>
  <si>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</si>
  <si>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</si>
  <si>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</si>
  <si>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</si>
  <si>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</si>
  <si>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</si>
  <si>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</si>
  <si>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</si>
  <si>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</si>
  <si>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</si>
  <si>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</si>
  <si>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</si>
  <si>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</si>
  <si>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</si>
  <si>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</si>
  <si>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</si>
  <si>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</si>
  <si>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</si>
  <si>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</si>
  <si>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</si>
  <si>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</si>
  <si>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</si>
  <si>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</si>
  <si>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</si>
  <si>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</si>
  <si>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</si>
  <si>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</si>
  <si>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</si>
  <si>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</si>
  <si>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</si>
  <si>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</si>
  <si>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</si>
  <si>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</si>
  <si>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</si>
  <si>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</si>
  <si>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</si>
  <si>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</si>
  <si>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</si>
  <si>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</si>
  <si>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</si>
  <si>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</si>
  <si>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</si>
  <si>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</si>
  <si>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</si>
  <si>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</si>
  <si>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</si>
  <si>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</si>
  <si>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</si>
  <si>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</si>
  <si>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</si>
  <si>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</si>
  <si>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</si>
  <si>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</si>
  <si>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</si>
  <si>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</si>
  <si>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</si>
  <si>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</si>
  <si>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</si>
  <si>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</si>
  <si>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</si>
  <si>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</si>
  <si>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</si>
  <si>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</si>
  <si>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</si>
  <si>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</si>
  <si>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</si>
  <si>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</si>
  <si>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</si>
  <si>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</si>
  <si>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</si>
  <si>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</si>
  <si>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</si>
  <si>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</si>
  <si>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</si>
  <si>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</si>
  <si>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</si>
  <si>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</si>
  <si>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</si>
  <si>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</si>
  <si>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</si>
  <si>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</si>
  <si>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</si>
  <si>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</si>
  <si>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</si>
  <si>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</si>
  <si>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</si>
  <si>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</si>
  <si>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</si>
  <si>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</si>
  <si>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</si>
  <si>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</si>
  <si>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</si>
  <si>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</si>
  <si>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</si>
  <si>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</si>
  <si>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</si>
  <si>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</si>
  <si>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</si>
  <si>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</si>
  <si>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</si>
  <si>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</si>
  <si>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</si>
  <si>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</si>
  <si>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</si>
  <si>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</si>
  <si>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</si>
  <si>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</si>
  <si>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</si>
  <si>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</si>
  <si>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</si>
  <si>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</si>
  <si>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</si>
  <si>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</si>
  <si>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</si>
  <si>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</si>
  <si>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</si>
  <si>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</si>
  <si>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</si>
  <si>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</si>
  <si>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</si>
  <si>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</si>
  <si>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</si>
  <si>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</si>
  <si>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</si>
  <si>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</si>
  <si>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</si>
  <si>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</si>
  <si>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</si>
  <si>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</si>
  <si>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</si>
  <si>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</si>
  <si>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</si>
  <si>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</si>
  <si>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</si>
  <si>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</si>
  <si>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</si>
  <si>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</si>
  <si>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</si>
  <si>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</si>
  <si>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</si>
  <si>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</si>
  <si>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</si>
  <si>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</si>
  <si>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</si>
  <si>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</si>
  <si>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</si>
  <si>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</si>
  <si>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</si>
  <si>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</si>
  <si>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</si>
  <si>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</si>
  <si>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</si>
  <si>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</si>
  <si>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</si>
  <si>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</si>
  <si>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</si>
  <si>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</si>
  <si>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</si>
  <si>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</si>
  <si>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</si>
  <si>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</si>
  <si>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</si>
  <si>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</si>
  <si>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</si>
  <si>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</si>
  <si>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</si>
  <si>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</si>
  <si>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</si>
  <si>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</si>
  <si>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</si>
  <si>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</si>
  <si>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</si>
  <si>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</si>
  <si>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</si>
  <si>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</si>
  <si>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</si>
  <si>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</si>
  <si>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</si>
  <si>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</si>
  <si>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</si>
  <si>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</si>
  <si>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</si>
  <si>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</si>
  <si>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</si>
  <si>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</si>
  <si>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</si>
  <si>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</si>
  <si>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</si>
  <si>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</si>
  <si>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</si>
  <si>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</si>
  <si>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</si>
  <si>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</si>
  <si>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</si>
  <si>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</si>
  <si>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</si>
  <si>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</si>
  <si>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</si>
  <si>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</si>
  <si>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</si>
  <si>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</si>
  <si>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</si>
  <si>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</si>
  <si>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</si>
  <si>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</si>
  <si>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</si>
  <si>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</si>
  <si>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</si>
  <si>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</si>
  <si>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</si>
  <si>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</si>
  <si>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</si>
  <si>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</si>
  <si>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</si>
  <si>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</si>
  <si>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</si>
  <si>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</si>
  <si>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</si>
  <si>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</si>
  <si>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</si>
  <si>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</si>
  <si>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</si>
  <si>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</si>
  <si>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</si>
  <si>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</si>
  <si>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</si>
  <si>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</si>
  <si>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</si>
  <si>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</si>
  <si>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</si>
  <si>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</si>
  <si>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</si>
  <si>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</si>
  <si>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</si>
  <si>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</si>
  <si>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</si>
  <si>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</si>
  <si>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</si>
  <si>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</si>
  <si>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</si>
  <si>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</si>
  <si>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</si>
  <si>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</si>
  <si>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</si>
  <si>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</si>
  <si>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</si>
  <si>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</si>
  <si>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</si>
  <si>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</si>
  <si>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</si>
  <si>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</si>
  <si>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</si>
  <si>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</si>
  <si>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</si>
  <si>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</si>
  <si>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</si>
  <si>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</si>
  <si>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</si>
  <si>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</si>
  <si>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</si>
  <si>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</si>
  <si>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</si>
  <si>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</si>
  <si>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</si>
  <si>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</si>
  <si>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</si>
  <si>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</si>
  <si>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</si>
  <si>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</si>
  <si>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</si>
  <si>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</si>
  <si>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</si>
  <si>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</si>
  <si>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</si>
  <si>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</si>
  <si>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</si>
  <si>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</si>
  <si>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</si>
  <si>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</si>
  <si>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</si>
  <si>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</si>
  <si>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</si>
  <si>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</si>
  <si>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</si>
  <si>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</si>
  <si>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</si>
  <si>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</si>
  <si>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</si>
  <si>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</si>
  <si>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</si>
  <si>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</si>
  <si>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</si>
  <si>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</si>
  <si>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</si>
  <si>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</si>
  <si>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</si>
  <si>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</si>
  <si>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</si>
  <si>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</si>
  <si>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</si>
  <si>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</si>
  <si>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</si>
  <si>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</si>
  <si>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</si>
  <si>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</si>
  <si>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</si>
  <si>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</si>
  <si>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</si>
  <si>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</si>
  <si>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</si>
  <si>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</si>
  <si>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</si>
  <si>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</si>
  <si>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</si>
  <si>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</si>
  <si>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</si>
  <si>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</si>
  <si>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</si>
  <si>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</si>
  <si>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</si>
  <si>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</si>
  <si>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</si>
  <si>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</si>
  <si>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</si>
  <si>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</si>
  <si>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</si>
  <si>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</si>
  <si>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</si>
  <si>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</si>
  <si>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</si>
  <si>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</si>
  <si>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</si>
  <si>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</si>
  <si>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</si>
  <si>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</si>
  <si>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</si>
  <si>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</si>
  <si>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</si>
  <si>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</si>
  <si>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</si>
  <si>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</si>
  <si>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</si>
  <si>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</si>
  <si>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</si>
  <si>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</si>
  <si>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</si>
  <si>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</si>
  <si>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</si>
  <si>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</si>
  <si>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</si>
  <si>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</si>
  <si>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</si>
  <si>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</si>
  <si>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</si>
  <si>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</si>
  <si>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</si>
  <si>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</si>
  <si>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</si>
  <si>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</si>
  <si>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</si>
  <si>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</si>
  <si>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</si>
  <si>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</si>
  <si>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</si>
  <si>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</si>
  <si>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</si>
  <si>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</si>
  <si>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</si>
  <si>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</si>
  <si>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</si>
  <si>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</si>
  <si>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</si>
  <si>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</si>
  <si>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</si>
  <si>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</si>
  <si>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</si>
  <si>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</si>
  <si>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</si>
  <si>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</si>
  <si>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</si>
  <si>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</si>
  <si>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</si>
  <si>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</si>
  <si>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</si>
  <si>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</si>
  <si>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</si>
  <si>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</si>
  <si>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</si>
  <si>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</si>
  <si>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</si>
  <si>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</si>
  <si>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</si>
  <si>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</si>
  <si>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</si>
  <si>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</si>
  <si>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</si>
  <si>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</si>
  <si>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</si>
  <si>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</si>
  <si>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</si>
  <si>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</si>
  <si>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</si>
  <si>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</si>
  <si>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</si>
  <si>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</si>
  <si>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</si>
  <si>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</si>
  <si>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</si>
  <si>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</si>
  <si>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</si>
  <si>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</si>
  <si>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</si>
  <si>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</si>
  <si>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</si>
  <si>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</si>
  <si>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</si>
  <si>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</si>
  <si>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</si>
  <si>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</si>
  <si>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</si>
  <si>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</si>
  <si>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</si>
  <si>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</si>
  <si>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</si>
  <si>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</si>
  <si>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</si>
  <si>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</si>
  <si>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</si>
  <si>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</si>
  <si>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</si>
  <si>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</si>
  <si>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</si>
  <si>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</si>
  <si>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</si>
  <si>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</si>
  <si>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</si>
  <si>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</si>
  <si>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</si>
  <si>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</si>
  <si>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</si>
  <si>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</si>
  <si>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</si>
  <si>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</si>
  <si>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</si>
  <si>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</si>
  <si>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</si>
  <si>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</si>
  <si>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</si>
  <si>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</si>
  <si>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</si>
  <si>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</si>
  <si>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</si>
  <si>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</si>
  <si>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</si>
  <si>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</si>
  <si>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</si>
  <si>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</si>
  <si>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</si>
  <si>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</si>
  <si>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</si>
  <si>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</si>
  <si>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</si>
  <si>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</si>
  <si>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</si>
  <si>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</si>
  <si>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</si>
  <si>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</si>
  <si>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</si>
  <si>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</si>
  <si>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</si>
  <si>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</si>
  <si>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</si>
  <si>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</si>
  <si>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</si>
  <si>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</si>
  <si>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</si>
  <si>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</si>
  <si>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</si>
  <si>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</si>
  <si>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</si>
  <si>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</si>
  <si>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</si>
  <si>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</si>
  <si>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</si>
  <si>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</si>
  <si>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</si>
  <si>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</si>
  <si>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</si>
  <si>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</si>
  <si>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</si>
  <si>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</si>
  <si>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</si>
  <si>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</si>
  <si>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</si>
  <si>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</si>
  <si>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</si>
  <si>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</si>
  <si>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</si>
  <si>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</si>
  <si>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</si>
  <si>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</si>
  <si>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</si>
  <si>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</si>
  <si>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</si>
  <si>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</si>
  <si>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</si>
  <si>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</si>
  <si>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</si>
  <si>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</si>
  <si>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</si>
  <si>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</si>
  <si>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</si>
  <si>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</si>
  <si>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</si>
  <si>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</si>
  <si>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</si>
  <si>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</si>
  <si>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</si>
  <si>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</si>
  <si>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</si>
  <si>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</si>
  <si>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</si>
  <si>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</si>
  <si>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</si>
  <si>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</si>
  <si>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</si>
  <si>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</si>
  <si>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</si>
  <si>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</si>
  <si>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</si>
  <si>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</si>
  <si>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</si>
  <si>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</si>
  <si>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</si>
  <si>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</si>
  <si>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</si>
  <si>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</si>
  <si>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</si>
  <si>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</si>
  <si>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</si>
  <si>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</si>
  <si>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</si>
  <si>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</si>
  <si>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</si>
  <si>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</si>
  <si>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</si>
  <si>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</si>
  <si>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</si>
  <si>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</si>
  <si>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</si>
  <si>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</si>
  <si>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</si>
  <si>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</si>
  <si>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</si>
  <si>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</si>
  <si>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</si>
  <si>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</si>
  <si>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</si>
  <si>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</si>
  <si>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</si>
  <si>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</si>
  <si>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</si>
  <si>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</si>
  <si>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</si>
  <si>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</si>
  <si>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</si>
  <si>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</si>
  <si>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</si>
  <si>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</si>
  <si>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</si>
  <si>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</si>
  <si>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</si>
  <si>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</si>
  <si>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</si>
  <si>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</si>
  <si>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</si>
  <si>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</si>
  <si>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</si>
  <si>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</si>
  <si>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</si>
  <si>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</si>
  <si>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</si>
  <si>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</si>
  <si>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</si>
  <si>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</si>
  <si>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</si>
  <si>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</si>
  <si>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</si>
  <si>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</si>
  <si>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</si>
  <si>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</si>
  <si>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</si>
  <si>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</si>
  <si>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</si>
  <si>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</si>
  <si>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</si>
  <si>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</si>
  <si>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</si>
  <si>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</si>
  <si>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</si>
  <si>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</si>
  <si>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</si>
  <si>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</si>
  <si>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</si>
  <si>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</si>
  <si>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</si>
  <si>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</si>
  <si>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</si>
  <si>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</si>
  <si>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</si>
  <si>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</si>
  <si>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</si>
  <si>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</si>
  <si>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</si>
  <si>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</si>
  <si>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</si>
  <si>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</si>
  <si>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</si>
  <si>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</si>
  <si>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</si>
  <si>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</si>
  <si>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</si>
  <si>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</si>
  <si>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</si>
  <si>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</si>
  <si>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</si>
  <si>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</si>
  <si>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</si>
  <si>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</si>
  <si>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</si>
  <si>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</si>
  <si>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</si>
  <si>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</si>
  <si>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</si>
  <si>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</si>
  <si>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</si>
  <si>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</si>
  <si>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</si>
  <si>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</si>
  <si>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</si>
  <si>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</si>
  <si>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</si>
  <si>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</si>
  <si>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</si>
  <si>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</si>
  <si>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</si>
  <si>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</si>
  <si>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</si>
  <si>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</si>
  <si>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</si>
  <si>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</si>
  <si>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</si>
  <si>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</si>
  <si>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</si>
  <si>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</si>
  <si>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</si>
  <si>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</si>
  <si>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</si>
  <si>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</si>
  <si>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</si>
  <si>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</si>
  <si>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</si>
  <si>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</si>
  <si>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</si>
  <si>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</si>
  <si>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</si>
  <si>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</si>
  <si>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</si>
  <si>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</si>
  <si>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</si>
  <si>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</si>
  <si>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</si>
  <si>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</si>
  <si>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</si>
  <si>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</si>
  <si>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</si>
  <si>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</si>
  <si>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</si>
  <si>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</si>
  <si>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</si>
  <si>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</si>
  <si>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</si>
  <si>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</si>
  <si>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</si>
  <si>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</si>
  <si>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</si>
  <si>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</si>
  <si>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</si>
  <si>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</si>
  <si>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</si>
  <si>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</si>
  <si>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</si>
  <si>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</si>
  <si>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</si>
  <si>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</si>
  <si>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</si>
  <si>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</si>
  <si>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</si>
  <si>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</si>
  <si>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</si>
  <si>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</si>
  <si>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</si>
  <si>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</si>
  <si>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</si>
  <si>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</si>
  <si>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</si>
  <si>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</si>
  <si>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</si>
  <si>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</si>
  <si>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</si>
  <si>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</si>
  <si>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</si>
  <si>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</si>
  <si>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</si>
  <si>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</si>
  <si>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</si>
  <si>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</si>
  <si>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</si>
  <si>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</si>
  <si>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</si>
  <si>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</si>
  <si>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</si>
  <si>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</si>
  <si>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</si>
  <si>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</si>
  <si>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</si>
  <si>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</si>
  <si>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</si>
  <si>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</si>
  <si>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</si>
  <si>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</si>
  <si>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</si>
  <si>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</si>
  <si>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</si>
  <si>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</si>
  <si>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</si>
  <si>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</si>
  <si>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</si>
  <si>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</si>
  <si>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</si>
  <si>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</si>
  <si>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</si>
  <si>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</si>
  <si>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</si>
  <si>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</si>
  <si>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</si>
  <si>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</si>
  <si>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</si>
  <si>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</si>
  <si>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</si>
  <si>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</si>
  <si>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</si>
  <si>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</si>
  <si>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</si>
  <si>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</si>
  <si>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</si>
  <si>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</si>
  <si>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</si>
  <si>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</si>
  <si>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</si>
  <si>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</si>
  <si>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</si>
  <si>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</si>
  <si>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</si>
  <si>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</si>
  <si>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</si>
  <si>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</si>
  <si>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</si>
  <si>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</si>
  <si>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</si>
  <si>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</si>
  <si>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</si>
  <si>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</si>
  <si>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</si>
  <si>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</si>
  <si>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</si>
  <si>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</si>
  <si>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</si>
  <si>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</si>
  <si>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</si>
  <si>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</si>
  <si>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</si>
  <si>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</si>
  <si>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</si>
  <si>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</si>
  <si>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</si>
  <si>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</si>
  <si>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</si>
  <si>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</si>
  <si>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</si>
  <si>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</si>
  <si>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</si>
  <si>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</si>
  <si>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</si>
  <si>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</si>
  <si>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</si>
  <si>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</si>
  <si>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</si>
  <si>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</si>
  <si>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</si>
  <si>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</si>
  <si>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</si>
  <si>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</si>
  <si>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</si>
  <si>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</si>
  <si>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</si>
  <si>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</si>
  <si>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</si>
  <si>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</si>
  <si>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</si>
  <si>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</si>
  <si>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</si>
  <si>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</si>
  <si>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</si>
  <si>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</si>
  <si>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</si>
  <si>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</si>
  <si>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</si>
  <si>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</si>
  <si>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</si>
  <si>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</si>
  <si>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</si>
  <si>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</si>
  <si>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</si>
  <si>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</si>
  <si>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</si>
  <si>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</si>
  <si>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</si>
  <si>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</si>
  <si>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</si>
  <si>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</si>
  <si>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</si>
  <si>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</si>
  <si>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</si>
  <si>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</si>
  <si>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</si>
  <si>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</si>
  <si>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</si>
  <si>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</si>
  <si>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</si>
  <si>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</si>
  <si>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</si>
  <si>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</si>
  <si>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</si>
  <si>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</si>
  <si>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</si>
  <si>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</si>
  <si>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</si>
  <si>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</si>
  <si>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</si>
  <si>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</si>
  <si>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</si>
  <si>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</si>
  <si>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</si>
  <si>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</si>
  <si>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</si>
  <si>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</si>
  <si>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</si>
  <si>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</si>
  <si>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</si>
  <si>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</si>
  <si>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</si>
  <si>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</si>
  <si>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</si>
  <si>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</si>
  <si>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</si>
  <si>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</si>
  <si>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</si>
  <si>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</si>
  <si>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</si>
  <si>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</si>
  <si>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</si>
  <si>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</si>
  <si>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</si>
  <si>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</si>
  <si>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</si>
  <si>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</si>
  <si>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</si>
  <si>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</si>
  <si>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</si>
  <si>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</si>
  <si>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</si>
  <si>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</si>
  <si>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</si>
  <si>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</si>
  <si>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</si>
  <si>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</si>
  <si>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</si>
  <si>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</si>
  <si>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</si>
  <si>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</si>
  <si>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</si>
  <si>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</si>
  <si>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</si>
  <si>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</si>
  <si>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</si>
  <si>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</si>
  <si>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</si>
  <si>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</si>
  <si>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</si>
  <si>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</si>
  <si>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</si>
  <si>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</si>
  <si>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</si>
  <si>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</si>
  <si>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</si>
  <si>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</si>
  <si>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</si>
  <si>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</si>
  <si>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</si>
  <si>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</si>
  <si>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</si>
  <si>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</si>
  <si>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</si>
  <si>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</si>
  <si>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</si>
  <si>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</si>
  <si>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</si>
  <si>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</si>
  <si>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</si>
  <si>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</si>
  <si>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</si>
  <si>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</si>
  <si>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</si>
  <si>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</si>
  <si>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</si>
  <si>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</si>
  <si>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</si>
  <si>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</si>
  <si>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</si>
  <si>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</si>
  <si>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</si>
  <si>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</si>
  <si>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</si>
  <si>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</si>
  <si>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</si>
  <si>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</si>
  <si>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</si>
  <si>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</si>
  <si>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</si>
  <si>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</si>
  <si>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</si>
  <si>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</si>
  <si>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</si>
  <si>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</si>
  <si>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</si>
  <si>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</si>
  <si>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</si>
  <si>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</si>
  <si>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</si>
  <si>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</si>
  <si>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</si>
  <si>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</si>
  <si>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</si>
  <si>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</si>
  <si>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</si>
  <si>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</si>
  <si>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</si>
  <si>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</si>
  <si>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</si>
  <si>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</si>
  <si>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</si>
  <si>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</si>
  <si>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</si>
  <si>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</si>
  <si>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</si>
  <si>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</si>
  <si>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</si>
  <si>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</si>
  <si>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</si>
  <si>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</si>
  <si>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</si>
  <si>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</si>
  <si>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</si>
  <si>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</si>
  <si>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</si>
  <si>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</si>
  <si>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</si>
  <si>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</si>
  <si>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</si>
  <si>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</si>
  <si>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</si>
  <si>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</si>
  <si>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</si>
  <si>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</si>
  <si>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</si>
  <si>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</si>
  <si>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</si>
  <si>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</si>
  <si>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</si>
  <si>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</si>
  <si>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</si>
  <si>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</si>
  <si>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</si>
  <si>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</si>
  <si>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</si>
  <si>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</si>
  <si>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</si>
  <si>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</si>
  <si>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</si>
  <si>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</si>
  <si>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</si>
  <si>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</si>
  <si>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</si>
  <si>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</si>
  <si>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</si>
  <si>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</si>
  <si>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</si>
  <si>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</si>
  <si>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</si>
  <si>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</si>
  <si>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</si>
  <si>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</si>
  <si>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</si>
  <si>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</si>
  <si>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</si>
  <si>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</si>
  <si>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</si>
  <si>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</si>
  <si>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</si>
  <si>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</si>
  <si>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</si>
  <si>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</si>
  <si>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</si>
  <si>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</si>
  <si>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</si>
  <si>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</si>
  <si>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</si>
  <si>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</si>
  <si>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</si>
  <si>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</si>
  <si>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</si>
  <si>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</si>
  <si>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</si>
  <si>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</si>
  <si>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</si>
  <si>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</si>
  <si>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</si>
  <si>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</si>
  <si>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</si>
  <si>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</si>
  <si>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</si>
  <si>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</si>
  <si>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</si>
  <si>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</si>
  <si>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</si>
  <si>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</si>
  <si>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</si>
  <si>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</si>
  <si>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</si>
  <si>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</si>
  <si>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</si>
  <si>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</si>
  <si>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</si>
  <si>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</si>
  <si>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</si>
  <si>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</si>
  <si>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</si>
  <si>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</si>
  <si>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</si>
  <si>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</si>
  <si>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</si>
  <si>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</si>
  <si>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</si>
  <si>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</si>
  <si>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</si>
  <si>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</si>
  <si>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</si>
  <si>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</si>
  <si>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</si>
  <si>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</si>
  <si>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</si>
  <si>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</si>
  <si>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</si>
  <si>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</si>
  <si>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</si>
  <si>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</si>
  <si>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</si>
  <si>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</si>
  <si>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</si>
  <si>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</si>
  <si>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</si>
  <si>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</si>
  <si>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</si>
  <si>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</si>
  <si>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</si>
  <si>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</si>
  <si>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</si>
  <si>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</si>
  <si>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</si>
  <si>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</si>
  <si>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</si>
  <si>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</si>
  <si>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</si>
  <si>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</si>
  <si>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</si>
  <si>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</si>
  <si>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</si>
  <si>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</si>
  <si>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</si>
  <si>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</si>
  <si>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</si>
  <si>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</si>
  <si>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</si>
  <si>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</si>
  <si>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</si>
  <si>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</si>
  <si>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</si>
  <si>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</si>
  <si>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</si>
  <si>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</si>
  <si>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</si>
  <si>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</si>
  <si>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</si>
  <si>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</si>
  <si>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</si>
  <si>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</si>
  <si>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</si>
  <si>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</si>
  <si>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</si>
  <si>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</si>
  <si>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</si>
  <si>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</si>
  <si>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</si>
  <si>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</si>
  <si>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</si>
  <si>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</si>
  <si>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</si>
  <si>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</si>
  <si>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</si>
  <si>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</si>
  <si>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</si>
  <si>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</si>
  <si>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</si>
  <si>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</si>
  <si>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</si>
  <si>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</si>
  <si>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</si>
  <si>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</si>
  <si>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</si>
  <si>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</si>
  <si>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</si>
  <si>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</si>
  <si>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</si>
  <si>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</si>
  <si>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</si>
  <si>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</si>
  <si>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</si>
  <si>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</si>
  <si>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</si>
  <si>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</si>
  <si>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</si>
  <si>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</si>
  <si>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</si>
  <si>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</si>
  <si>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</si>
  <si>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</si>
  <si>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</si>
  <si>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</si>
  <si>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</si>
  <si>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</si>
  <si>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</si>
  <si>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</si>
  <si>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</si>
  <si>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</si>
  <si>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</si>
  <si>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</si>
  <si>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</si>
  <si>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</si>
  <si>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</si>
  <si>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</si>
  <si>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</si>
  <si>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</si>
  <si>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</si>
  <si>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</si>
  <si>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</si>
  <si>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</si>
  <si>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</si>
  <si>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</si>
  <si>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</si>
  <si>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</si>
  <si>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</si>
  <si>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</si>
  <si>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</si>
  <si>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</si>
  <si>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</si>
  <si>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</si>
  <si>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</si>
  <si>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</si>
  <si>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</si>
  <si>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</si>
  <si>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</si>
  <si>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</si>
  <si>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</si>
  <si>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</si>
  <si>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</si>
  <si>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</si>
  <si>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</si>
  <si>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</si>
  <si>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</si>
  <si>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</si>
  <si>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</si>
  <si>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</si>
  <si>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</si>
  <si>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</si>
  <si>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</si>
  <si>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</si>
  <si>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</si>
  <si>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</si>
  <si>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</si>
  <si>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</si>
  <si>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</si>
  <si>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</si>
  <si>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</si>
  <si>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</si>
  <si>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</si>
  <si>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</si>
  <si>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</si>
  <si>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</si>
  <si>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</si>
  <si>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</si>
  <si>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</si>
  <si>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</si>
  <si>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</si>
  <si>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</si>
  <si>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</si>
  <si>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</si>
  <si>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</si>
  <si>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</si>
  <si>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</si>
  <si>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</si>
  <si>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</si>
  <si>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</si>
  <si>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</si>
  <si>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</si>
  <si>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</si>
  <si>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</si>
  <si>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</si>
  <si>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</si>
  <si>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</si>
  <si>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</si>
  <si>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</si>
  <si>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</si>
  <si>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</si>
  <si>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</si>
  <si>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</si>
  <si>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</si>
  <si>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</si>
  <si>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</si>
  <si>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</si>
  <si>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</si>
  <si>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</si>
  <si>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</si>
  <si>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</si>
  <si>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</si>
  <si>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</si>
  <si>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</si>
  <si>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</si>
  <si>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</si>
  <si>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</si>
  <si>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</si>
  <si>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</si>
  <si>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</si>
  <si>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</si>
  <si>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</si>
  <si>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</si>
  <si>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</si>
  <si>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</si>
  <si>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</si>
  <si>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</si>
  <si>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</si>
  <si>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</si>
  <si>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</si>
  <si>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</si>
  <si>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</si>
  <si>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</si>
  <si>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</si>
  <si>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</si>
  <si>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</si>
  <si>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</si>
  <si>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</si>
  <si>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</si>
  <si>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</si>
  <si>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</si>
  <si>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</si>
  <si>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</si>
  <si>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</si>
  <si>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</si>
  <si>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</si>
  <si>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</si>
  <si>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</si>
  <si>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</si>
  <si>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</si>
  <si>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</si>
  <si>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</si>
  <si>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</si>
  <si>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</si>
  <si>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</si>
  <si>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</si>
  <si>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</si>
  <si>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</si>
  <si>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</si>
  <si>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</si>
  <si>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</si>
  <si>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</si>
  <si>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</si>
  <si>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</si>
  <si>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</si>
  <si>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</si>
  <si>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</si>
  <si>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</si>
  <si>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</si>
  <si>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</si>
  <si>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</si>
  <si>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</si>
  <si>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</si>
  <si>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</si>
  <si>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</si>
  <si>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</si>
  <si>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</si>
  <si>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</si>
  <si>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</si>
  <si>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</si>
  <si>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</si>
  <si>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</si>
  <si>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</si>
  <si>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</si>
  <si>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</si>
  <si>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</si>
  <si>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</si>
  <si>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</si>
  <si>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</si>
  <si>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</si>
  <si>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</si>
  <si>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</si>
  <si>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</si>
  <si>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</si>
  <si>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</si>
  <si>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</si>
  <si>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</si>
  <si>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</si>
  <si>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</si>
  <si>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</si>
  <si>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</si>
  <si>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</si>
  <si>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</si>
  <si>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</si>
  <si>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</si>
  <si>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</si>
  <si>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</si>
  <si>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</si>
  <si>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</si>
  <si>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</si>
  <si>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</si>
  <si>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</si>
  <si>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</si>
  <si>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</si>
  <si>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</si>
  <si>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</si>
  <si>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</si>
  <si>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</si>
  <si>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</si>
  <si>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</si>
  <si>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</si>
  <si>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</si>
  <si>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</si>
  <si>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</si>
  <si>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</si>
  <si>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</si>
  <si>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</si>
  <si>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</si>
  <si>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</si>
  <si>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</si>
  <si>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</si>
  <si>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</si>
  <si>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</si>
  <si>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</si>
  <si>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</si>
  <si>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</si>
  <si>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</si>
  <si>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</si>
  <si>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</si>
  <si>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</si>
  <si>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</si>
  <si>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</si>
  <si>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</si>
  <si>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</si>
  <si>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</si>
  <si>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</si>
  <si>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</si>
  <si>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</si>
  <si>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</si>
  <si>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</si>
  <si>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</si>
  <si>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</si>
  <si>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</si>
  <si>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</si>
  <si>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</si>
  <si>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</si>
  <si>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</si>
  <si>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</si>
  <si>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</si>
  <si>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</si>
  <si>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</si>
  <si>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</si>
  <si>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</si>
  <si>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</si>
  <si>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</si>
  <si>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</si>
  <si>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</si>
  <si>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</si>
  <si>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</si>
  <si>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</si>
  <si>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</si>
  <si>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</si>
  <si>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</si>
  <si>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</si>
  <si>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</si>
  <si>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</si>
  <si>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</si>
  <si>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</si>
  <si>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</si>
  <si>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</si>
  <si>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</si>
  <si>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</si>
  <si>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</si>
  <si>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</si>
  <si>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</si>
  <si>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</si>
  <si>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</si>
  <si>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</si>
  <si>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</si>
  <si>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</si>
  <si>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</si>
  <si>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</si>
  <si>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</si>
  <si>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</si>
  <si>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</si>
  <si>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</si>
  <si>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</si>
  <si>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</si>
  <si>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</si>
  <si>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</si>
  <si>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</si>
  <si>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</si>
  <si>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</si>
  <si>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</si>
  <si>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</si>
  <si>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</si>
  <si>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</si>
  <si>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</si>
  <si>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</si>
  <si>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</si>
  <si>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</si>
  <si>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</si>
  <si>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</si>
  <si>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</si>
  <si>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</si>
  <si>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</si>
  <si>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</si>
  <si>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</si>
  <si>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</si>
  <si>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</si>
  <si>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</si>
  <si>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</si>
  <si>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</si>
  <si>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</si>
  <si>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</si>
  <si>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</si>
  <si>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</si>
  <si>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</si>
  <si>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</si>
  <si>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</si>
  <si>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</si>
  <si>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</si>
  <si>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</si>
  <si>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</si>
  <si>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</si>
  <si>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</si>
  <si>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</si>
  <si>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</si>
  <si>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</si>
  <si>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</si>
  <si>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</si>
  <si>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</si>
  <si>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</si>
  <si>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</si>
  <si>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</si>
  <si>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</si>
  <si>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</si>
  <si>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</si>
  <si>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</si>
  <si>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</si>
  <si>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</si>
  <si>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</si>
  <si>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</si>
  <si>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</si>
  <si>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</si>
  <si>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</si>
  <si>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</si>
  <si>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</si>
  <si>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</si>
  <si>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</si>
  <si>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</si>
  <si>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</si>
  <si>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</si>
  <si>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</si>
  <si>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</si>
  <si>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</si>
  <si>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</si>
  <si>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</si>
  <si>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</si>
  <si>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</si>
  <si>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</si>
  <si>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</si>
  <si>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</si>
  <si>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</si>
  <si>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</si>
  <si>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</si>
  <si>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</si>
  <si>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</si>
  <si>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</si>
  <si>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</si>
  <si>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</si>
  <si>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</si>
  <si>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</si>
  <si>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</si>
  <si>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</si>
  <si>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</si>
  <si>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</si>
  <si>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</si>
  <si>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</si>
  <si>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</si>
  <si>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</si>
  <si>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</si>
  <si>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</si>
  <si>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</si>
  <si>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</si>
  <si>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</si>
  <si>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</si>
  <si>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</si>
  <si>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</si>
  <si>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</si>
  <si>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</si>
  <si>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</si>
  <si>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</si>
  <si>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</si>
  <si>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</si>
  <si>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</si>
  <si>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</si>
  <si>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</si>
  <si>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</si>
  <si>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</si>
  <si>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</si>
  <si>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</si>
  <si>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</si>
  <si>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</si>
  <si>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</si>
  <si>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</si>
  <si>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</si>
  <si>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</si>
  <si>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</si>
  <si>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</si>
  <si>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</si>
  <si>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</si>
  <si>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</si>
  <si>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</si>
  <si>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</si>
  <si>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</si>
  <si>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</si>
  <si>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</si>
  <si>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</si>
  <si>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</si>
  <si>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</si>
  <si>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</si>
  <si>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</si>
  <si>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</si>
  <si>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</si>
  <si>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</si>
  <si>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</si>
  <si>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</si>
  <si>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</si>
  <si>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</si>
  <si>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</si>
  <si>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</si>
  <si>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</si>
  <si>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</si>
  <si>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</si>
  <si>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</si>
  <si>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</si>
  <si>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</si>
  <si>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</si>
  <si>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</si>
  <si>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</si>
  <si>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</si>
  <si>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</si>
  <si>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</si>
  <si>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</si>
  <si>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</si>
  <si>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</si>
  <si>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</si>
  <si>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</si>
  <si>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</si>
  <si>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</si>
  <si>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</si>
  <si>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</si>
  <si>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</si>
  <si>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</si>
  <si>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</si>
  <si>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</si>
  <si>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</si>
  <si>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</si>
  <si>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</si>
  <si>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</si>
  <si>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</si>
  <si>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</si>
  <si>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</si>
  <si>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</si>
  <si>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</si>
  <si>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</si>
  <si>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</si>
  <si>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</si>
  <si>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</si>
  <si>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</si>
  <si>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</si>
  <si>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</si>
  <si>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</si>
  <si>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</si>
  <si>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</si>
  <si>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</si>
  <si>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</si>
  <si>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</si>
  <si>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</si>
  <si>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</si>
  <si>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</si>
  <si>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</si>
  <si>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</si>
  <si>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</si>
  <si>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</si>
  <si>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</si>
  <si>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</si>
  <si>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</si>
  <si>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</si>
  <si>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</si>
  <si>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</si>
  <si>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</si>
  <si>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</si>
  <si>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</si>
  <si>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</si>
  <si>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</si>
  <si>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</si>
  <si>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</si>
  <si>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</si>
  <si>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</si>
  <si>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</si>
  <si>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</si>
  <si>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</si>
  <si>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</si>
  <si>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</si>
  <si>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</si>
  <si>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</si>
  <si>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</si>
  <si>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</si>
  <si>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</si>
  <si>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</si>
  <si>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</si>
  <si>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</si>
  <si>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</si>
  <si>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</si>
  <si>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</si>
  <si>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</si>
  <si>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</si>
  <si>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</si>
  <si>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</si>
  <si>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</si>
  <si>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</si>
  <si>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</si>
  <si>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</si>
  <si>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</si>
  <si>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</si>
  <si>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</si>
  <si>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</si>
  <si>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</si>
  <si>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</si>
  <si>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</si>
  <si>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</si>
  <si>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</si>
  <si>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</si>
  <si>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</si>
  <si>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</si>
  <si>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</si>
  <si>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</si>
  <si>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</si>
  <si>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</si>
  <si>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</si>
  <si>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</si>
  <si>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</si>
  <si>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</si>
  <si>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</si>
  <si>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</si>
  <si>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</si>
  <si>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</si>
  <si>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</si>
  <si>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</si>
  <si>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</si>
  <si>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</si>
  <si>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</si>
  <si>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</si>
  <si>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</si>
  <si>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</si>
  <si>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</si>
  <si>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</si>
  <si>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</si>
  <si>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</si>
  <si>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</si>
  <si>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</si>
  <si>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</si>
  <si>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</si>
  <si>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</si>
  <si>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</si>
  <si>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</si>
  <si>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</si>
  <si>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</si>
  <si>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</si>
  <si>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</si>
  <si>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</si>
  <si>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</si>
  <si>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</si>
  <si>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</si>
  <si>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</si>
  <si>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</si>
  <si>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</si>
  <si>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</si>
  <si>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</si>
  <si>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</si>
  <si>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</si>
  <si>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</si>
  <si>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</si>
  <si>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</si>
  <si>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</si>
  <si>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</si>
  <si>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</si>
  <si>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</si>
  <si>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</si>
  <si>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</si>
  <si>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</si>
  <si>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</si>
  <si>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</si>
  <si>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</si>
  <si>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</si>
  <si>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</si>
  <si>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</si>
  <si>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</si>
  <si>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</si>
  <si>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</si>
  <si>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</si>
  <si>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</si>
  <si>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</si>
  <si>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</si>
  <si>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</si>
  <si>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</si>
  <si>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</si>
  <si>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</si>
  <si>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</si>
  <si>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</si>
  <si>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</si>
  <si>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</si>
  <si>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</si>
  <si>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</si>
  <si>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</si>
  <si>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</si>
  <si>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</si>
  <si>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</si>
  <si>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</si>
  <si>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</si>
  <si>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</si>
  <si>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</si>
  <si>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</si>
  <si>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</si>
  <si>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</si>
  <si>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</si>
  <si>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</si>
  <si>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</si>
  <si>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</si>
  <si>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</si>
  <si>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</si>
  <si>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</si>
  <si>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</si>
  <si>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</si>
  <si>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</si>
  <si>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</si>
  <si>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</si>
  <si>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</si>
  <si>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</si>
  <si>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</si>
  <si>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</si>
  <si>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</si>
  <si>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</si>
  <si>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</si>
  <si>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</si>
  <si>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</si>
  <si>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</si>
  <si>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</si>
  <si>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</si>
  <si>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</si>
  <si>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</si>
  <si>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</si>
  <si>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</si>
  <si>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</si>
  <si>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</si>
  <si>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</si>
  <si>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</si>
  <si>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</si>
  <si>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</si>
  <si>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</si>
  <si>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</si>
  <si>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</si>
  <si>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</si>
  <si>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</si>
  <si>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</si>
  <si>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</si>
  <si>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</si>
  <si>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</si>
  <si>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</si>
  <si>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</si>
  <si>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</si>
  <si>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</si>
  <si>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</si>
  <si>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</si>
  <si>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</si>
  <si>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</si>
  <si>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</si>
  <si>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</si>
  <si>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</si>
  <si>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</si>
  <si>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</si>
  <si>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</si>
  <si>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</si>
  <si>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</si>
  <si>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</si>
  <si>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</si>
  <si>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</si>
  <si>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</si>
  <si>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</si>
  <si>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</si>
  <si>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</si>
  <si>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</si>
  <si>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</si>
  <si>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</si>
  <si>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</si>
  <si>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</si>
  <si>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</si>
  <si>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</si>
  <si>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</si>
  <si>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</si>
  <si>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</si>
  <si>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</si>
  <si>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</si>
  <si>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</si>
  <si>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</si>
  <si>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</si>
  <si>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</si>
  <si>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</si>
  <si>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</si>
  <si>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</si>
  <si>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</si>
  <si>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</si>
  <si>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</si>
  <si>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</si>
  <si>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</si>
  <si>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</si>
  <si>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</si>
  <si>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</si>
  <si>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</si>
  <si>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</si>
  <si>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</si>
  <si>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</si>
  <si>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</si>
  <si>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</si>
  <si>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</si>
  <si>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</si>
  <si>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</si>
  <si>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</si>
  <si>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</si>
  <si>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</si>
  <si>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</si>
  <si>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</si>
  <si>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</si>
  <si>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</si>
  <si>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</si>
  <si>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</si>
  <si>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</si>
  <si>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</si>
  <si>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</si>
  <si>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</si>
  <si>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</si>
  <si>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</si>
  <si>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</si>
  <si>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</si>
  <si>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</si>
  <si>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</si>
  <si>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</si>
  <si>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</si>
  <si>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</si>
  <si>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</si>
  <si>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</si>
  <si>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</si>
  <si>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</si>
  <si>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</si>
  <si>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</si>
  <si>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</si>
  <si>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</si>
  <si>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</si>
  <si>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</si>
  <si>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</si>
  <si>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</si>
  <si>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</si>
  <si>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</si>
  <si>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</si>
  <si>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</si>
  <si>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</si>
  <si>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</si>
  <si>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</si>
  <si>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</si>
  <si>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</si>
  <si>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</si>
  <si>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</si>
  <si>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</si>
  <si>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</si>
  <si>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</si>
  <si>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</si>
  <si>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</si>
  <si>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</si>
  <si>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</si>
  <si>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</si>
  <si>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</si>
  <si>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</si>
  <si>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</si>
  <si>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</si>
  <si>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</si>
  <si>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</si>
  <si>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</si>
  <si>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</si>
  <si>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</si>
  <si>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</si>
  <si>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</si>
  <si>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</si>
  <si>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</si>
  <si>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</si>
  <si>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</si>
  <si>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</si>
  <si>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</si>
  <si>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</si>
  <si>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</si>
  <si>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</si>
  <si>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</si>
  <si>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</si>
  <si>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</si>
  <si>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</si>
  <si>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</si>
  <si>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</si>
  <si>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</si>
  <si>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</si>
  <si>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</si>
  <si>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</si>
  <si>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</si>
  <si>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</si>
  <si>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</si>
  <si>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</si>
  <si>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</si>
  <si>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</si>
  <si>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</si>
  <si>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</si>
  <si>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</si>
  <si>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</si>
  <si>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</si>
  <si>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</si>
  <si>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</si>
  <si>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</si>
  <si>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</si>
  <si>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</si>
  <si>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</si>
  <si>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</si>
  <si>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</si>
  <si>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</si>
  <si>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</si>
  <si>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</si>
  <si>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</si>
  <si>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</si>
  <si>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</si>
  <si>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</si>
  <si>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</si>
  <si>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</si>
  <si>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</si>
  <si>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</si>
  <si>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</si>
  <si>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</si>
  <si>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</si>
  <si>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</si>
  <si>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</si>
  <si>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</si>
  <si>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</si>
  <si>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</si>
  <si>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</si>
  <si>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</si>
  <si>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</si>
  <si>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</si>
  <si>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</si>
  <si>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</si>
  <si>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</si>
  <si>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</si>
  <si>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</si>
  <si>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</si>
  <si>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</si>
  <si>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</si>
  <si>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</si>
  <si>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</si>
  <si>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</si>
  <si>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</si>
  <si>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</si>
  <si>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</si>
  <si>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</si>
  <si>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</si>
  <si>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</si>
  <si>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</si>
  <si>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</si>
  <si>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</si>
  <si>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</si>
  <si>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</si>
  <si>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</si>
  <si>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</si>
  <si>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</si>
  <si>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</si>
  <si>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</si>
  <si>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</si>
  <si>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</si>
  <si>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</si>
  <si>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</si>
  <si>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</si>
  <si>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</si>
  <si>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</si>
  <si>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</si>
  <si>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</si>
  <si>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</si>
  <si>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</si>
  <si>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</si>
  <si>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</si>
  <si>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</si>
  <si>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</si>
  <si>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</si>
  <si>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</si>
  <si>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</si>
  <si>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</si>
  <si>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</si>
  <si>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</si>
  <si>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</si>
  <si>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</si>
  <si>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</si>
  <si>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</si>
  <si>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</si>
  <si>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</si>
  <si>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</si>
  <si>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</si>
  <si>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</si>
  <si>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</si>
  <si>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</si>
  <si>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</si>
  <si>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</si>
  <si>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</si>
  <si>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</si>
  <si>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</si>
  <si>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</si>
  <si>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</si>
  <si>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</si>
  <si>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</si>
  <si>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</si>
  <si>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</si>
  <si>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</si>
  <si>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</si>
  <si>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</si>
  <si>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</si>
  <si>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</si>
  <si>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</si>
  <si>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</si>
  <si>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</si>
  <si>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</si>
  <si>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</si>
  <si>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</si>
  <si>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</si>
  <si>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</si>
  <si>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</si>
  <si>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</si>
  <si>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</si>
  <si>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</si>
  <si>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</si>
  <si>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</si>
  <si>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</si>
  <si>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</si>
  <si>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</si>
  <si>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</si>
  <si>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</si>
  <si>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</si>
  <si>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</si>
  <si>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</si>
  <si>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</si>
  <si>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</si>
  <si>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</si>
  <si>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</si>
  <si>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</si>
  <si>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</si>
  <si>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</si>
  <si>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</si>
  <si>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</si>
  <si>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</si>
  <si>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</si>
  <si>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</si>
  <si>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</si>
  <si>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</si>
  <si>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</si>
  <si>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</si>
  <si>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</si>
  <si>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</si>
  <si>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</si>
  <si>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</si>
  <si>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</si>
  <si>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</si>
  <si>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</si>
  <si>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</si>
  <si>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</si>
  <si>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</si>
  <si>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</si>
  <si>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</si>
  <si>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</si>
  <si>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</si>
  <si>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</si>
  <si>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</si>
  <si>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</si>
  <si>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</si>
  <si>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</si>
  <si>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</si>
  <si>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</si>
  <si>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</si>
  <si>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</si>
  <si>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</si>
  <si>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</si>
  <si>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</si>
  <si>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</si>
  <si>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</si>
  <si>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</si>
  <si>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</si>
  <si>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</si>
  <si>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</si>
  <si>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</si>
  <si>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</si>
  <si>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</si>
  <si>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</si>
  <si>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</si>
  <si>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</si>
  <si>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</si>
  <si>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</si>
  <si>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</si>
  <si>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</si>
  <si>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</si>
  <si>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</si>
  <si>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</si>
  <si>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</si>
  <si>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</si>
  <si>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</si>
  <si>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</si>
  <si>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</si>
  <si>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</si>
  <si>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</si>
  <si>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</si>
  <si>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</si>
  <si>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</si>
  <si>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</si>
  <si>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</si>
  <si>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</si>
  <si>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</si>
  <si>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</si>
  <si>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</si>
  <si>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</si>
  <si>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</si>
  <si>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</si>
  <si>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</si>
  <si>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</si>
  <si>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</si>
  <si>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</si>
  <si>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</si>
  <si>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</si>
  <si>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</si>
  <si>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</si>
  <si>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</si>
  <si>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</si>
  <si>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</si>
  <si>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</si>
  <si>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</si>
  <si>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</si>
  <si>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</si>
  <si>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</si>
  <si>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</si>
  <si>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</si>
  <si>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</si>
  <si>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</si>
  <si>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</si>
  <si>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</si>
  <si>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</si>
  <si>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</si>
  <si>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</si>
  <si>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</si>
  <si>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</si>
  <si>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</si>
  <si>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</si>
  <si>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</si>
  <si>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</si>
  <si>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</si>
  <si>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</si>
  <si>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</si>
  <si>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</si>
  <si>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</si>
  <si>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</si>
  <si>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</si>
  <si>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</si>
  <si>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</si>
  <si>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</si>
  <si>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</si>
  <si>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</si>
  <si>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</si>
  <si>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</si>
  <si>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</si>
  <si>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</si>
  <si>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</si>
  <si>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</si>
  <si>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</si>
  <si>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</si>
  <si>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</si>
  <si>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</si>
  <si>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</si>
  <si>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</si>
  <si>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</si>
  <si>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</si>
  <si>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</si>
  <si>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</si>
  <si>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</si>
  <si>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</si>
  <si>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</si>
  <si>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</si>
  <si>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</si>
  <si>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</si>
  <si>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</si>
  <si>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</si>
  <si>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</si>
  <si>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</si>
  <si>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</si>
  <si>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</si>
  <si>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</si>
  <si>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</si>
  <si>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</si>
  <si>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</si>
  <si>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</si>
  <si>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</si>
  <si>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</si>
  <si>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</si>
  <si>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</si>
  <si>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</si>
  <si>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</si>
  <si>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</si>
  <si>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</si>
  <si>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</si>
  <si>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</si>
  <si>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</si>
  <si>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</si>
  <si>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</si>
  <si>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</si>
  <si>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</si>
  <si>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</si>
  <si>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</si>
  <si>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</si>
  <si>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</si>
  <si>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</si>
  <si>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</si>
  <si>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</si>
  <si>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</si>
  <si>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</si>
  <si>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</si>
  <si>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</si>
  <si>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</si>
  <si>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</si>
  <si>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</si>
  <si>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</si>
  <si>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</si>
  <si>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</si>
  <si>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</si>
  <si>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</si>
  <si>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</si>
  <si>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</si>
  <si>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</si>
  <si>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</si>
  <si>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</si>
  <si>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</si>
  <si>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</si>
  <si>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</si>
  <si>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</si>
  <si>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</si>
  <si>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</si>
  <si>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</si>
  <si>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</si>
  <si>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</si>
  <si>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</si>
  <si>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</si>
  <si>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</si>
  <si>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</si>
  <si>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</si>
  <si>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</si>
  <si>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</si>
  <si>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</si>
  <si>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</si>
  <si>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</si>
  <si>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</si>
  <si>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</si>
  <si>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</si>
  <si>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</si>
  <si>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</si>
  <si>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</si>
  <si>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</si>
  <si>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</si>
  <si>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</si>
  <si>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</si>
  <si>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</si>
  <si>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</si>
  <si>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</si>
  <si>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</si>
  <si>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</si>
  <si>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</si>
  <si>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</si>
  <si>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</si>
  <si>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</si>
  <si>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</si>
  <si>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</si>
  <si>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</si>
  <si>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</si>
  <si>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</si>
  <si>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</si>
  <si>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</si>
  <si>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</si>
  <si>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</si>
  <si>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</si>
  <si>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</si>
  <si>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</si>
  <si>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</si>
  <si>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</si>
  <si>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</si>
  <si>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</si>
  <si>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</si>
  <si>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</si>
  <si>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</si>
  <si>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</si>
  <si>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</si>
  <si>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</si>
  <si>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</si>
  <si>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</si>
  <si>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</si>
  <si>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</si>
  <si>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</si>
  <si>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</si>
  <si>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</si>
  <si>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</si>
  <si>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</si>
  <si>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</si>
  <si>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</si>
  <si>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</si>
  <si>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</si>
  <si>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</si>
  <si>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</si>
  <si>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</si>
  <si>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</si>
  <si>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</si>
  <si>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</si>
  <si>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</si>
  <si>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</si>
  <si>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</si>
  <si>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</si>
  <si>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</si>
  <si>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</si>
  <si>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</si>
  <si>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</si>
  <si>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</si>
  <si>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</si>
  <si>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</si>
  <si>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</si>
  <si>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</si>
  <si>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</si>
  <si>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</si>
  <si>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</si>
  <si>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</si>
  <si>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</si>
  <si>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</si>
  <si>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</si>
  <si>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</si>
  <si>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</si>
  <si>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</si>
  <si>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</si>
  <si>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</si>
  <si>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</si>
  <si>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</si>
  <si>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</si>
  <si>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</si>
  <si>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</si>
  <si>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</si>
  <si>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</si>
  <si>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</si>
  <si>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</si>
  <si>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</si>
  <si>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</si>
  <si>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</si>
  <si>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</si>
  <si>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</si>
  <si>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</si>
  <si>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</si>
  <si>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</si>
  <si>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</si>
  <si>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</si>
  <si>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</si>
  <si>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</si>
  <si>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</si>
  <si>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</si>
  <si>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</si>
  <si>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</si>
  <si>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</si>
  <si>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</si>
  <si>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</si>
  <si>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</si>
  <si>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</si>
  <si>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</si>
  <si>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</si>
  <si>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</si>
  <si>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</si>
  <si>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</si>
  <si>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</si>
  <si>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</si>
  <si>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</si>
  <si>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</si>
  <si>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</si>
  <si>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</si>
  <si>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</si>
  <si>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</si>
  <si>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</si>
  <si>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</si>
  <si>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</si>
  <si>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</si>
  <si>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</si>
  <si>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</si>
  <si>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</si>
  <si>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</si>
  <si>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</si>
  <si>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</si>
  <si>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</si>
  <si>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</si>
  <si>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</si>
  <si>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</si>
  <si>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</si>
  <si>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</si>
  <si>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</si>
  <si>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</si>
  <si>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</si>
  <si>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</si>
  <si>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</si>
  <si>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</si>
  <si>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</si>
  <si>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</si>
  <si>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</si>
  <si>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</si>
  <si>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</si>
  <si>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</si>
  <si>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</si>
  <si>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</si>
  <si>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</si>
  <si>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</si>
  <si>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</si>
  <si>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</si>
  <si>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</si>
  <si>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</si>
  <si>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</si>
  <si>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</si>
  <si>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</si>
  <si>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</si>
  <si>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</si>
  <si>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</si>
  <si>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</si>
  <si>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</si>
  <si>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</si>
  <si>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</si>
  <si>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</si>
  <si>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</si>
  <si>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</si>
  <si>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</si>
  <si>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</si>
  <si>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</si>
  <si>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</si>
  <si>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</si>
  <si>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</si>
  <si>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</si>
  <si>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</si>
  <si>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</si>
  <si>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</si>
  <si>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</si>
  <si>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</si>
  <si>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</si>
  <si>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</si>
  <si>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</si>
  <si>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</si>
  <si>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</si>
  <si>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</si>
  <si>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</si>
  <si>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</si>
  <si>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</si>
  <si>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</si>
  <si>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</si>
  <si>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</si>
  <si>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</si>
  <si>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</si>
  <si>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</si>
  <si>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</si>
  <si>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</si>
  <si>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</si>
  <si>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</si>
  <si>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</si>
  <si>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</si>
  <si>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</si>
  <si>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</si>
  <si>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</si>
  <si>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</si>
  <si>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</si>
  <si>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</si>
  <si>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</si>
  <si>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</si>
  <si>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</si>
  <si>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</si>
  <si>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</si>
  <si>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</si>
  <si>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</si>
  <si>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</si>
  <si>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</si>
  <si>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</si>
  <si>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</si>
  <si>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</si>
  <si>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</si>
  <si>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</si>
  <si>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</si>
  <si>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</si>
  <si>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</si>
  <si>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</si>
  <si>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</si>
  <si>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</si>
  <si>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</si>
  <si>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</si>
  <si>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</si>
  <si>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</si>
  <si>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</si>
  <si>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</si>
  <si>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</si>
  <si>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</si>
  <si>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</si>
  <si>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</si>
  <si>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</si>
  <si>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</si>
  <si>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</si>
  <si>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</si>
  <si>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</si>
  <si>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</si>
  <si>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</si>
  <si>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</si>
  <si>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</si>
  <si>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</si>
  <si>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</si>
  <si>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</si>
  <si>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</si>
  <si>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</si>
  <si>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</si>
  <si>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</si>
  <si>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</si>
  <si>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</si>
  <si>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</si>
  <si>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</si>
  <si>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</si>
  <si>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</si>
  <si>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</si>
  <si>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</si>
  <si>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</si>
  <si>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</si>
  <si>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</si>
  <si>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</si>
  <si>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</si>
  <si>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</si>
  <si>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</si>
  <si>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</si>
  <si>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</si>
  <si>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</si>
  <si>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</si>
  <si>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</si>
  <si>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</si>
  <si>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</si>
  <si>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</si>
  <si>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</si>
  <si>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</si>
  <si>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</si>
  <si>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</si>
  <si>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</si>
  <si>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</si>
  <si>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</si>
  <si>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</si>
  <si>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</si>
  <si>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</si>
  <si>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</si>
  <si>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</si>
  <si>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</si>
  <si>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</si>
  <si>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</si>
  <si>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</si>
  <si>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</si>
  <si>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</si>
  <si>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</si>
  <si>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</si>
  <si>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</si>
  <si>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</si>
  <si>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</si>
  <si>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</si>
  <si>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</si>
  <si>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</si>
  <si>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</si>
  <si>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</si>
  <si>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</si>
  <si>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</si>
  <si>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</si>
  <si>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</si>
  <si>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</si>
  <si>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</si>
  <si>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</si>
  <si>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</si>
  <si>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</si>
  <si>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</si>
  <si>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</si>
  <si>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</si>
  <si>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</si>
  <si>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</si>
  <si>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</si>
  <si>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</si>
  <si>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</si>
  <si>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</si>
  <si>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</si>
  <si>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</si>
  <si>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</si>
  <si>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</si>
  <si>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</si>
  <si>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</si>
  <si>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</si>
  <si>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</si>
  <si>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</si>
  <si>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</si>
  <si>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</si>
  <si>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</si>
  <si>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</si>
  <si>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</si>
  <si>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</si>
  <si>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</si>
  <si>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</si>
  <si>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</si>
  <si>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</si>
  <si>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</si>
  <si>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</si>
  <si>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</si>
  <si>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</si>
  <si>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</si>
  <si>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</si>
  <si>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</si>
  <si>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</si>
  <si>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</si>
  <si>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</si>
  <si>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</si>
  <si>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</si>
  <si>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</si>
  <si>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</si>
  <si>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</si>
  <si>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</si>
  <si>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</si>
  <si>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</si>
  <si>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</si>
  <si>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</si>
  <si>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</si>
  <si>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</si>
  <si>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</si>
  <si>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</si>
  <si>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</si>
  <si>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</si>
  <si>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</si>
  <si>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</si>
  <si>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</si>
  <si>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</si>
  <si>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</si>
  <si>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</si>
  <si>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</si>
  <si>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</si>
  <si>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</si>
  <si>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</si>
  <si>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</si>
  <si>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</si>
  <si>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</si>
  <si>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</si>
  <si>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</si>
  <si>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</si>
  <si>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</si>
  <si>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</si>
  <si>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</si>
  <si>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</si>
  <si>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</si>
  <si>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</si>
  <si>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</si>
  <si>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</si>
  <si>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</si>
  <si>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</si>
  <si>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</si>
  <si>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</si>
  <si>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</si>
  <si>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</si>
  <si>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</si>
  <si>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</si>
  <si>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</si>
  <si>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</si>
  <si>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</si>
  <si>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</si>
  <si>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</si>
  <si>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</si>
  <si>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</si>
  <si>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</si>
  <si>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</si>
  <si>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</si>
  <si>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</si>
  <si>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</si>
  <si>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</si>
  <si>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</si>
  <si>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</si>
  <si>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</si>
  <si>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</si>
  <si>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</si>
  <si>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</si>
  <si>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</si>
  <si>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</si>
  <si>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</si>
  <si>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</si>
  <si>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</si>
  <si>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</si>
  <si>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</si>
  <si>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</si>
  <si>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</si>
  <si>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</si>
  <si>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</si>
  <si>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</si>
  <si>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</si>
  <si>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</si>
  <si>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</si>
  <si>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</si>
  <si>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</si>
  <si>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</si>
  <si>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</si>
  <si>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</si>
  <si>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</si>
  <si>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</si>
  <si>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CN09C62703</t>
  </si>
  <si>
    <t>TW10C06307</t>
  </si>
  <si>
    <t>TW91C06024</t>
  </si>
  <si>
    <t>DE04R0IC01</t>
  </si>
  <si>
    <t>US10R0IC01</t>
  </si>
  <si>
    <t>TW91R04006</t>
  </si>
  <si>
    <t>US10R04000</t>
  </si>
  <si>
    <t>US01R00505</t>
  </si>
  <si>
    <t>KR02R00103</t>
  </si>
  <si>
    <t>DE04R00401</t>
  </si>
  <si>
    <t>Standard</t>
  </si>
  <si>
    <t>X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</si>
  <si>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</si>
  <si>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</si>
  <si>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</si>
  <si>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</si>
  <si>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</si>
  <si>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</si>
  <si>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</si>
  <si>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</si>
  <si>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</si>
  <si>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</si>
  <si>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</si>
  <si>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</si>
  <si>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</si>
  <si>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</si>
  <si>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</si>
  <si>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</si>
  <si>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</si>
  <si>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</si>
  <si>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</si>
  <si>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</si>
  <si>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</si>
  <si>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</si>
  <si>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</si>
  <si>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</si>
  <si>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</si>
  <si>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</si>
  <si>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</si>
  <si>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</si>
  <si>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</si>
  <si>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</si>
  <si>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</si>
  <si>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</si>
  <si>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</si>
  <si>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</si>
  <si>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</si>
  <si>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</si>
  <si>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Assign</t>
  </si>
  <si>
    <t>L000011157</t>
  </si>
  <si>
    <t>L000011242</t>
  </si>
  <si>
    <t>L000010322</t>
  </si>
  <si>
    <t>L000012191</t>
  </si>
  <si>
    <t>L000011373</t>
  </si>
  <si>
    <t>2118TPCZ90</t>
  </si>
  <si>
    <t>2131TPKZ93</t>
  </si>
  <si>
    <t>1756C5T219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</si>
  <si>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</si>
  <si>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</si>
  <si>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</si>
  <si>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</si>
  <si>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</si>
  <si>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</si>
  <si>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</si>
  <si>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</si>
  <si>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2148GFO285</t>
  </si>
  <si>
    <t>DE10A18102</t>
  </si>
  <si>
    <t>DE10B02800</t>
  </si>
  <si>
    <t>1937TACL01</t>
  </si>
  <si>
    <t>1937TACN01</t>
  </si>
  <si>
    <t>2025C03568</t>
  </si>
  <si>
    <t>2025C03501</t>
  </si>
  <si>
    <t>2025C03564</t>
  </si>
  <si>
    <t>2131C00003</t>
  </si>
  <si>
    <t>2034C00029</t>
  </si>
  <si>
    <t>2012C00931</t>
  </si>
  <si>
    <t>2011C03020</t>
  </si>
  <si>
    <t>2011C03030</t>
  </si>
  <si>
    <t>2018C03020</t>
  </si>
  <si>
    <t>2031C01001</t>
  </si>
  <si>
    <t>2031C03020</t>
  </si>
  <si>
    <t>1756C07140</t>
  </si>
  <si>
    <t>1756C07141</t>
  </si>
  <si>
    <t>2031C02040</t>
  </si>
  <si>
    <t>2128C00027</t>
  </si>
  <si>
    <t>2123TMITOT</t>
  </si>
  <si>
    <t>2029C00004</t>
  </si>
  <si>
    <t>2034C00012</t>
  </si>
  <si>
    <t>2068Z01000</t>
  </si>
  <si>
    <t>2068TQUZ91</t>
  </si>
  <si>
    <t>DE10L85973</t>
  </si>
  <si>
    <t>1937TNCZ90</t>
  </si>
  <si>
    <t>waiting</t>
  </si>
  <si>
    <t xml:space="preserve">H000000827 </t>
  </si>
  <si>
    <t xml:space="preserve">H000000955 </t>
  </si>
  <si>
    <t xml:space="preserve">H000005015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</si>
  <si>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</si>
  <si>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</si>
  <si>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</si>
  <si>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</si>
  <si>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</si>
  <si>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</si>
  <si>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</si>
  <si>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</si>
  <si>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</si>
  <si>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</si>
  <si>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</si>
  <si>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</si>
  <si>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</si>
  <si>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</si>
  <si>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</si>
  <si>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</si>
  <si>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</si>
  <si>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</si>
  <si>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</si>
  <si>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</si>
  <si>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</si>
  <si>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</si>
  <si>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</si>
  <si>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</si>
  <si>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</si>
  <si>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</si>
  <si>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</si>
  <si>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</si>
  <si>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</si>
  <si>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</si>
  <si>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</si>
  <si>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</si>
  <si>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</si>
  <si>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</si>
  <si>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</si>
  <si>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</si>
  <si>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</si>
  <si>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</si>
  <si>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</si>
  <si>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</si>
  <si>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</si>
  <si>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</si>
  <si>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</si>
  <si>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</si>
  <si>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</si>
  <si>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</si>
  <si>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</si>
  <si>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</si>
  <si>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</si>
  <si>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</si>
  <si>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</si>
  <si>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</si>
  <si>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</si>
  <si>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</si>
  <si>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</si>
  <si>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</si>
  <si>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</si>
  <si>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</si>
  <si>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</si>
  <si>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</si>
  <si>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</si>
  <si>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</si>
  <si>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</si>
  <si>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</si>
  <si>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</si>
  <si>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</si>
  <si>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</si>
  <si>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</si>
  <si>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</si>
  <si>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</si>
  <si>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</si>
  <si>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</si>
  <si>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</si>
  <si>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</si>
  <si>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</si>
  <si>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</si>
  <si>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</si>
  <si>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</si>
  <si>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</si>
  <si>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</si>
  <si>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</si>
  <si>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</si>
  <si>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</si>
  <si>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</si>
  <si>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</si>
  <si>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</si>
  <si>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</si>
  <si>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</si>
  <si>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</si>
  <si>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</si>
  <si>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</si>
  <si>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</si>
  <si>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</si>
  <si>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</si>
  <si>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</si>
  <si>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</si>
  <si>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</si>
  <si>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</si>
  <si>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</si>
  <si>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</si>
  <si>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</si>
  <si>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</si>
  <si>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</si>
  <si>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</si>
  <si>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</si>
  <si>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</si>
  <si>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</si>
  <si>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</si>
  <si>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</si>
  <si>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</si>
  <si>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</si>
  <si>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</si>
  <si>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</si>
  <si>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</si>
  <si>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</si>
  <si>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</si>
  <si>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</si>
  <si>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</si>
  <si>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</si>
  <si>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</si>
  <si>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</si>
  <si>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</si>
  <si>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</si>
  <si>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</si>
  <si>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</si>
  <si>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</si>
  <si>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</si>
  <si>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</si>
  <si>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</si>
  <si>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</si>
  <si>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</si>
  <si>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</si>
  <si>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</si>
  <si>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</si>
  <si>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</si>
  <si>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</si>
  <si>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</si>
  <si>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</si>
  <si>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</si>
  <si>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</si>
  <si>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</si>
  <si>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</si>
  <si>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</si>
  <si>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</si>
  <si>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</si>
  <si>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</si>
  <si>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</si>
  <si>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</si>
  <si>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</si>
  <si>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</si>
  <si>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</si>
  <si>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</si>
  <si>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</si>
  <si>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</si>
  <si>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</si>
  <si>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</si>
  <si>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</si>
  <si>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</si>
  <si>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</si>
  <si>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</si>
  <si>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</si>
  <si>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</si>
  <si>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</si>
  <si>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</si>
  <si>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</si>
  <si>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</si>
  <si>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</si>
  <si>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</si>
  <si>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</si>
  <si>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</si>
  <si>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</si>
  <si>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</si>
  <si>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</si>
  <si>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</si>
  <si>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</si>
  <si>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</si>
  <si>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</si>
  <si>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</si>
  <si>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</si>
  <si>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</si>
  <si>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</si>
  <si>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</si>
  <si>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</si>
  <si>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</si>
  <si>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</si>
  <si>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</si>
  <si>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</si>
  <si>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</si>
  <si>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</si>
  <si>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</si>
  <si>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</si>
  <si>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</si>
  <si>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</si>
  <si>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</si>
  <si>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</si>
  <si>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</si>
  <si>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</si>
  <si>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</si>
  <si>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</si>
  <si>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</si>
  <si>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</si>
  <si>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</si>
  <si>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</si>
  <si>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</si>
  <si>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</si>
  <si>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</si>
  <si>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</si>
  <si>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</si>
  <si>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</si>
  <si>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</si>
  <si>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</si>
  <si>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</si>
  <si>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</si>
  <si>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</si>
  <si>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</si>
  <si>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</si>
  <si>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</si>
  <si>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</si>
  <si>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</si>
  <si>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KR00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</si>
  <si>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</si>
  <si>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</si>
  <si>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</si>
  <si>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</si>
  <si>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</si>
  <si>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</si>
  <si>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</si>
  <si>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</si>
  <si>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</si>
  <si>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</si>
  <si>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</si>
  <si>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</si>
  <si>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</si>
  <si>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</si>
  <si>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</si>
  <si>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</si>
  <si>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</si>
  <si>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</si>
  <si>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</si>
  <si>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</si>
  <si>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</si>
  <si>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</si>
  <si>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</si>
  <si>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</si>
  <si>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</si>
  <si>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</si>
  <si>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</si>
  <si>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</si>
  <si>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</si>
  <si>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</si>
  <si>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</si>
  <si>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</si>
  <si>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</si>
  <si>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</si>
  <si>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</si>
  <si>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</si>
  <si>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</si>
  <si>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</si>
  <si>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</si>
  <si>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</si>
  <si>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</si>
  <si>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</si>
  <si>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</si>
  <si>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</si>
  <si>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</si>
  <si>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</si>
  <si>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</si>
  <si>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</si>
  <si>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</si>
  <si>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</si>
  <si>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</si>
  <si>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</si>
  <si>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</si>
  <si>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</si>
  <si>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</si>
  <si>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</si>
  <si>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</si>
  <si>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</si>
  <si>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</si>
  <si>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</si>
  <si>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</si>
  <si>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</si>
  <si>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</si>
  <si>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</si>
  <si>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</si>
  <si>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</si>
  <si>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</si>
  <si>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</si>
  <si>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</si>
  <si>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</si>
  <si>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</si>
  <si>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</si>
  <si>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</si>
  <si>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</si>
  <si>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</si>
  <si>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</si>
  <si>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</si>
  <si>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</si>
  <si>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</si>
  <si>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</si>
  <si>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</si>
  <si>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</si>
  <si>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</si>
  <si>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</si>
  <si>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</si>
  <si>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</si>
  <si>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</si>
  <si>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</si>
  <si>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</si>
  <si>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</si>
  <si>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</si>
  <si>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</si>
  <si>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</si>
  <si>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</si>
  <si>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</si>
  <si>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</si>
  <si>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</si>
  <si>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</si>
  <si>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</si>
  <si>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</si>
  <si>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</si>
  <si>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</si>
  <si>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</si>
  <si>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</si>
  <si>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</si>
  <si>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</si>
  <si>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</si>
  <si>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</si>
  <si>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</si>
  <si>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</si>
  <si>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</si>
  <si>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</si>
  <si>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</si>
  <si>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</si>
  <si>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</si>
  <si>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</si>
  <si>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</si>
  <si>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</si>
  <si>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</si>
  <si>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</si>
  <si>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</si>
  <si>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</si>
  <si>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</si>
  <si>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</si>
  <si>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</si>
  <si>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</si>
  <si>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</si>
  <si>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</si>
  <si>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</si>
  <si>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</si>
  <si>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</si>
  <si>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</si>
  <si>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</si>
  <si>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</si>
  <si>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</si>
  <si>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</si>
  <si>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</si>
  <si>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</si>
  <si>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</si>
  <si>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</si>
  <si>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</si>
  <si>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</si>
  <si>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</si>
  <si>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</si>
  <si>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</si>
  <si>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</si>
  <si>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</si>
  <si>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</si>
  <si>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</si>
  <si>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</si>
  <si>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</si>
  <si>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</si>
  <si>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</si>
  <si>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</si>
  <si>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</si>
  <si>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</si>
  <si>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</si>
  <si>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</si>
  <si>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</si>
  <si>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</si>
  <si>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</si>
  <si>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</si>
  <si>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</si>
  <si>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</si>
  <si>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</si>
  <si>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</si>
  <si>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</si>
  <si>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</si>
  <si>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</si>
  <si>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</si>
  <si>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</si>
  <si>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</si>
  <si>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</si>
  <si>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</si>
  <si>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</si>
  <si>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</si>
  <si>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</si>
  <si>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</si>
  <si>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</si>
  <si>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</si>
  <si>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</si>
  <si>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</si>
  <si>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</si>
  <si>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</si>
  <si>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</si>
  <si>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</si>
  <si>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</si>
  <si>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</si>
  <si>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</si>
  <si>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</si>
  <si>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</si>
  <si>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</si>
  <si>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</si>
  <si>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</si>
  <si>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</si>
  <si>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</si>
  <si>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</si>
  <si>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</si>
  <si>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</si>
  <si>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</si>
  <si>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</si>
  <si>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</si>
  <si>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</si>
  <si>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</si>
  <si>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</si>
  <si>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</si>
  <si>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</si>
  <si>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</si>
  <si>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</si>
  <si>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</si>
  <si>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</si>
  <si>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</si>
  <si>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</si>
  <si>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</si>
  <si>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</si>
  <si>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</si>
  <si>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</si>
  <si>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</si>
  <si>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</si>
  <si>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</si>
  <si>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</si>
  <si>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</si>
  <si>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</si>
  <si>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</si>
  <si>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</si>
  <si>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</si>
  <si>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</si>
  <si>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</si>
  <si>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</si>
  <si>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</si>
  <si>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</si>
  <si>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</si>
  <si>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</si>
  <si>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</si>
  <si>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</si>
  <si>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</si>
  <si>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</si>
  <si>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</si>
  <si>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</si>
  <si>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</si>
  <si>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</si>
  <si>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</si>
  <si>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</si>
  <si>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</si>
  <si>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</si>
  <si>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</si>
  <si>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</si>
  <si>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</si>
  <si>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</si>
  <si>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</si>
  <si>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</si>
  <si>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</si>
  <si>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</si>
  <si>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</si>
  <si>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</si>
  <si>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</si>
  <si>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</si>
  <si>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</si>
  <si>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</si>
  <si>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</si>
  <si>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</si>
  <si>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</si>
  <si>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</si>
  <si>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</si>
  <si>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</si>
  <si>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</si>
  <si>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</si>
  <si>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</si>
  <si>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</si>
  <si>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</si>
  <si>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</si>
  <si>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</si>
  <si>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</si>
  <si>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</si>
  <si>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</si>
  <si>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</si>
  <si>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</si>
  <si>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</si>
  <si>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</si>
  <si>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</si>
  <si>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</si>
  <si>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</si>
  <si>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</si>
  <si>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</si>
  <si>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</si>
  <si>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</si>
  <si>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</si>
  <si>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</si>
  <si>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</si>
  <si>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</si>
  <si>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</si>
  <si>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</si>
  <si>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</si>
  <si>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</si>
  <si>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</si>
  <si>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</si>
  <si>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</si>
  <si>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</si>
  <si>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</si>
  <si>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</si>
  <si>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</si>
  <si>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</si>
  <si>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</si>
  <si>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</si>
  <si>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</si>
  <si>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</si>
  <si>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</si>
  <si>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</si>
  <si>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</si>
  <si>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</si>
  <si>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</si>
  <si>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</si>
  <si>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</si>
  <si>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</si>
  <si>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</si>
  <si>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</si>
  <si>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</si>
  <si>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</si>
  <si>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</si>
  <si>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</si>
  <si>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</si>
  <si>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</si>
  <si>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</si>
  <si>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</si>
  <si>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</si>
  <si>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</si>
  <si>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</si>
  <si>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</si>
  <si>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</si>
  <si>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</si>
  <si>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</si>
  <si>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</si>
  <si>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</si>
  <si>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</si>
  <si>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</si>
  <si>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</si>
  <si>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</si>
  <si>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</si>
  <si>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</si>
  <si>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</si>
  <si>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</si>
  <si>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</si>
  <si>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</si>
  <si>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</si>
  <si>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</si>
  <si>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</si>
  <si>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</si>
  <si>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</si>
  <si>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</si>
  <si>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</si>
  <si>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</si>
  <si>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</si>
  <si>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</si>
  <si>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</si>
  <si>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</si>
  <si>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</si>
  <si>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</si>
  <si>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</si>
  <si>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</si>
  <si>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</si>
  <si>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</si>
  <si>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</si>
  <si>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</si>
  <si>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</si>
  <si>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</si>
  <si>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</si>
  <si>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</si>
  <si>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</si>
  <si>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</si>
  <si>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</si>
  <si>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</si>
  <si>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</si>
  <si>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</si>
  <si>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</si>
  <si>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</si>
  <si>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</si>
  <si>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</si>
  <si>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</si>
  <si>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</si>
  <si>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</si>
  <si>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</si>
  <si>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</si>
  <si>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</si>
  <si>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</si>
  <si>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</si>
  <si>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</si>
  <si>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</si>
  <si>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</si>
  <si>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</si>
  <si>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</si>
  <si>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</si>
  <si>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</si>
  <si>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</si>
  <si>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</si>
  <si>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</si>
  <si>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</si>
  <si>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</si>
  <si>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</si>
  <si>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</si>
  <si>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</si>
  <si>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</si>
  <si>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</si>
  <si>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</si>
  <si>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</si>
  <si>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</si>
  <si>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</si>
  <si>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</si>
  <si>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</si>
  <si>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</si>
  <si>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</si>
  <si>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</si>
  <si>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</si>
  <si>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</si>
  <si>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</si>
  <si>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</si>
  <si>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</si>
  <si>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</si>
  <si>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</si>
  <si>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</si>
  <si>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</si>
  <si>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</si>
  <si>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</si>
  <si>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</si>
  <si>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</si>
  <si>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</si>
  <si>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</si>
  <si>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</si>
  <si>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</si>
  <si>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</si>
  <si>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G000001642 GGT Customer Enablement</t>
  </si>
  <si>
    <t>G000001643 GGU Customer Service</t>
  </si>
  <si>
    <t>P000000494 EL-CT-P Process Development</t>
  </si>
  <si>
    <t>P000000495 EL-CT-P Process Development_General</t>
  </si>
  <si>
    <t>P000001073 EL-CT-P Projects</t>
  </si>
  <si>
    <t>P000001074 EL-CT-P  Investments</t>
  </si>
  <si>
    <t>P000001173 EL-CT-P  IO</t>
  </si>
  <si>
    <t>P000001461 EL-CT-P Organisation</t>
  </si>
  <si>
    <t>P000001474 EL-CT-P  Other</t>
  </si>
  <si>
    <t>P000000497 EL-CT-PD  Process Development Optronics</t>
  </si>
  <si>
    <t>P000001071 EL-CT-PD Optronics Projects</t>
  </si>
  <si>
    <t>P000001072 EL-CT-PD Optronics Investments</t>
  </si>
  <si>
    <t>P000001174 EL-CT-PD Optronics IO</t>
  </si>
  <si>
    <t>P000001462 EL-CT-PD Optronics Organisation</t>
  </si>
  <si>
    <t>P000001475 EL-CT-PD Optronics Other</t>
  </si>
  <si>
    <t>P000000498 EL-CT-PE Process Development Engineering</t>
  </si>
  <si>
    <t>P000001075 EL-CT-PE Projects</t>
  </si>
  <si>
    <t>P000001076 EL-CT-PE Investments</t>
  </si>
  <si>
    <t>P000001175 EL-CT-PE IO</t>
  </si>
  <si>
    <t>P000001463 EL-CT-PE Organisation</t>
  </si>
  <si>
    <t>P000001476 EL-CT-PE Other</t>
  </si>
  <si>
    <t>P000000499 EL-CT-PF Safety Engineering</t>
  </si>
  <si>
    <t>P000001077 EL-CT-PF Projects</t>
  </si>
  <si>
    <t>P000001078 EL-CT-PF Investments</t>
  </si>
  <si>
    <t>P000001176 EL-CT-PF IO</t>
  </si>
  <si>
    <t>P000001464 EL-CT-PF Organisation</t>
  </si>
  <si>
    <t>P000001477 EL-CT-PF Other</t>
  </si>
  <si>
    <t>P000000500 EL-CT-PI Process Development Semiconduct</t>
  </si>
  <si>
    <t>P000001079 EL-CT-PI Projects</t>
  </si>
  <si>
    <t>P000001080 EL-CT-PI Investments</t>
  </si>
  <si>
    <t>P000001177 EL-CT-PF IO 2</t>
  </si>
  <si>
    <t>P000001465 EL-CT-PI Organisation</t>
  </si>
  <si>
    <t>P000001478 EL-CT-PI Other</t>
  </si>
  <si>
    <t>P000000501 EL-CT-PP Process Development Surface &amp; E</t>
  </si>
  <si>
    <t>P000001087 EL-CT-PP Projects</t>
  </si>
  <si>
    <t>P000001088 EL-CT-PP Investments</t>
  </si>
  <si>
    <t>P000000502 EL-CT-PX Process Development Project Ena</t>
  </si>
  <si>
    <t>P000001081 EL-CT-PX Projects</t>
  </si>
  <si>
    <t>P000001082 EL-CT-PX Investments</t>
  </si>
  <si>
    <t>P000001179 EL-CT-PX IO</t>
  </si>
  <si>
    <t>P000001466 EL-CT-PX Organisation</t>
  </si>
  <si>
    <t>P000001479 EL-CT-PX Other</t>
  </si>
  <si>
    <t>P000000503 EL-CT-PS Process Development Synthesis</t>
  </si>
  <si>
    <t>P000001083 EL-CT-PS Projects</t>
  </si>
  <si>
    <t>P000001084 EL-CT-PS Investments</t>
  </si>
  <si>
    <t>P000001180 EL-CT-PS IO</t>
  </si>
  <si>
    <t>P000001467 EL-CT-PS Organisation</t>
  </si>
  <si>
    <t>P000001480 EL-CT-PS Other</t>
  </si>
  <si>
    <t>P000000504 EL-CT-PU Process Development Pilot Plant</t>
  </si>
  <si>
    <t>P000001085 EL-CT-PU Pilot Plant Projects</t>
  </si>
  <si>
    <t>P000001086 EL-CT-PU Investments</t>
  </si>
  <si>
    <t>P000001181 EL-CT-PU IO</t>
  </si>
  <si>
    <t>P000001468 EL-CT-PU Pilot Plant Organisation</t>
  </si>
  <si>
    <t>P000001481 EL-CT-PU Pilot Plant Other</t>
  </si>
  <si>
    <t>P000001178 EL-CT-PI Process Development Hometown Pi</t>
  </si>
  <si>
    <t>P000001469 EL-CT-PI Organisation 2</t>
  </si>
  <si>
    <t>P000001482 EL-CT-PI Other 2</t>
  </si>
  <si>
    <t>P000001485 EL-CT-PI Projects 2</t>
  </si>
  <si>
    <t>P000001337 EL-CT-PG Semiconductor</t>
  </si>
  <si>
    <t>P000001470 EL-CT-PG Organisation</t>
  </si>
  <si>
    <t>P000001483 EL-CT-PG Other</t>
  </si>
  <si>
    <t>P000001484 EL-CT-PG Projects</t>
  </si>
  <si>
    <t>P000001338 EL-CT-PU Service Lab</t>
  </si>
  <si>
    <t>P000001471 EL-CT-PU Service Lab Organisation</t>
  </si>
  <si>
    <t>P000001472 EL-CT-PU Service Lab Projects</t>
  </si>
  <si>
    <t>P000001473 EL-CT-PU Service Lab Other</t>
  </si>
  <si>
    <t>P000000540 EL-CT-I Intermolecular</t>
  </si>
  <si>
    <t>P000001103 EL-CT-I Capex-Related Opex</t>
  </si>
  <si>
    <t>P000001570 EL-CT-PS LS Projects</t>
  </si>
  <si>
    <t>P000001571 EL-CT-PS HC Projects</t>
  </si>
  <si>
    <t>P000000534 EL-PA Patterning Head</t>
  </si>
  <si>
    <t>P000000545 EL-PA-R Patterning R&amp;D</t>
  </si>
  <si>
    <t>P000001013 EL-PA-R Patterning R&amp;D Projects</t>
  </si>
  <si>
    <t>P000001014 EL-PA-R Patterning R&amp;D Organization</t>
  </si>
  <si>
    <t>P000001015 EL-PA-R Patterning R&amp;D Other</t>
  </si>
  <si>
    <t>P000001441 EL-PA-R Patterning R&amp;D Patents</t>
  </si>
  <si>
    <t>P000000850 EL-PA-S Sales Patterning</t>
  </si>
  <si>
    <t>P000000538 EL-PA-S Patterning SABF Commercial</t>
  </si>
  <si>
    <t>P000000851 EL-PA-S Patterning Sales LE</t>
  </si>
  <si>
    <t>P000000853 EL-PA-S Patterning Sales Head</t>
  </si>
  <si>
    <t>P000000852 EL-PA-P PAT Global Product Mgmt</t>
  </si>
  <si>
    <t>P000000541 EL-PA-P PAT Global Product Mgmt Head</t>
  </si>
  <si>
    <t>P000000854 EL-PA-M Patterning Marketing</t>
  </si>
  <si>
    <t>P000001440 EL-PA-M Patterning Marketing Head</t>
  </si>
  <si>
    <t>P000000855 EL-PA Patterning Sales &amp; COGs</t>
  </si>
  <si>
    <t>P000000856 EL-PA-A PAT Customer Applications</t>
  </si>
  <si>
    <t>P000000858 EL-PA-AC Customer Applications, Core Pr</t>
  </si>
  <si>
    <t>P000000859 EL-PA-ACU Core Pr, Lithography US/EU</t>
  </si>
  <si>
    <t>P000000860 EL-PA-ACJ Core Pr, Lithography JP/KR</t>
  </si>
  <si>
    <t>P000000863 EL-PA-ACT Core Pr, Lithography TW/SEA</t>
  </si>
  <si>
    <t>P000000864 EL-PA-ACS Core Products, SP&amp;C</t>
  </si>
  <si>
    <t>P000001169 EL-PA-AI Customer Applications, Innovat</t>
  </si>
  <si>
    <t>P000001428 EL-PA-A PAT Customer Applications Head</t>
  </si>
  <si>
    <t>P000001165 EL-PA-C Patterning Silica</t>
  </si>
  <si>
    <t>P000000259 EL-PA-CM Martin, USA</t>
  </si>
  <si>
    <t>P000000269 EL-PA-CL Lamotte, France</t>
  </si>
  <si>
    <t>P000001429 EL-PA-C PAT Silica Materials Head</t>
  </si>
  <si>
    <t>P000001430 EL-PA-CS Silica Sales &amp; Marketing</t>
  </si>
  <si>
    <t>P000001431 EL-PA-CP Silica Project Management</t>
  </si>
  <si>
    <t>P000001432 EL-PA-CK Silica Materials, Kaohsiung</t>
  </si>
  <si>
    <t>P000001433 EL-PA-CQ Silica, Quality &amp; Product Eng.</t>
  </si>
  <si>
    <t>P000001435 EL-PA-CR Silica Materials R&amp;D</t>
  </si>
  <si>
    <t>P000001494 EL-PA Technical Objects</t>
  </si>
  <si>
    <t>P000001524 EL-PA Intangibles</t>
  </si>
  <si>
    <t>P000001525 EL-PA Litigations</t>
  </si>
  <si>
    <t>P000001526 EL-PA Capital Gains &amp; Losses</t>
  </si>
  <si>
    <t>P000001528 EL-PA Cross-Charges</t>
  </si>
  <si>
    <t>P000000535 EL-PL Planarization Head</t>
  </si>
  <si>
    <t>P000000546 EL-PL-R Planarization R&amp;D</t>
  </si>
  <si>
    <t>P000001016 EL-PL-R Planarization R&amp;D Projects</t>
  </si>
  <si>
    <t>P000001017 EL-PL-R Planarization R&amp;D Organization</t>
  </si>
  <si>
    <t>P000001018 EL-PL-R Planarization R&amp;D Other</t>
  </si>
  <si>
    <t>P000001426 EL-PL-R Planarization R&amp;D Patents</t>
  </si>
  <si>
    <t>P000000870 XXX PLA Ops &amp; Analytical Tech</t>
  </si>
  <si>
    <t>P000000901 EL-PL-S PLA Global Sales</t>
  </si>
  <si>
    <t>P000000902 EL-PL-M PLA Global Business Marketing</t>
  </si>
  <si>
    <t>P000000903 EL-PL-A PLA Applications Asia</t>
  </si>
  <si>
    <t>P000001427 EL-PL Planarization Sales &amp; COGs</t>
  </si>
  <si>
    <t>P000001495 EL-PL Technical Objects</t>
  </si>
  <si>
    <t>P000001529 EL-PL Intangibles</t>
  </si>
  <si>
    <t>P000001530 EL-PL Litigations</t>
  </si>
  <si>
    <t>P000001531 EL-PL Capital Gains &amp; Losses</t>
  </si>
  <si>
    <t>P000001533 EL-PL Cross-Charges</t>
  </si>
  <si>
    <t>P000001394 EL-SC-R ISC Strategy Realization</t>
  </si>
  <si>
    <t>P000000584 EL-SC-RD Digital Solutions</t>
  </si>
  <si>
    <t>P000001396 EL-SC-RN Network Optimization</t>
  </si>
  <si>
    <t>P000001395 EL-SC-RP Processes &amp; Systems</t>
  </si>
  <si>
    <t>P000001397 EL-SC-RF Smart Prod. FOR/OP/Equip</t>
  </si>
  <si>
    <t>P000001398 EL-SC-RS Smart Prod. SYN/PUR/SCM</t>
  </si>
  <si>
    <t>L000013321 Forecast Adjustments</t>
  </si>
  <si>
    <t>L000013888 Placeholder 1</t>
  </si>
  <si>
    <t>L000013889 Placeholder 2</t>
  </si>
  <si>
    <t>L000011390 LS-QR Regulatory Management -G</t>
  </si>
  <si>
    <t>L000013624 Tech Leadership Fund - RapidBio</t>
  </si>
  <si>
    <t>L000009418 Alloc-out Warehousing/Distribution</t>
  </si>
  <si>
    <t>L000010486 1870 - FR Molsheim RTU3-G</t>
  </si>
  <si>
    <t>L000010487 1871 - FR Molsheim BOTTLE2-G</t>
  </si>
  <si>
    <t>L000010488 1880 - FR Molsheim Mycoplasma-G</t>
  </si>
  <si>
    <t>L000010489 1884 - FR Molsheim Tubes &amp; bags-G</t>
  </si>
  <si>
    <t>L000010494 FR1051 - 1051 FR Molsheim EZ Pak-G</t>
  </si>
  <si>
    <t>L000010496 FR1054 - 1054 FR Molsheim Media-G</t>
  </si>
  <si>
    <t>L000010497 FR1055 - 1055 FR Molsheim Membrane-G</t>
  </si>
  <si>
    <t>L000010498 FR1056 Molsheim Sterilisation-G</t>
  </si>
  <si>
    <t>L000010499 FR1057 - 1057 FR Molsheim Millidisc-G</t>
  </si>
  <si>
    <t>L000010500 FR1058 - 1058 FR Molsheim Molding-G</t>
  </si>
  <si>
    <t>L000010501 FR1058POV Molsheim Molding-G</t>
  </si>
  <si>
    <t>L000010502 FR1059 - 1059 FR Molsheim Milliflex-G</t>
  </si>
  <si>
    <t>L000010505 FR1067 - 1067 FR Molsheim Sterivac-G</t>
  </si>
  <si>
    <t>L000010507 FR1072 Molsheim Steritest EZ-G</t>
  </si>
  <si>
    <t>L000010508 FR1074 - 1074 FR Molsheim Kiting-G</t>
  </si>
  <si>
    <t>L000010509 FR1084 - 1084 FR Molsheim RTU media-G</t>
  </si>
  <si>
    <t>L000010510 FR1091 - 1091 FR Molsheim Bottles-G</t>
  </si>
  <si>
    <t>L000010511 FR1248 Hycon media production-G</t>
  </si>
  <si>
    <t>L000010513 FR1310 Molsheim Membrane Bioscience-G</t>
  </si>
  <si>
    <t>L000010514 FR1312 - 1312 FR Hycon packaging-G</t>
  </si>
  <si>
    <t>L000010519 FR2013 Molsheim Building A - PP-G</t>
  </si>
  <si>
    <t>L000010520 FR2017 Molsheim Bldg A Plant Mgmt-G</t>
  </si>
  <si>
    <t>L000013070 2073 - Molsheim DEVICES Idle Costs-G</t>
  </si>
  <si>
    <t>L000010536 1879 FR Molsheim BioM Hardware-G</t>
  </si>
  <si>
    <t>L000010537 1885 Mols Contract Mfg BioM Hrdw EP-G</t>
  </si>
  <si>
    <t>L000010540 FR1052 Molsheim Millex 50/Aervent-G</t>
  </si>
  <si>
    <t>L000010541 FR1062 Molsheim LW Consumables-G</t>
  </si>
  <si>
    <t>L000010542 FR1062MPV FR Molsheim LW Consumable-G</t>
  </si>
  <si>
    <t>L000010543 FR1062POV FR Molsheim LW Consumable-G</t>
  </si>
  <si>
    <t>L000010544 FR1065 Molsheim LW Instruments-G</t>
  </si>
  <si>
    <t>L000010545 FR1089 Molsheim Hycon instruments-G</t>
  </si>
  <si>
    <t>L000010548 FR1585 Molsheim - LabWater EDI-G</t>
  </si>
  <si>
    <t>L000010550 FR2034 Molsheim LW Mfg Management-G</t>
  </si>
  <si>
    <t>L000010551 FR2035 Start-up Costs Prod LabW-G</t>
  </si>
  <si>
    <t>L000010554 FR2534 Molsheim LW Prod Planning-G</t>
  </si>
  <si>
    <t>L000010555 FR2728 Molsheim Idle capacity cost-G</t>
  </si>
  <si>
    <t>L000013669 Molsheim Operation-SSU</t>
  </si>
  <si>
    <t>L000010558 FR1045 Molsheim HSO Novaseptic-G</t>
  </si>
  <si>
    <t>L000010559 FR1047 Molsheim HSO Hardware-G</t>
  </si>
  <si>
    <t>L000010560 FR1064 Molsheim HSO Systems-G</t>
  </si>
  <si>
    <t>L000010563 FR1066 Molsheim HSO Housings-G</t>
  </si>
  <si>
    <t>L000010564 FR1073 Molsheim HSO Chroma Columns-G</t>
  </si>
  <si>
    <t>L000010565 FR1077 Molsheim HSO System Assembly-G</t>
  </si>
  <si>
    <t>L000010566 FR1083 Molsheim HSO Systems Engine.-G</t>
  </si>
  <si>
    <t>L000010567 FR2031 Molsheim HSO Process Excelle-G</t>
  </si>
  <si>
    <t>L000010569 FR2554 Molsheim HSO Prod Planning-G</t>
  </si>
  <si>
    <t>L000010570 FR2620 BPS outsourced manufacturing-G</t>
  </si>
  <si>
    <t>L000013042 1108 - FR Mobius Europe Assembly-G</t>
  </si>
  <si>
    <t>L000013045 2079 - FR Mobius Prod Planning-G</t>
  </si>
  <si>
    <t>L000013047 1050 - FR Mobius - Sterilization-G</t>
  </si>
  <si>
    <t>L000013048 1111 - FR Mobius - Bag making-G</t>
  </si>
  <si>
    <t>L000013050 2090 - FR Mobius - Idl-G</t>
  </si>
  <si>
    <t>L000013052 2097 - FR Mobius - Start-up costs-G</t>
  </si>
  <si>
    <t>L000013056 1105 - FR Mobius - EU Assembly FT2-G</t>
  </si>
  <si>
    <t>L000013103 2096 - FR Molsheim Building Mobius-G (L0</t>
  </si>
  <si>
    <t>L000010492 FR1044 Molsheim Novaseptum-G</t>
  </si>
  <si>
    <t>L000005618 Sales APAC &amp; SEA (BM) -G</t>
  </si>
  <si>
    <t>L000013697 LW APAC</t>
  </si>
  <si>
    <t>L000006102 LW Sales &amp; Service-APAC SEA -G</t>
  </si>
  <si>
    <t>L000011883 LW - Field Service APAC SEA -G</t>
  </si>
  <si>
    <t>L000013698 LW - Sales APAC SEA -G</t>
  </si>
  <si>
    <t>L000006118 LW Sales &amp; Service- APAC 6 -G</t>
  </si>
  <si>
    <t>L000013699 LW - Sales APAC 6 -G</t>
  </si>
  <si>
    <t>L000013700 LW - Field Service APAC 6 -G</t>
  </si>
  <si>
    <t>L000012016 LW-APAC-SBS-G</t>
  </si>
  <si>
    <t>L000012442 LW - APAC SBS -G</t>
  </si>
  <si>
    <t>L000006602 PS Product Development</t>
  </si>
  <si>
    <t>L000006631 Innovation Management -G</t>
  </si>
  <si>
    <t>L000012347 Scientific &amp; Validation Services -G</t>
  </si>
  <si>
    <t>L000006622 Filtration R&amp;D -G</t>
  </si>
  <si>
    <t>L000006641 Purification R&amp;D -G</t>
  </si>
  <si>
    <t>L000006642 PSMMOR1937.6103 6103 Natrix (R&amp;D)-G</t>
  </si>
  <si>
    <t>L000011403 PS14670000000005 5Research &amp; Develo-G</t>
  </si>
  <si>
    <t>L000013510 Upstream &amp; Process Materials R&amp;D</t>
  </si>
  <si>
    <t>L000007961 Customer Excellence (NA) -G</t>
  </si>
  <si>
    <t>L000011809 LATAM - CEX -G</t>
  </si>
  <si>
    <t>L000011687 CS APAC</t>
  </si>
  <si>
    <t>L000008791 Export Operations -G</t>
  </si>
  <si>
    <t>L000013528 Business Excellence Planning &amp; Implem</t>
  </si>
  <si>
    <t>L000008698 CaSE Operations WE -G</t>
  </si>
  <si>
    <t>L000014113 Biopharma Chemicals and Solutions</t>
  </si>
  <si>
    <t>L000006586 SU &amp; Integrated Systems Business Line -G</t>
  </si>
  <si>
    <t>L000006550 PS7210$$$0000021402 BioProcessing M-G</t>
  </si>
  <si>
    <t>L000012681 PSMMOR1945.1104 1104 Resolution Spe-G</t>
  </si>
  <si>
    <t>L000012832 PSMMOR1945.9226 9226 PS-US&amp;SU Lit-G</t>
  </si>
  <si>
    <t>L000013556 BioContinuum Franchise</t>
  </si>
  <si>
    <t>L000006987 GSO_Field Services</t>
  </si>
  <si>
    <t>L000012357 GSO_Bio4C (Commercial Incubator)</t>
  </si>
  <si>
    <t>L000013635 GSO_Mgmt</t>
  </si>
  <si>
    <t>L000013637 GSO_DSS BO</t>
  </si>
  <si>
    <t>L000013848 Single Use - Core</t>
  </si>
  <si>
    <t>L000011399 PS14670000000008 BioP DSP-G</t>
  </si>
  <si>
    <t>L000012827 PS70006101MS3213 Purification-G</t>
  </si>
  <si>
    <t>L000013161 GSO_Validation Services</t>
  </si>
  <si>
    <t>L000013636 GSO_Quality Global Services</t>
  </si>
  <si>
    <t>L000014066 AS Tradeshows Tier 1</t>
  </si>
  <si>
    <t>L000010322 Cork Operations - Media -G</t>
  </si>
  <si>
    <t>G000001662 FP&amp;A CO BS91 - 2</t>
  </si>
  <si>
    <t>L0000</t>
  </si>
  <si>
    <t>DE10529001</t>
  </si>
  <si>
    <t>DE10626001</t>
  </si>
  <si>
    <t>1756CS7119</t>
  </si>
  <si>
    <t>BE50C06369</t>
  </si>
  <si>
    <t>DE10611600</t>
  </si>
  <si>
    <t>DE10612200</t>
  </si>
  <si>
    <t>DE04C00414</t>
  </si>
  <si>
    <t>CH75GIT020</t>
  </si>
  <si>
    <t>ES50YIT007</t>
  </si>
  <si>
    <t>CN02YIT001</t>
  </si>
  <si>
    <t>DE10600571</t>
  </si>
  <si>
    <t>DE10YIT052</t>
  </si>
  <si>
    <t>DE10GIT755</t>
  </si>
  <si>
    <t>DE10YIT009</t>
  </si>
  <si>
    <t>DE10Y30005</t>
  </si>
  <si>
    <t>DE10Y30004</t>
  </si>
  <si>
    <t>DE10Y30003</t>
  </si>
  <si>
    <t>2025GIT021</t>
  </si>
  <si>
    <t>CN03YIT001</t>
  </si>
  <si>
    <t>BE50YIT001</t>
  </si>
  <si>
    <t>2010YIT001</t>
  </si>
  <si>
    <t>DE10YIT019</t>
  </si>
  <si>
    <t>2123YIT010</t>
  </si>
  <si>
    <t>please dump all objects in L000013679</t>
  </si>
  <si>
    <t>please dump all objects in L000013685</t>
  </si>
  <si>
    <t xml:space="preserve"> please dump all objects in L000013687</t>
  </si>
  <si>
    <t>please dump all objects in L000013681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</si>
</sst>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3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2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0" fillId="0" borderId="34" xfId="0" applyFont="1" applyBorder="1" applyAlignment="1"/>
    <xf numFmtId="0" fontId="0" fillId="0" borderId="1" xfId="0" applyFont="1" applyFill="1" applyBorder="1" applyAlignment="1"/>
    <xf numFmtId="0" fontId="12" fillId="0" borderId="1" xfId="179"/>
    <xf numFmtId="0" fontId="12" fillId="0" borderId="1" xfId="180"/>
    <xf numFmtId="0" fontId="12" fillId="0" borderId="1" xfId="181"/>
    <xf numFmtId="0" fontId="0" fillId="0" borderId="35" xfId="0" applyBorder="1"/>
    <xf numFmtId="0" fontId="0" fillId="29" borderId="35" xfId="0" applyFill="1" applyBorder="1"/>
    <xf numFmtId="0" fontId="0" fillId="0" borderId="34" xfId="185" applyNumberFormat="1" applyFont="1" applyBorder="1" applyAlignment="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0" fillId="0" borderId="34" xfId="179" applyNumberFormat="1" applyFont="1" applyBorder="1" applyAlignment="1"/>
  </cellXfs>
  <cellStyles count="1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31.831984027776" createdVersion="7" refreshedVersion="7" minRefreshableVersion="3" recordCount="3799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799"/>
    </cacheField>
    <cacheField name="Forecast?" numFmtId="0">
      <sharedItems/>
    </cacheField>
    <cacheField name="Ticket" numFmtId="0">
      <sharedItems containsBlank="1" count="219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ing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9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1"/>
    <x v="4"/>
    <s v="LS"/>
    <m/>
    <m/>
    <s v="Jay-R Lizardo"/>
  </r>
  <r>
    <n v="3759"/>
    <s v="F2"/>
    <x v="125"/>
    <s v="IT07070600"/>
    <s v="EF-DS-DPM Master Data Management"/>
    <s v="G000001678"/>
    <s v="New"/>
    <x v="1"/>
    <x v="4"/>
    <s v="LS"/>
    <m/>
    <m/>
    <s v="Jay-R Lizardo"/>
  </r>
  <r>
    <n v="3760"/>
    <s v="F2"/>
    <x v="125"/>
    <s v="G000001679"/>
    <s v="EF-DS-TZX ERP Common Non-Except. Proj."/>
    <s v="G000000744"/>
    <s v="New"/>
    <x v="1"/>
    <x v="4"/>
    <s v="LS"/>
    <m/>
    <m/>
    <s v="Jay-R Lizardo"/>
  </r>
  <r>
    <n v="3761"/>
    <s v="F2"/>
    <x v="125"/>
    <s v="IT6B19001"/>
    <s v="EF-DS-TZX ERP Common Non-Except. Proj."/>
    <s v="G000001679"/>
    <s v="New"/>
    <x v="1"/>
    <x v="4"/>
    <s v="LS"/>
    <m/>
    <m/>
    <s v="Jay-R Lizardo"/>
  </r>
  <r>
    <n v="3762"/>
    <s v="F2"/>
    <x v="125"/>
    <s v="G000001680"/>
    <s v="EF-DS-C Chief Digital Office"/>
    <s v="G000001375"/>
    <s v="New"/>
    <x v="1"/>
    <x v="4"/>
    <s v="LS"/>
    <m/>
    <m/>
    <s v="Jay-R Lizardo"/>
  </r>
  <r>
    <n v="3763"/>
    <s v="F2"/>
    <x v="125"/>
    <s v="G000001681"/>
    <s v="EF-DS-C Chief Digital Office_I"/>
    <s v="G000001680"/>
    <s v="New"/>
    <x v="1"/>
    <x v="4"/>
    <s v="LS"/>
    <m/>
    <m/>
    <s v="Jay-R Lizardo"/>
  </r>
  <r>
    <n v="3764"/>
    <s v="F2"/>
    <x v="125"/>
    <s v="IT6B20000"/>
    <s v="EF-DS-C Chief Digital Office"/>
    <s v="G000001681"/>
    <s v="New"/>
    <x v="1"/>
    <x v="4"/>
    <s v="LS"/>
    <m/>
    <m/>
    <s v="Jay-R Lizardo"/>
  </r>
  <r>
    <n v="3765"/>
    <s v="F2"/>
    <x v="125"/>
    <s v="G000001682"/>
    <s v="EF-DS-CM Digital Project Management"/>
    <s v="G000001680"/>
    <s v="New"/>
    <x v="1"/>
    <x v="4"/>
    <s v="LS"/>
    <m/>
    <m/>
    <s v="Jay-R Lizardo"/>
  </r>
  <r>
    <n v="3766"/>
    <s v="F2"/>
    <x v="125"/>
    <s v="IT6B21000"/>
    <s v="EF-DS-CM Digital Project Management"/>
    <s v="G000001682"/>
    <s v="New"/>
    <x v="1"/>
    <x v="4"/>
    <s v="LS"/>
    <m/>
    <m/>
    <s v="Jay-R Lizardo"/>
  </r>
  <r>
    <n v="3767"/>
    <s v="F2"/>
    <x v="125"/>
    <s v="G000001683"/>
    <s v="EF-DS-CP Digital Products"/>
    <s v="G000001680"/>
    <s v="New"/>
    <x v="1"/>
    <x v="4"/>
    <s v="LS"/>
    <m/>
    <m/>
    <s v="Jay-R Lizardo"/>
  </r>
  <r>
    <n v="3768"/>
    <s v="F2"/>
    <x v="125"/>
    <s v="IT6B22000"/>
    <s v="EF-DS-CP Digital Products"/>
    <s v="G000001683"/>
    <s v="New"/>
    <x v="1"/>
    <x v="4"/>
    <s v="LS"/>
    <m/>
    <m/>
    <s v="Jay-R Lizardo"/>
  </r>
  <r>
    <n v="3769"/>
    <s v="F2"/>
    <x v="125"/>
    <s v="G000001684"/>
    <s v="EF-DS-CS UX Strategy &amp; Design "/>
    <s v="G000001680"/>
    <s v="New"/>
    <x v="1"/>
    <x v="4"/>
    <s v="LS"/>
    <m/>
    <m/>
    <s v="Jay-R Lizardo"/>
  </r>
  <r>
    <n v="3770"/>
    <s v="F2"/>
    <x v="125"/>
    <s v="IT6B23000"/>
    <s v="EF-DS-CS UX Strategy &amp; Design "/>
    <s v="G000001684"/>
    <s v="New"/>
    <x v="1"/>
    <x v="4"/>
    <s v="LS"/>
    <m/>
    <m/>
    <s v="Jay-R Lizardo"/>
  </r>
  <r>
    <n v="3771"/>
    <s v="F2"/>
    <x v="125"/>
    <s v="G000001668"/>
    <s v="EF-DS Digital Enterprise Services_I"/>
    <m/>
    <s v="Rename"/>
    <x v="1"/>
    <x v="4"/>
    <s v="LS"/>
    <m/>
    <m/>
    <s v="Jay-R Lizardo"/>
  </r>
  <r>
    <n v="3772"/>
    <s v="F2"/>
    <x v="126"/>
    <s v="H000004114"/>
    <m/>
    <s v="H000000902"/>
    <s v="Move"/>
    <x v="1"/>
    <x v="4"/>
    <s v="HC"/>
    <m/>
    <m/>
    <s v="Rayneil Reas"/>
  </r>
  <r>
    <n v="3773"/>
    <s v="F2"/>
    <x v="126"/>
    <s v="H000004115"/>
    <m/>
    <s v="H000000902"/>
    <s v="Move"/>
    <x v="1"/>
    <x v="4"/>
    <s v="HC"/>
    <m/>
    <m/>
    <s v="Rayneil Reas"/>
  </r>
  <r>
    <n v="3774"/>
    <s v="F2"/>
    <x v="126"/>
    <s v="H000003991"/>
    <m/>
    <s v="H000000902"/>
    <s v="Move"/>
    <x v="1"/>
    <x v="4"/>
    <s v="HC"/>
    <m/>
    <m/>
    <s v="Rayneil Reas"/>
  </r>
  <r>
    <n v="3775"/>
    <s v="F2"/>
    <x v="126"/>
    <s v="H000003997"/>
    <m/>
    <s v="H000000902"/>
    <s v="Move"/>
    <x v="1"/>
    <x v="4"/>
    <s v="HC"/>
    <m/>
    <m/>
    <s v="Rayneil Reas"/>
  </r>
  <r>
    <n v="3776"/>
    <s v="F2"/>
    <x v="126"/>
    <s v="H000004001"/>
    <m/>
    <s v="H000000902"/>
    <s v="Move"/>
    <x v="1"/>
    <x v="4"/>
    <s v="HC"/>
    <m/>
    <m/>
    <s v="Rayneil Reas"/>
  </r>
  <r>
    <n v="3777"/>
    <s v="F2"/>
    <x v="126"/>
    <s v="H000004007"/>
    <m/>
    <s v="H000000902"/>
    <s v="Move"/>
    <x v="1"/>
    <x v="4"/>
    <s v="HC"/>
    <m/>
    <m/>
    <s v="Rayneil Reas"/>
  </r>
  <r>
    <n v="3778"/>
    <s v="F2"/>
    <x v="126"/>
    <s v="H000004194"/>
    <m/>
    <s v="H000000902"/>
    <s v="Move"/>
    <x v="1"/>
    <x v="4"/>
    <s v="HC"/>
    <m/>
    <m/>
    <s v="Rayneil Reas"/>
  </r>
  <r>
    <n v="3779"/>
    <s v="F2"/>
    <x v="126"/>
    <s v="H000004338"/>
    <m/>
    <s v="H000000902"/>
    <s v="Move"/>
    <x v="1"/>
    <x v="4"/>
    <s v="HC"/>
    <m/>
    <m/>
    <s v="Rayneil Reas"/>
  </r>
  <r>
    <n v="3780"/>
    <s v="F2"/>
    <x v="126"/>
    <s v="H000004351"/>
    <m/>
    <s v="H000000902"/>
    <s v="Move"/>
    <x v="1"/>
    <x v="4"/>
    <s v="HC"/>
    <m/>
    <m/>
    <s v="Rayneil Reas"/>
  </r>
  <r>
    <n v="3781"/>
    <s v="F2"/>
    <x v="126"/>
    <s v="H000003976"/>
    <m/>
    <s v="H000000902"/>
    <s v="Move"/>
    <x v="1"/>
    <x v="4"/>
    <s v="HC"/>
    <m/>
    <m/>
    <s v="Rayneil Reas"/>
  </r>
  <r>
    <n v="3782"/>
    <s v="F2"/>
    <x v="126"/>
    <s v="H000004193"/>
    <m/>
    <s v="H000000902"/>
    <s v="Move"/>
    <x v="1"/>
    <x v="4"/>
    <s v="HC"/>
    <m/>
    <m/>
    <s v="Rayneil Reas"/>
  </r>
  <r>
    <n v="3783"/>
    <s v="F2"/>
    <x v="126"/>
    <s v="H000003981"/>
    <m/>
    <s v="H000000902"/>
    <s v="Move"/>
    <x v="1"/>
    <x v="4"/>
    <s v="HC"/>
    <m/>
    <m/>
    <s v="Rayneil Reas"/>
  </r>
  <r>
    <n v="3784"/>
    <s v="F2"/>
    <x v="126"/>
    <s v="H000004337"/>
    <m/>
    <s v="H000000902"/>
    <s v="Move"/>
    <x v="1"/>
    <x v="4"/>
    <s v="HC"/>
    <m/>
    <m/>
    <s v="Rayneil Reas"/>
  </r>
  <r>
    <n v="3785"/>
    <s v="F2"/>
    <x v="126"/>
    <s v="H000003983"/>
    <m/>
    <s v="H000000902"/>
    <s v="Move"/>
    <x v="1"/>
    <x v="4"/>
    <s v="HC"/>
    <m/>
    <m/>
    <s v="Rayneil Reas"/>
  </r>
  <r>
    <n v="3786"/>
    <s v="F2"/>
    <x v="126"/>
    <s v="H000004926"/>
    <m/>
    <s v="H000000902"/>
    <s v="Move"/>
    <x v="1"/>
    <x v="4"/>
    <s v="HC"/>
    <m/>
    <m/>
    <s v="Rayneil Reas"/>
  </r>
  <r>
    <n v="3787"/>
    <s v="F2"/>
    <x v="126"/>
    <s v="H000004928"/>
    <m/>
    <s v="H000000902"/>
    <s v="Move"/>
    <x v="1"/>
    <x v="4"/>
    <s v="HC"/>
    <m/>
    <m/>
    <s v="Rayneil Reas"/>
  </r>
  <r>
    <n v="3788"/>
    <s v="F2"/>
    <x v="126"/>
    <s v="H000004923"/>
    <m/>
    <s v="H000000902"/>
    <s v="Move"/>
    <x v="1"/>
    <x v="4"/>
    <s v="HC"/>
    <m/>
    <m/>
    <s v="Rayneil Reas"/>
  </r>
  <r>
    <n v="3789"/>
    <s v="F2"/>
    <x v="126"/>
    <s v="H000004927"/>
    <m/>
    <s v="H000000902"/>
    <s v="Move"/>
    <x v="1"/>
    <x v="4"/>
    <s v="HC"/>
    <m/>
    <m/>
    <s v="Rayneil Reas"/>
  </r>
  <r>
    <n v="3790"/>
    <s v="F2"/>
    <x v="126"/>
    <s v="H000004929"/>
    <m/>
    <s v="H000000902"/>
    <s v="Move"/>
    <x v="1"/>
    <x v="4"/>
    <s v="HC"/>
    <m/>
    <m/>
    <s v="Rayneil Reas"/>
  </r>
  <r>
    <n v="3791"/>
    <s v="F2"/>
    <x v="126"/>
    <s v="H000004924"/>
    <m/>
    <s v="H000000902"/>
    <s v="Move"/>
    <x v="1"/>
    <x v="4"/>
    <s v="HC"/>
    <m/>
    <m/>
    <s v="Rayneil Reas"/>
  </r>
  <r>
    <n v="3792"/>
    <s v="F2"/>
    <x v="126"/>
    <s v="H000004465"/>
    <m/>
    <s v="H000000902"/>
    <s v="Move"/>
    <x v="1"/>
    <x v="4"/>
    <s v="HC"/>
    <m/>
    <m/>
    <s v="Rayneil Reas"/>
  </r>
  <r>
    <n v="3793"/>
    <s v="F2"/>
    <x v="126"/>
    <s v="H000004466"/>
    <m/>
    <s v="H000000902"/>
    <s v="Move"/>
    <x v="1"/>
    <x v="4"/>
    <s v="HC"/>
    <m/>
    <m/>
    <s v="Rayneil Reas"/>
  </r>
  <r>
    <n v="3794"/>
    <s v="F2"/>
    <x v="126"/>
    <s v="H000004469"/>
    <m/>
    <s v="H000000902"/>
    <s v="Move"/>
    <x v="1"/>
    <x v="4"/>
    <s v="HC"/>
    <m/>
    <m/>
    <s v="Rayneil Reas"/>
  </r>
  <r>
    <n v="3795"/>
    <s v="F2"/>
    <x v="126"/>
    <s v="H000004925"/>
    <m/>
    <s v="H000000902"/>
    <s v="Move"/>
    <x v="1"/>
    <x v="4"/>
    <s v="HC"/>
    <m/>
    <m/>
    <s v="Rayneil Reas"/>
  </r>
  <r>
    <n v="3796"/>
    <s v="F2"/>
    <x v="126"/>
    <s v="H000004920"/>
    <m/>
    <s v="H000000902"/>
    <s v="Move"/>
    <x v="1"/>
    <x v="4"/>
    <s v="HC"/>
    <m/>
    <m/>
    <s v="Rayneil Reas"/>
  </r>
  <r>
    <n v="3797"/>
    <s v="F2"/>
    <x v="126"/>
    <s v="H000004921"/>
    <m/>
    <s v="H000000902"/>
    <s v="Move"/>
    <x v="1"/>
    <x v="4"/>
    <s v="HC"/>
    <m/>
    <m/>
    <s v="Rayneil Reas"/>
  </r>
  <r>
    <n v="3798"/>
    <s v="F2"/>
    <x v="126"/>
    <s v="H000004922"/>
    <m/>
    <s v="H000000902"/>
    <s v="Move"/>
    <x v="1"/>
    <x v="4"/>
    <s v="HC"/>
    <m/>
    <m/>
    <s v="Rayneil Reas"/>
  </r>
  <r>
    <n v="3799"/>
    <s v="F2"/>
    <x v="127"/>
    <s v="G000000889"/>
    <s v="Hot Water DA"/>
    <s v="G000000898"/>
    <s v="Rename/Move"/>
    <x v="1"/>
    <x v="4"/>
    <s v="MGF"/>
    <m/>
    <m/>
    <s v="Heiko Wagn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showAll="0"/>
    <pivotField showAll="0"/>
    <pivotField axis="axisRow" showAll="0">
      <items count="220">
        <item m="1" x="184"/>
        <item m="1" x="138"/>
        <item m="1" x="156"/>
        <item m="1" x="193"/>
        <item m="1" x="152"/>
        <item m="1" x="196"/>
        <item m="1" x="142"/>
        <item m="1" x="206"/>
        <item m="1" x="135"/>
        <item m="1" x="167"/>
        <item m="1" x="177"/>
        <item m="1" x="197"/>
        <item m="1" x="182"/>
        <item m="1" x="160"/>
        <item m="1" x="178"/>
        <item m="1" x="153"/>
        <item m="1" x="214"/>
        <item m="1" x="150"/>
        <item m="1" x="212"/>
        <item m="1" x="143"/>
        <item m="1" x="198"/>
        <item m="1" x="213"/>
        <item m="1" x="199"/>
        <item m="1" x="168"/>
        <item m="1" x="216"/>
        <item m="1" x="172"/>
        <item m="1" x="161"/>
        <item m="1" x="218"/>
        <item m="1" x="157"/>
        <item m="1" x="179"/>
        <item m="1" x="174"/>
        <item m="1" x="158"/>
        <item m="1" x="180"/>
        <item m="1" x="132"/>
        <item m="1" x="162"/>
        <item m="1" x="187"/>
        <item m="1" x="154"/>
        <item m="1" x="209"/>
        <item m="1" x="203"/>
        <item m="1" x="211"/>
        <item m="1" x="133"/>
        <item m="1" x="185"/>
        <item m="1" x="128"/>
        <item m="1" x="171"/>
        <item m="1" x="210"/>
        <item m="1" x="190"/>
        <item m="1" x="151"/>
        <item m="1" x="170"/>
        <item m="1" x="183"/>
        <item m="1" x="173"/>
        <item m="1" x="136"/>
        <item m="1" x="148"/>
        <item m="1" x="144"/>
        <item m="1" x="217"/>
        <item m="1" x="164"/>
        <item m="1" x="129"/>
        <item m="1" x="204"/>
        <item m="1" x="166"/>
        <item m="1" x="159"/>
        <item m="1" x="195"/>
        <item m="1" x="165"/>
        <item m="1" x="134"/>
        <item m="1" x="200"/>
        <item m="1" x="169"/>
        <item m="1" x="145"/>
        <item m="1" x="175"/>
        <item m="1" x="149"/>
        <item m="1" x="188"/>
        <item m="1" x="192"/>
        <item m="1" x="139"/>
        <item m="1" x="137"/>
        <item m="1" x="176"/>
        <item m="1" x="215"/>
        <item m="1" x="147"/>
        <item m="1" x="140"/>
        <item m="1" x="191"/>
        <item m="1" x="186"/>
        <item m="1" x="189"/>
        <item m="1" x="205"/>
        <item m="1" x="155"/>
        <item m="1" x="131"/>
        <item m="1" x="201"/>
        <item m="1" x="146"/>
        <item m="1" x="141"/>
        <item m="1" x="202"/>
        <item m="1" x="207"/>
        <item m="1" x="163"/>
        <item m="1" x="208"/>
        <item m="1" x="194"/>
        <item m="1" x="18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3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16"/>
    </i>
    <i r="1">
      <x v="5"/>
    </i>
    <i>
      <x v="217"/>
    </i>
    <i r="1">
      <x v="5"/>
    </i>
    <i>
      <x v="218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21" totalsRowShown="0">
  <sortState xmlns:xlrd2="http://schemas.microsoft.com/office/spreadsheetml/2017/richdata2" ref="A3967:M4155">
    <sortCondition ref="C1:C4155"/>
  </sortState>
  <tableColumns count="13">
    <tableColumn id="1" xr3:uid="{00000000-0010-0000-0000-000001000000}" name="No." dataDxfId="108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107">
      <calculatedColumnFormula>IFERROR(VLOOKUP(Table2[[#This Row], [Ticket]],Okey!A:B,2,0),"")</calculatedColumnFormula>
    </tableColumn>
    <tableColumn id="9" xr3:uid="{00000000-0010-0000-0000-000009000000}" name="STATUS Check" dataDxfId="106"/>
    <tableColumn id="10" xr3:uid="{00000000-0010-0000-0000-00000A000000}" name="Sector" dataDxfId="105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04"/>
    <tableColumn id="13" xr3:uid="{00000000-0010-0000-0000-00000D000000}" name="Author" dataDxfId="10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0"/>
  <sheetViews>
    <sheetView workbookViewId="0">
      <selection activeCell="F22" sqref="F22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12999</v>
      </c>
      <c r="B4" s="42">
        <v>14</v>
      </c>
    </row>
    <row r="5" spans="1:2">
      <c r="A5" s="65" t="s">
        <v>13065</v>
      </c>
      <c r="B5" s="42">
        <v>14</v>
      </c>
    </row>
    <row r="6" spans="1:2">
      <c r="A6" s="30" t="s">
        <v>13011</v>
      </c>
      <c r="B6" s="42">
        <v>27</v>
      </c>
    </row>
    <row r="7" spans="1:2">
      <c r="A7" s="65" t="s">
        <v>13065</v>
      </c>
      <c r="B7" s="42">
        <v>27</v>
      </c>
    </row>
    <row r="8" spans="1:2">
      <c r="A8" s="30" t="s">
        <v>13013</v>
      </c>
      <c r="B8" s="42">
        <v>1</v>
      </c>
    </row>
    <row r="9" spans="1:2">
      <c r="A9" s="65" t="s">
        <v>13065</v>
      </c>
      <c r="B9" s="42">
        <v>1</v>
      </c>
    </row>
    <row r="10" spans="1:2">
      <c r="A10" s="30" t="s">
        <v>10</v>
      </c>
      <c r="B10" s="42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11"/>
  <sheetViews>
    <sheetView topLeftCell="A362" workbookViewId="0">
      <selection activeCell="B411" sqref="B408:B411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21"/>
  <sheetViews>
    <sheetView tabSelected="1" topLeftCell="A4372" zoomScaleNormal="100" workbookViewId="0">
      <selection activeCell="A4421" sqref="A4421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>
      <c r="A3646" s="40">
        <f t="shared" ref="A3646:A370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>
      <c r="A3690" s="40">
        <f t="shared" si="61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>
      <c r="A3691" s="40">
        <f t="shared" si="61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>
      <c r="A3692" s="40">
        <f t="shared" si="61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>
      <c r="A3693" s="40">
        <f t="shared" si="61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>
      <c r="A3694" s="40">
        <f t="shared" si="61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>
      <c r="A3695" s="40">
        <f t="shared" si="61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>
      <c r="A3696" s="40">
        <f t="shared" si="61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>
      <c r="A3697" s="40">
        <f t="shared" si="61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>
      <c r="A3698" s="40">
        <f t="shared" si="61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>
      <c r="A3699" s="40">
        <f t="shared" si="61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>
      <c r="A3700" s="40">
        <f t="shared" si="61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>
      <c r="A3701" s="40">
        <f t="shared" si="61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>
      <c r="A3702" s="40">
        <f t="shared" si="61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>
      <c r="A3703" s="40">
        <f t="shared" si="61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>
      <c r="A3704" s="40">
        <f t="shared" si="61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>
      <c r="A3705" s="40">
        <f t="shared" si="61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>
      <c r="A3706" s="40">
        <f t="shared" si="61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>
      <c r="A3707" s="40">
        <f t="shared" si="61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>
      <c r="A3708" s="40">
        <f t="shared" si="61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>
      <c r="A3709" s="40">
        <f t="shared" si="61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>
      <c r="A3710" s="40">
        <f t="shared" ref="A3710:A3774" si="62">1+A3709</f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>
      <c r="A3711" s="40">
        <f t="shared" si="62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>
      <c r="A3712" s="40">
        <f t="shared" si="62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>
      <c r="A3713" s="40">
        <f t="shared" si="62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>
      <c r="A3714" s="40">
        <f t="shared" si="62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>
      <c r="A3715" s="40">
        <f t="shared" si="62"/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>
      <c r="A3716" s="40">
        <f t="shared" si="62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>
      <c r="A3717" s="40">
        <f t="shared" si="62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>
      <c r="A3718" s="40">
        <f t="shared" si="62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>
      <c r="A3719" s="40">
        <f t="shared" si="62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>
      <c r="A3720" s="40">
        <f t="shared" si="62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>
      <c r="A3721" s="40">
        <f t="shared" si="62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>
      <c r="A3722" s="40">
        <f t="shared" si="62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>
      <c r="A3723" s="40">
        <f t="shared" si="62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>
      <c r="A3724" s="40">
        <f t="shared" si="62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>
      <c r="A3725" s="40">
        <f t="shared" si="62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>
      <c r="A3726" s="40">
        <f t="shared" si="62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>
      <c r="A3727" s="40">
        <f t="shared" si="62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>
      <c r="A3728" s="40">
        <f t="shared" si="62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>
      <c r="A3729" s="40">
        <f t="shared" si="62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>
      <c r="A3730" s="40">
        <f t="shared" si="62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>
      <c r="A3731" s="40">
        <f t="shared" si="62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>
      <c r="A3732" s="40">
        <f t="shared" si="62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>
      <c r="A3733" s="40">
        <f t="shared" si="62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>
      <c r="A3734" s="40">
        <f t="shared" si="62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>
      <c r="A3735" s="40">
        <f t="shared" si="62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>
      <c r="A3736" s="40">
        <f t="shared" si="62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>
      <c r="A3737" s="40">
        <f t="shared" si="62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>
      <c r="A3738" s="40">
        <f t="shared" si="62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>
      <c r="A3739" s="40">
        <f t="shared" si="62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>
      <c r="A3740" s="40">
        <f t="shared" si="62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>
      <c r="A3741" s="40">
        <f t="shared" si="62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>
      <c r="A3742" s="40">
        <f t="shared" si="62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>
      <c r="A3743" s="40">
        <f t="shared" si="62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>
      <c r="A3744" s="40">
        <f t="shared" si="62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>
      <c r="A3745" s="40">
        <f t="shared" si="62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>
      <c r="A3746" s="40">
        <f t="shared" si="62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>
      <c r="A3747" s="40">
        <f t="shared" si="62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>
      <c r="A3748" s="40">
        <f t="shared" si="62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>
      <c r="A3749" s="40">
        <f t="shared" si="62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>
      <c r="A3750" s="40">
        <f t="shared" si="62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>
      <c r="A3751" s="40">
        <f t="shared" si="62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>
      <c r="A3752" s="40">
        <f t="shared" si="62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>
      <c r="A3753" s="40">
        <f t="shared" si="62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>
      <c r="A3754" s="40">
        <f t="shared" si="62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>
      <c r="A3755" s="40">
        <f t="shared" si="62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>
      <c r="A3756" s="40">
        <f t="shared" si="62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>
      <c r="A3757" s="40">
        <f t="shared" si="62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>
      <c r="A3758" s="40">
        <f t="shared" si="62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>
      <c r="A3759" s="40">
        <f t="shared" si="62"/>
        <v>3758</v>
      </c>
      <c r="B3759" s="34" t="s">
        <v>8</v>
      </c>
      <c r="C3759" s="8" t="s">
        <v>12999</v>
      </c>
      <c r="D3759" s="34" t="s">
        <v>13014</v>
      </c>
      <c r="E3759" s="8" t="s">
        <v>12985</v>
      </c>
      <c r="F3759" s="8" t="s">
        <v>6369</v>
      </c>
      <c r="G3759" s="34" t="s">
        <v>14</v>
      </c>
      <c r="H3759" s="34" t="str">
        <f>IFERROR(VLOOKUP(Table2[[#This Row], [Ticket]],Okey!A:B,2,0),"")</f>
        <v/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>
      <c r="A3760" s="40">
        <f t="shared" si="62"/>
        <v>3759</v>
      </c>
      <c r="B3760" s="34" t="s">
        <v>8</v>
      </c>
      <c r="C3760" s="34" t="s">
        <v>12999</v>
      </c>
      <c r="D3760" s="8" t="s">
        <v>12986</v>
      </c>
      <c r="E3760" s="8" t="s">
        <v>12985</v>
      </c>
      <c r="F3760" s="34" t="s">
        <v>13014</v>
      </c>
      <c r="G3760" s="34" t="s">
        <v>14</v>
      </c>
      <c r="H3760" s="34" t="str">
        <f>IFERROR(VLOOKUP(Table2[[#This Row], [Ticket]],Okey!A:B,2,0),"")</f>
        <v/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>
      <c r="A3761" s="40">
        <f t="shared" si="62"/>
        <v>3760</v>
      </c>
      <c r="B3761" s="34" t="s">
        <v>8</v>
      </c>
      <c r="C3761" s="34" t="s">
        <v>12999</v>
      </c>
      <c r="D3761" s="34" t="s">
        <v>13015</v>
      </c>
      <c r="E3761" s="8" t="s">
        <v>12987</v>
      </c>
      <c r="F3761" s="8" t="s">
        <v>6300</v>
      </c>
      <c r="G3761" s="34" t="s">
        <v>14</v>
      </c>
      <c r="H3761" s="34" t="str">
        <f>IFERROR(VLOOKUP(Table2[[#This Row], [Ticket]],Okey!A:B,2,0),"")</f>
        <v/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>
      <c r="A3762" s="40">
        <f t="shared" si="62"/>
        <v>3761</v>
      </c>
      <c r="B3762" s="34" t="s">
        <v>8</v>
      </c>
      <c r="C3762" s="34" t="s">
        <v>12999</v>
      </c>
      <c r="D3762" s="8" t="s">
        <v>12988</v>
      </c>
      <c r="E3762" s="8" t="s">
        <v>12987</v>
      </c>
      <c r="F3762" s="34" t="s">
        <v>13015</v>
      </c>
      <c r="G3762" s="34" t="s">
        <v>14</v>
      </c>
      <c r="H3762" s="34" t="str">
        <f>IFERROR(VLOOKUP(Table2[[#This Row], [Ticket]],Okey!A:B,2,0),"")</f>
        <v/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>
      <c r="A3763" s="40">
        <f t="shared" si="62"/>
        <v>3762</v>
      </c>
      <c r="B3763" s="34" t="s">
        <v>8</v>
      </c>
      <c r="C3763" s="34" t="s">
        <v>12999</v>
      </c>
      <c r="D3763" s="34" t="s">
        <v>13016</v>
      </c>
      <c r="E3763" s="8" t="s">
        <v>12989</v>
      </c>
      <c r="F3763" s="8" t="s">
        <v>5266</v>
      </c>
      <c r="G3763" s="34" t="s">
        <v>14</v>
      </c>
      <c r="H3763" s="34" t="str">
        <f>IFERROR(VLOOKUP(Table2[[#This Row], [Ticket]],Okey!A:B,2,0),"")</f>
        <v/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>
      <c r="A3764" s="40">
        <f t="shared" si="62"/>
        <v>3763</v>
      </c>
      <c r="B3764" s="34" t="s">
        <v>8</v>
      </c>
      <c r="C3764" s="34" t="s">
        <v>12999</v>
      </c>
      <c r="D3764" s="34" t="s">
        <v>13017</v>
      </c>
      <c r="E3764" s="8" t="s">
        <v>12990</v>
      </c>
      <c r="F3764" s="34" t="s">
        <v>13016</v>
      </c>
      <c r="G3764" s="34" t="s">
        <v>14</v>
      </c>
      <c r="H3764" s="34" t="str">
        <f>IFERROR(VLOOKUP(Table2[[#This Row], [Ticket]],Okey!A:B,2,0),"")</f>
        <v/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>
      <c r="A3765" s="40">
        <f t="shared" si="62"/>
        <v>3764</v>
      </c>
      <c r="B3765" s="34" t="s">
        <v>8</v>
      </c>
      <c r="C3765" s="34" t="s">
        <v>12999</v>
      </c>
      <c r="D3765" s="8" t="s">
        <v>12991</v>
      </c>
      <c r="E3765" s="8" t="s">
        <v>12989</v>
      </c>
      <c r="F3765" s="34" t="s">
        <v>13017</v>
      </c>
      <c r="G3765" s="34" t="s">
        <v>14</v>
      </c>
      <c r="H3765" s="34" t="str">
        <f>IFERROR(VLOOKUP(Table2[[#This Row], [Ticket]],Okey!A:B,2,0),"")</f>
        <v/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>
      <c r="A3766" s="40">
        <f t="shared" si="62"/>
        <v>3765</v>
      </c>
      <c r="B3766" s="34" t="s">
        <v>8</v>
      </c>
      <c r="C3766" s="34" t="s">
        <v>12999</v>
      </c>
      <c r="D3766" s="34" t="s">
        <v>13018</v>
      </c>
      <c r="E3766" s="8" t="s">
        <v>12992</v>
      </c>
      <c r="F3766" s="34" t="s">
        <v>13016</v>
      </c>
      <c r="G3766" s="34" t="s">
        <v>14</v>
      </c>
      <c r="H3766" s="34" t="str">
        <f>IFERROR(VLOOKUP(Table2[[#This Row], [Ticket]],Okey!A:B,2,0),"")</f>
        <v/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>
      <c r="A3767" s="40">
        <f t="shared" si="62"/>
        <v>3766</v>
      </c>
      <c r="B3767" s="34" t="s">
        <v>8</v>
      </c>
      <c r="C3767" s="34" t="s">
        <v>12999</v>
      </c>
      <c r="D3767" s="8" t="s">
        <v>12993</v>
      </c>
      <c r="E3767" s="8" t="s">
        <v>12992</v>
      </c>
      <c r="F3767" s="34" t="s">
        <v>13018</v>
      </c>
      <c r="G3767" s="34" t="s">
        <v>14</v>
      </c>
      <c r="H3767" s="34" t="str">
        <f>IFERROR(VLOOKUP(Table2[[#This Row], [Ticket]],Okey!A:B,2,0),"")</f>
        <v/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>
      <c r="A3768" s="40">
        <f t="shared" si="62"/>
        <v>3767</v>
      </c>
      <c r="B3768" s="34" t="s">
        <v>8</v>
      </c>
      <c r="C3768" s="34" t="s">
        <v>12999</v>
      </c>
      <c r="D3768" s="34" t="s">
        <v>13019</v>
      </c>
      <c r="E3768" s="8" t="s">
        <v>12994</v>
      </c>
      <c r="F3768" s="34" t="s">
        <v>13016</v>
      </c>
      <c r="G3768" s="34" t="s">
        <v>14</v>
      </c>
      <c r="H3768" s="34" t="str">
        <f>IFERROR(VLOOKUP(Table2[[#This Row], [Ticket]],Okey!A:B,2,0),"")</f>
        <v/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>
      <c r="A3769" s="40">
        <f t="shared" si="62"/>
        <v>3768</v>
      </c>
      <c r="B3769" s="34" t="s">
        <v>8</v>
      </c>
      <c r="C3769" s="34" t="s">
        <v>12999</v>
      </c>
      <c r="D3769" s="8" t="s">
        <v>12995</v>
      </c>
      <c r="E3769" s="8" t="s">
        <v>12994</v>
      </c>
      <c r="F3769" s="34" t="s">
        <v>13019</v>
      </c>
      <c r="G3769" s="34" t="s">
        <v>14</v>
      </c>
      <c r="H3769" s="34" t="str">
        <f>IFERROR(VLOOKUP(Table2[[#This Row], [Ticket]],Okey!A:B,2,0),"")</f>
        <v/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>
      <c r="A3770" s="40">
        <f t="shared" si="62"/>
        <v>3769</v>
      </c>
      <c r="B3770" s="34" t="s">
        <v>8</v>
      </c>
      <c r="C3770" s="34" t="s">
        <v>12999</v>
      </c>
      <c r="D3770" s="34" t="s">
        <v>13020</v>
      </c>
      <c r="E3770" s="8" t="s">
        <v>12996</v>
      </c>
      <c r="F3770" s="34" t="s">
        <v>13016</v>
      </c>
      <c r="G3770" s="34" t="s">
        <v>14</v>
      </c>
      <c r="H3770" s="34" t="str">
        <f>IFERROR(VLOOKUP(Table2[[#This Row], [Ticket]],Okey!A:B,2,0),"")</f>
        <v/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>
      <c r="A3771" s="40">
        <f t="shared" si="62"/>
        <v>3770</v>
      </c>
      <c r="B3771" s="34" t="s">
        <v>8</v>
      </c>
      <c r="C3771" s="34" t="s">
        <v>12999</v>
      </c>
      <c r="D3771" s="8" t="s">
        <v>12997</v>
      </c>
      <c r="E3771" s="8" t="s">
        <v>12996</v>
      </c>
      <c r="F3771" s="34" t="s">
        <v>13020</v>
      </c>
      <c r="G3771" s="34" t="s">
        <v>14</v>
      </c>
      <c r="H3771" s="34" t="str">
        <f>IFERROR(VLOOKUP(Table2[[#This Row], [Ticket]],Okey!A:B,2,0),"")</f>
        <v/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>
      <c r="A3772" s="40">
        <f t="shared" si="62"/>
        <v>3771</v>
      </c>
      <c r="B3772" s="34" t="s">
        <v>8</v>
      </c>
      <c r="C3772" s="34" t="s">
        <v>12999</v>
      </c>
      <c r="D3772" s="8" t="s">
        <v>12318</v>
      </c>
      <c r="E3772" s="8" t="s">
        <v>12998</v>
      </c>
      <c r="G3772" s="8" t="s">
        <v>15</v>
      </c>
      <c r="H3772" s="34" t="str">
        <f>IFERROR(VLOOKUP(Table2[[#This Row], [Ticket]],Okey!A:B,2,0),"")</f>
        <v/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>
      <c r="A3773" s="40">
        <f t="shared" si="62"/>
        <v>3772</v>
      </c>
      <c r="B3773" s="34" t="s">
        <v>8</v>
      </c>
      <c r="C3773" s="8" t="s">
        <v>13011</v>
      </c>
      <c r="D3773" s="8" t="s">
        <v>13001</v>
      </c>
      <c r="F3773" s="8" t="s">
        <v>13000</v>
      </c>
      <c r="G3773" s="8" t="s">
        <v>13</v>
      </c>
      <c r="H3773" s="34" t="str">
        <f>IFERROR(VLOOKUP(Table2[[#This Row], [Ticket]],Okey!A:B,2,0),"")</f>
        <v/>
      </c>
      <c r="I3773" s="34" t="s">
        <v>13717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>
      <c r="A3774" s="40">
        <f t="shared" si="62"/>
        <v>3773</v>
      </c>
      <c r="B3774" s="34" t="s">
        <v>8</v>
      </c>
      <c r="C3774" s="34" t="s">
        <v>13011</v>
      </c>
      <c r="D3774" s="8" t="s">
        <v>13002</v>
      </c>
      <c r="F3774" s="8" t="s">
        <v>13000</v>
      </c>
      <c r="G3774" s="34" t="s">
        <v>13</v>
      </c>
      <c r="H3774" s="34" t="str">
        <f>IFERROR(VLOOKUP(Table2[[#This Row], [Ticket]],Okey!A:B,2,0),"")</f>
        <v/>
      </c>
      <c r="I3774" s="34" t="s">
        <v>13717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>
      <c r="A3775" s="40">
        <f t="shared" ref="A3775:A3800" si="63">1+A3774</f>
        <v>3774</v>
      </c>
      <c r="B3775" s="34" t="s">
        <v>8</v>
      </c>
      <c r="C3775" s="34" t="s">
        <v>13011</v>
      </c>
      <c r="D3775" s="8" t="s">
        <v>13003</v>
      </c>
      <c r="F3775" s="8" t="s">
        <v>13000</v>
      </c>
      <c r="G3775" s="34" t="s">
        <v>13</v>
      </c>
      <c r="H3775" s="34" t="str">
        <f>IFERROR(VLOOKUP(Table2[[#This Row], [Ticket]],Okey!A:B,2,0),"")</f>
        <v/>
      </c>
      <c r="I3775" s="34" t="s">
        <v>13717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>
      <c r="A3776" s="40">
        <f t="shared" si="63"/>
        <v>3775</v>
      </c>
      <c r="B3776" s="34" t="s">
        <v>8</v>
      </c>
      <c r="C3776" s="34" t="s">
        <v>13011</v>
      </c>
      <c r="D3776" s="8" t="s">
        <v>13004</v>
      </c>
      <c r="F3776" s="8" t="s">
        <v>13000</v>
      </c>
      <c r="G3776" s="34" t="s">
        <v>13</v>
      </c>
      <c r="H3776" s="34" t="str">
        <f>IFERROR(VLOOKUP(Table2[[#This Row], [Ticket]],Okey!A:B,2,0),"")</f>
        <v/>
      </c>
      <c r="I3776" s="34" t="s">
        <v>13717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>
      <c r="A3777" s="40">
        <f t="shared" si="63"/>
        <v>3776</v>
      </c>
      <c r="B3777" s="34" t="s">
        <v>8</v>
      </c>
      <c r="C3777" s="34" t="s">
        <v>13011</v>
      </c>
      <c r="D3777" s="8" t="s">
        <v>13005</v>
      </c>
      <c r="F3777" s="8" t="s">
        <v>13000</v>
      </c>
      <c r="G3777" s="34" t="s">
        <v>13</v>
      </c>
      <c r="H3777" s="34" t="str">
        <f>IFERROR(VLOOKUP(Table2[[#This Row], [Ticket]],Okey!A:B,2,0),"")</f>
        <v/>
      </c>
      <c r="I3777" s="34" t="s">
        <v>13717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>
      <c r="A3778" s="40">
        <f t="shared" si="63"/>
        <v>3777</v>
      </c>
      <c r="B3778" s="34" t="s">
        <v>8</v>
      </c>
      <c r="C3778" s="34" t="s">
        <v>13011</v>
      </c>
      <c r="D3778" s="8" t="s">
        <v>13006</v>
      </c>
      <c r="F3778" s="8" t="s">
        <v>13000</v>
      </c>
      <c r="G3778" s="34" t="s">
        <v>13</v>
      </c>
      <c r="H3778" s="34" t="str">
        <f>IFERROR(VLOOKUP(Table2[[#This Row], [Ticket]],Okey!A:B,2,0),"")</f>
        <v/>
      </c>
      <c r="I3778" s="34" t="s">
        <v>13717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>
      <c r="A3779" s="40">
        <f t="shared" si="63"/>
        <v>3778</v>
      </c>
      <c r="B3779" s="34" t="s">
        <v>8</v>
      </c>
      <c r="C3779" s="34" t="s">
        <v>13011</v>
      </c>
      <c r="D3779" s="8" t="s">
        <v>877</v>
      </c>
      <c r="F3779" s="8" t="s">
        <v>13000</v>
      </c>
      <c r="G3779" s="34" t="s">
        <v>13</v>
      </c>
      <c r="H3779" s="34" t="str">
        <f>IFERROR(VLOOKUP(Table2[[#This Row], [Ticket]],Okey!A:B,2,0),"")</f>
        <v/>
      </c>
      <c r="I3779" s="34" t="s">
        <v>13717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>
      <c r="A3780" s="40">
        <f t="shared" si="63"/>
        <v>3779</v>
      </c>
      <c r="B3780" s="34" t="s">
        <v>8</v>
      </c>
      <c r="C3780" s="34" t="s">
        <v>13011</v>
      </c>
      <c r="D3780" s="8" t="s">
        <v>3856</v>
      </c>
      <c r="F3780" s="8" t="s">
        <v>13000</v>
      </c>
      <c r="G3780" s="34" t="s">
        <v>13</v>
      </c>
      <c r="H3780" s="34" t="str">
        <f>IFERROR(VLOOKUP(Table2[[#This Row], [Ticket]],Okey!A:B,2,0),"")</f>
        <v/>
      </c>
      <c r="I3780" s="34" t="s">
        <v>13717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>
      <c r="A3781" s="40">
        <f t="shared" si="63"/>
        <v>3780</v>
      </c>
      <c r="B3781" s="34" t="s">
        <v>8</v>
      </c>
      <c r="C3781" s="34" t="s">
        <v>13011</v>
      </c>
      <c r="D3781" s="8" t="s">
        <v>13007</v>
      </c>
      <c r="F3781" s="8" t="s">
        <v>13000</v>
      </c>
      <c r="G3781" s="34" t="s">
        <v>13</v>
      </c>
      <c r="H3781" s="34" t="str">
        <f>IFERROR(VLOOKUP(Table2[[#This Row], [Ticket]],Okey!A:B,2,0),"")</f>
        <v/>
      </c>
      <c r="I3781" s="34" t="s">
        <v>13717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>
      <c r="A3782" s="40">
        <f t="shared" si="63"/>
        <v>3781</v>
      </c>
      <c r="B3782" s="34" t="s">
        <v>8</v>
      </c>
      <c r="C3782" s="34" t="s">
        <v>13011</v>
      </c>
      <c r="D3782" s="8" t="s">
        <v>13008</v>
      </c>
      <c r="F3782" s="8" t="s">
        <v>13000</v>
      </c>
      <c r="G3782" s="34" t="s">
        <v>13</v>
      </c>
      <c r="H3782" s="34" t="str">
        <f>IFERROR(VLOOKUP(Table2[[#This Row], [Ticket]],Okey!A:B,2,0),"")</f>
        <v/>
      </c>
      <c r="I3782" s="34" t="s">
        <v>13717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>
      <c r="A3783" s="40">
        <f t="shared" si="63"/>
        <v>3782</v>
      </c>
      <c r="B3783" s="34" t="s">
        <v>8</v>
      </c>
      <c r="C3783" s="34" t="s">
        <v>13011</v>
      </c>
      <c r="D3783" s="8" t="s">
        <v>873</v>
      </c>
      <c r="F3783" s="8" t="s">
        <v>13000</v>
      </c>
      <c r="G3783" s="34" t="s">
        <v>13</v>
      </c>
      <c r="H3783" s="34" t="str">
        <f>IFERROR(VLOOKUP(Table2[[#This Row], [Ticket]],Okey!A:B,2,0),"")</f>
        <v/>
      </c>
      <c r="I3783" s="34" t="s">
        <v>13717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>
      <c r="A3784" s="40">
        <f t="shared" si="63"/>
        <v>3783</v>
      </c>
      <c r="B3784" s="34" t="s">
        <v>8</v>
      </c>
      <c r="C3784" s="34" t="s">
        <v>13011</v>
      </c>
      <c r="D3784" s="8" t="s">
        <v>13009</v>
      </c>
      <c r="F3784" s="8" t="s">
        <v>13000</v>
      </c>
      <c r="G3784" s="34" t="s">
        <v>13</v>
      </c>
      <c r="H3784" s="34" t="str">
        <f>IFERROR(VLOOKUP(Table2[[#This Row], [Ticket]],Okey!A:B,2,0),"")</f>
        <v/>
      </c>
      <c r="I3784" s="34" t="s">
        <v>13717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>
      <c r="A3785" s="40">
        <f t="shared" si="63"/>
        <v>3784</v>
      </c>
      <c r="B3785" s="34" t="s">
        <v>8</v>
      </c>
      <c r="C3785" s="34" t="s">
        <v>13011</v>
      </c>
      <c r="D3785" s="8" t="s">
        <v>3852</v>
      </c>
      <c r="F3785" s="8" t="s">
        <v>13000</v>
      </c>
      <c r="G3785" s="34" t="s">
        <v>13</v>
      </c>
      <c r="H3785" s="34" t="str">
        <f>IFERROR(VLOOKUP(Table2[[#This Row], [Ticket]],Okey!A:B,2,0),"")</f>
        <v/>
      </c>
      <c r="I3785" s="34" t="s">
        <v>13717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>
      <c r="A3786" s="40">
        <f t="shared" si="63"/>
        <v>3785</v>
      </c>
      <c r="B3786" s="34" t="s">
        <v>8</v>
      </c>
      <c r="C3786" s="34" t="s">
        <v>13011</v>
      </c>
      <c r="D3786" s="8" t="s">
        <v>13010</v>
      </c>
      <c r="F3786" s="8" t="s">
        <v>13000</v>
      </c>
      <c r="G3786" s="34" t="s">
        <v>13</v>
      </c>
      <c r="H3786" s="34" t="str">
        <f>IFERROR(VLOOKUP(Table2[[#This Row], [Ticket]],Okey!A:B,2,0),"")</f>
        <v/>
      </c>
      <c r="I3786" s="34" t="s">
        <v>13717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>
      <c r="A3787" s="40">
        <f t="shared" si="63"/>
        <v>3786</v>
      </c>
      <c r="B3787" s="34" t="s">
        <v>8</v>
      </c>
      <c r="C3787" s="34" t="s">
        <v>13011</v>
      </c>
      <c r="D3787" s="8" t="s">
        <v>8122</v>
      </c>
      <c r="F3787" s="8" t="s">
        <v>13000</v>
      </c>
      <c r="G3787" s="34" t="s">
        <v>13</v>
      </c>
      <c r="H3787" s="34" t="str">
        <f>IFERROR(VLOOKUP(Table2[[#This Row], [Ticket]],Okey!A:B,2,0),"")</f>
        <v/>
      </c>
      <c r="I3787" s="34" t="s">
        <v>13717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>
      <c r="A3788" s="40">
        <f t="shared" si="63"/>
        <v>3787</v>
      </c>
      <c r="B3788" s="34" t="s">
        <v>8</v>
      </c>
      <c r="C3788" s="34" t="s">
        <v>13011</v>
      </c>
      <c r="D3788" s="8" t="s">
        <v>8124</v>
      </c>
      <c r="F3788" s="8" t="s">
        <v>13000</v>
      </c>
      <c r="G3788" s="34" t="s">
        <v>13</v>
      </c>
      <c r="H3788" s="34" t="str">
        <f>IFERROR(VLOOKUP(Table2[[#This Row], [Ticket]],Okey!A:B,2,0),"")</f>
        <v/>
      </c>
      <c r="I3788" s="34" t="s">
        <v>13717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>
      <c r="A3789" s="40">
        <f t="shared" si="63"/>
        <v>3788</v>
      </c>
      <c r="B3789" s="34" t="s">
        <v>8</v>
      </c>
      <c r="C3789" s="34" t="s">
        <v>13011</v>
      </c>
      <c r="D3789" s="8" t="s">
        <v>8119</v>
      </c>
      <c r="F3789" s="8" t="s">
        <v>13000</v>
      </c>
      <c r="G3789" s="34" t="s">
        <v>13</v>
      </c>
      <c r="H3789" s="34" t="str">
        <f>IFERROR(VLOOKUP(Table2[[#This Row], [Ticket]],Okey!A:B,2,0),"")</f>
        <v/>
      </c>
      <c r="I3789" s="34" t="s">
        <v>13717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>
      <c r="A3790" s="40">
        <f t="shared" si="63"/>
        <v>3789</v>
      </c>
      <c r="B3790" s="34" t="s">
        <v>8</v>
      </c>
      <c r="C3790" s="34" t="s">
        <v>13011</v>
      </c>
      <c r="D3790" s="8" t="s">
        <v>8123</v>
      </c>
      <c r="F3790" s="8" t="s">
        <v>13000</v>
      </c>
      <c r="G3790" s="34" t="s">
        <v>13</v>
      </c>
      <c r="H3790" s="34" t="str">
        <f>IFERROR(VLOOKUP(Table2[[#This Row], [Ticket]],Okey!A:B,2,0),"")</f>
        <v/>
      </c>
      <c r="I3790" s="34" t="s">
        <v>13717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>
      <c r="A3791" s="40">
        <f t="shared" si="63"/>
        <v>3790</v>
      </c>
      <c r="B3791" s="34" t="s">
        <v>8</v>
      </c>
      <c r="C3791" s="34" t="s">
        <v>13011</v>
      </c>
      <c r="D3791" s="8" t="s">
        <v>8125</v>
      </c>
      <c r="F3791" s="8" t="s">
        <v>13000</v>
      </c>
      <c r="G3791" s="34" t="s">
        <v>13</v>
      </c>
      <c r="H3791" s="34" t="str">
        <f>IFERROR(VLOOKUP(Table2[[#This Row], [Ticket]],Okey!A:B,2,0),"")</f>
        <v/>
      </c>
      <c r="I3791" s="34" t="s">
        <v>13717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>
      <c r="A3792" s="40">
        <f t="shared" si="63"/>
        <v>3791</v>
      </c>
      <c r="B3792" s="34" t="s">
        <v>8</v>
      </c>
      <c r="C3792" s="34" t="s">
        <v>13011</v>
      </c>
      <c r="D3792" s="8" t="s">
        <v>8120</v>
      </c>
      <c r="F3792" s="8" t="s">
        <v>13000</v>
      </c>
      <c r="G3792" s="34" t="s">
        <v>13</v>
      </c>
      <c r="H3792" s="34" t="str">
        <f>IFERROR(VLOOKUP(Table2[[#This Row], [Ticket]],Okey!A:B,2,0),"")</f>
        <v/>
      </c>
      <c r="I3792" s="34" t="s">
        <v>13717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>
      <c r="A3793" s="40">
        <f t="shared" si="63"/>
        <v>3792</v>
      </c>
      <c r="B3793" s="34" t="s">
        <v>8</v>
      </c>
      <c r="C3793" s="34" t="s">
        <v>13011</v>
      </c>
      <c r="D3793" s="8" t="s">
        <v>7187</v>
      </c>
      <c r="F3793" s="8" t="s">
        <v>13000</v>
      </c>
      <c r="G3793" s="34" t="s">
        <v>13</v>
      </c>
      <c r="H3793" s="34" t="str">
        <f>IFERROR(VLOOKUP(Table2[[#This Row], [Ticket]],Okey!A:B,2,0),"")</f>
        <v/>
      </c>
      <c r="I3793" s="34" t="s">
        <v>13717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>
      <c r="A3794" s="40">
        <f t="shared" si="63"/>
        <v>3793</v>
      </c>
      <c r="B3794" s="34" t="s">
        <v>8</v>
      </c>
      <c r="C3794" s="34" t="s">
        <v>13011</v>
      </c>
      <c r="D3794" s="8" t="s">
        <v>7188</v>
      </c>
      <c r="F3794" s="8" t="s">
        <v>13000</v>
      </c>
      <c r="G3794" s="34" t="s">
        <v>13</v>
      </c>
      <c r="H3794" s="34" t="str">
        <f>IFERROR(VLOOKUP(Table2[[#This Row], [Ticket]],Okey!A:B,2,0),"")</f>
        <v/>
      </c>
      <c r="I3794" s="34" t="s">
        <v>13717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>
      <c r="A3795" s="40">
        <f t="shared" si="63"/>
        <v>3794</v>
      </c>
      <c r="B3795" s="34" t="s">
        <v>8</v>
      </c>
      <c r="C3795" s="34" t="s">
        <v>13011</v>
      </c>
      <c r="D3795" s="8" t="s">
        <v>7191</v>
      </c>
      <c r="F3795" s="8" t="s">
        <v>13000</v>
      </c>
      <c r="G3795" s="34" t="s">
        <v>13</v>
      </c>
      <c r="H3795" s="34" t="str">
        <f>IFERROR(VLOOKUP(Table2[[#This Row], [Ticket]],Okey!A:B,2,0),"")</f>
        <v/>
      </c>
      <c r="I3795" s="34" t="s">
        <v>13717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>
      <c r="A3796" s="40">
        <f t="shared" si="63"/>
        <v>3795</v>
      </c>
      <c r="B3796" s="34" t="s">
        <v>8</v>
      </c>
      <c r="C3796" s="34" t="s">
        <v>13011</v>
      </c>
      <c r="D3796" s="8" t="s">
        <v>8121</v>
      </c>
      <c r="F3796" s="8" t="s">
        <v>13000</v>
      </c>
      <c r="G3796" s="34" t="s">
        <v>13</v>
      </c>
      <c r="H3796" s="34" t="str">
        <f>IFERROR(VLOOKUP(Table2[[#This Row], [Ticket]],Okey!A:B,2,0),"")</f>
        <v/>
      </c>
      <c r="I3796" s="34" t="s">
        <v>13717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>
      <c r="A3797" s="40">
        <f t="shared" si="63"/>
        <v>3796</v>
      </c>
      <c r="B3797" s="34" t="s">
        <v>8</v>
      </c>
      <c r="C3797" s="34" t="s">
        <v>13011</v>
      </c>
      <c r="D3797" s="8" t="s">
        <v>8116</v>
      </c>
      <c r="F3797" s="8" t="s">
        <v>13000</v>
      </c>
      <c r="G3797" s="34" t="s">
        <v>13</v>
      </c>
      <c r="H3797" s="34" t="str">
        <f>IFERROR(VLOOKUP(Table2[[#This Row], [Ticket]],Okey!A:B,2,0),"")</f>
        <v/>
      </c>
      <c r="I3797" s="34" t="s">
        <v>13717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>
      <c r="A3798" s="40">
        <f t="shared" si="63"/>
        <v>3797</v>
      </c>
      <c r="B3798" s="34" t="s">
        <v>8</v>
      </c>
      <c r="C3798" s="34" t="s">
        <v>13011</v>
      </c>
      <c r="D3798" s="8" t="s">
        <v>8117</v>
      </c>
      <c r="F3798" s="8" t="s">
        <v>13000</v>
      </c>
      <c r="G3798" s="34" t="s">
        <v>13</v>
      </c>
      <c r="H3798" s="34" t="str">
        <f>IFERROR(VLOOKUP(Table2[[#This Row], [Ticket]],Okey!A:B,2,0),"")</f>
        <v/>
      </c>
      <c r="I3798" s="34" t="s">
        <v>13717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>
      <c r="A3799" s="40">
        <f t="shared" si="63"/>
        <v>3798</v>
      </c>
      <c r="B3799" s="34" t="s">
        <v>8</v>
      </c>
      <c r="C3799" s="34" t="s">
        <v>13011</v>
      </c>
      <c r="D3799" s="8" t="s">
        <v>8118</v>
      </c>
      <c r="F3799" s="8" t="s">
        <v>13000</v>
      </c>
      <c r="G3799" s="34" t="s">
        <v>13</v>
      </c>
      <c r="H3799" s="34" t="str">
        <f>IFERROR(VLOOKUP(Table2[[#This Row], [Ticket]],Okey!A:B,2,0),"")</f>
        <v/>
      </c>
      <c r="I3799" s="34" t="s">
        <v>13717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>
      <c r="A3800" s="40">
        <f t="shared" si="63"/>
        <v>3799</v>
      </c>
      <c r="B3800" s="34" t="s">
        <v>8</v>
      </c>
      <c r="C3800" s="8" t="s">
        <v>13013</v>
      </c>
      <c r="D3800" s="112" t="s">
        <v>365</v>
      </c>
      <c r="E3800" s="113" t="s">
        <v>13012</v>
      </c>
      <c r="F3800" s="114" t="s">
        <v>583</v>
      </c>
      <c r="G3800" s="8" t="s">
        <v>16</v>
      </c>
      <c r="H3800" s="34" t="str">
        <f>IFERROR(VLOOKUP(Table2[[#This Row], [Ticket]],Okey!A:B,2,0),"")</f>
        <v/>
      </c>
      <c r="I3800" s="34" t="s">
        <v>13717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>
      <c r="A3801" s="40">
        <f t="shared" ref="A3801:A3864" si="64">1+A3800</f>
        <v>3800</v>
      </c>
      <c r="B3801" s="34" t="s">
        <v>8</v>
      </c>
      <c r="C3801" s="8" t="s">
        <v>13069</v>
      </c>
      <c r="D3801" s="8" t="s">
        <v>13066</v>
      </c>
      <c r="F3801" s="8" t="s">
        <v>13068</v>
      </c>
      <c r="G3801" s="8" t="s">
        <v>13</v>
      </c>
      <c r="H3801" s="34" t="str">
        <f>IFERROR(VLOOKUP(Table2[[#This Row], [Ticket]],Okey!A:B,2,0),"")</f>
        <v/>
      </c>
      <c r="I3801" s="34" t="s">
        <v>13065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>
      <c r="A3802" s="40">
        <f t="shared" si="64"/>
        <v>3801</v>
      </c>
      <c r="B3802" s="34" t="s">
        <v>8</v>
      </c>
      <c r="C3802" s="8" t="s">
        <v>13069</v>
      </c>
      <c r="D3802" s="8" t="s">
        <v>13067</v>
      </c>
      <c r="F3802" s="8" t="s">
        <v>9652</v>
      </c>
      <c r="G3802" s="34" t="s">
        <v>13</v>
      </c>
      <c r="H3802" s="34" t="str">
        <f>IFERROR(VLOOKUP(Table2[[#This Row], [Ticket]],Okey!A:B,2,0),"")</f>
        <v/>
      </c>
      <c r="I3802" s="34" t="s">
        <v>13065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>
      <c r="A3803" s="40">
        <f t="shared" si="64"/>
        <v>3802</v>
      </c>
      <c r="B3803" s="34" t="s">
        <v>8</v>
      </c>
      <c r="C3803" s="8" t="s">
        <v>13070</v>
      </c>
      <c r="D3803" s="34" t="s">
        <v>13254</v>
      </c>
      <c r="E3803" s="8" t="s">
        <v>13071</v>
      </c>
      <c r="F3803" s="8" t="s">
        <v>3655</v>
      </c>
      <c r="G3803" s="8" t="s">
        <v>14</v>
      </c>
      <c r="H3803" s="34" t="str">
        <f>IFERROR(VLOOKUP(Table2[[#This Row], [Ticket]],Okey!A:B,2,0),"")</f>
        <v/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>
      <c r="A3804" s="40">
        <f t="shared" si="64"/>
        <v>3803</v>
      </c>
      <c r="B3804" s="34" t="s">
        <v>8</v>
      </c>
      <c r="C3804" s="34" t="s">
        <v>13070</v>
      </c>
      <c r="D3804" s="34" t="s">
        <v>13255</v>
      </c>
      <c r="E3804" s="8" t="s">
        <v>13072</v>
      </c>
      <c r="F3804" s="34" t="s">
        <v>3655</v>
      </c>
      <c r="G3804" s="34" t="s">
        <v>14</v>
      </c>
      <c r="H3804" s="34" t="str">
        <f>IFERROR(VLOOKUP(Table2[[#This Row], [Ticket]],Okey!A:B,2,0),"")</f>
        <v/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>
      <c r="A3805" s="40">
        <f t="shared" si="64"/>
        <v>3804</v>
      </c>
      <c r="B3805" s="34" t="s">
        <v>8</v>
      </c>
      <c r="C3805" s="34" t="s">
        <v>13070</v>
      </c>
      <c r="D3805" s="34" t="s">
        <v>13256</v>
      </c>
      <c r="E3805" s="8" t="s">
        <v>13073</v>
      </c>
      <c r="F3805" s="8" t="s">
        <v>9849</v>
      </c>
      <c r="G3805" s="34" t="s">
        <v>14</v>
      </c>
      <c r="H3805" s="34" t="str">
        <f>IFERROR(VLOOKUP(Table2[[#This Row], [Ticket]],Okey!A:B,2,0),"")</f>
        <v/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>
      <c r="A3806" s="40">
        <f t="shared" si="64"/>
        <v>3805</v>
      </c>
      <c r="B3806" s="34" t="s">
        <v>8</v>
      </c>
      <c r="C3806" s="34" t="s">
        <v>13070</v>
      </c>
      <c r="D3806" s="34" t="s">
        <v>13257</v>
      </c>
      <c r="E3806" s="8" t="s">
        <v>13074</v>
      </c>
      <c r="F3806" s="8" t="s">
        <v>13256</v>
      </c>
      <c r="G3806" s="34" t="s">
        <v>14</v>
      </c>
      <c r="H3806" s="34" t="str">
        <f>IFERROR(VLOOKUP(Table2[[#This Row], [Ticket]],Okey!A:B,2,0),"")</f>
        <v/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>
      <c r="A3807" s="40">
        <f t="shared" si="64"/>
        <v>3806</v>
      </c>
      <c r="B3807" s="34" t="s">
        <v>8</v>
      </c>
      <c r="C3807" s="34" t="s">
        <v>13070</v>
      </c>
      <c r="D3807" s="34" t="s">
        <v>13258</v>
      </c>
      <c r="E3807" s="8" t="s">
        <v>13075</v>
      </c>
      <c r="F3807" s="34" t="s">
        <v>13256</v>
      </c>
      <c r="G3807" s="34" t="s">
        <v>14</v>
      </c>
      <c r="H3807" s="34" t="str">
        <f>IFERROR(VLOOKUP(Table2[[#This Row], [Ticket]],Okey!A:B,2,0),"")</f>
        <v/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>
      <c r="A3808" s="40">
        <f t="shared" si="64"/>
        <v>3807</v>
      </c>
      <c r="B3808" s="34" t="s">
        <v>8</v>
      </c>
      <c r="C3808" s="34" t="s">
        <v>13070</v>
      </c>
      <c r="D3808" s="34" t="s">
        <v>13259</v>
      </c>
      <c r="E3808" s="8" t="s">
        <v>13076</v>
      </c>
      <c r="F3808" s="34" t="s">
        <v>13256</v>
      </c>
      <c r="G3808" s="34" t="s">
        <v>14</v>
      </c>
      <c r="H3808" s="34" t="str">
        <f>IFERROR(VLOOKUP(Table2[[#This Row], [Ticket]],Okey!A:B,2,0),"")</f>
        <v/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>
      <c r="A3809" s="40">
        <f t="shared" si="64"/>
        <v>3808</v>
      </c>
      <c r="B3809" s="34" t="s">
        <v>8</v>
      </c>
      <c r="C3809" s="34" t="s">
        <v>13070</v>
      </c>
      <c r="D3809" s="34" t="s">
        <v>13260</v>
      </c>
      <c r="E3809" s="8" t="s">
        <v>13077</v>
      </c>
      <c r="F3809" s="34" t="s">
        <v>13256</v>
      </c>
      <c r="G3809" s="34" t="s">
        <v>14</v>
      </c>
      <c r="H3809" s="34" t="str">
        <f>IFERROR(VLOOKUP(Table2[[#This Row], [Ticket]],Okey!A:B,2,0),"")</f>
        <v/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>
      <c r="A3810" s="40">
        <f t="shared" si="64"/>
        <v>3809</v>
      </c>
      <c r="B3810" s="34" t="s">
        <v>8</v>
      </c>
      <c r="C3810" s="34" t="s">
        <v>13070</v>
      </c>
      <c r="D3810" s="34" t="s">
        <v>13261</v>
      </c>
      <c r="E3810" s="8" t="s">
        <v>13078</v>
      </c>
      <c r="F3810" s="34" t="s">
        <v>13256</v>
      </c>
      <c r="G3810" s="34" t="s">
        <v>14</v>
      </c>
      <c r="H3810" s="34" t="str">
        <f>IFERROR(VLOOKUP(Table2[[#This Row], [Ticket]],Okey!A:B,2,0),"")</f>
        <v/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>
      <c r="A3811" s="40">
        <f t="shared" si="64"/>
        <v>3810</v>
      </c>
      <c r="B3811" s="34" t="s">
        <v>8</v>
      </c>
      <c r="C3811" s="34" t="s">
        <v>13070</v>
      </c>
      <c r="D3811" s="34" t="s">
        <v>13262</v>
      </c>
      <c r="E3811" s="8" t="s">
        <v>13079</v>
      </c>
      <c r="F3811" s="34" t="s">
        <v>13256</v>
      </c>
      <c r="G3811" s="34" t="s">
        <v>14</v>
      </c>
      <c r="H3811" s="34" t="str">
        <f>IFERROR(VLOOKUP(Table2[[#This Row], [Ticket]],Okey!A:B,2,0),"")</f>
        <v/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>
      <c r="A3812" s="40">
        <f t="shared" si="64"/>
        <v>3811</v>
      </c>
      <c r="B3812" s="34" t="s">
        <v>8</v>
      </c>
      <c r="C3812" s="34" t="s">
        <v>13070</v>
      </c>
      <c r="D3812" s="34" t="s">
        <v>13263</v>
      </c>
      <c r="E3812" s="8" t="s">
        <v>13080</v>
      </c>
      <c r="F3812" s="34" t="s">
        <v>13256</v>
      </c>
      <c r="G3812" s="34" t="s">
        <v>14</v>
      </c>
      <c r="H3812" s="34" t="str">
        <f>IFERROR(VLOOKUP(Table2[[#This Row], [Ticket]],Okey!A:B,2,0),"")</f>
        <v/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>
      <c r="A3813" s="40">
        <f t="shared" si="64"/>
        <v>3812</v>
      </c>
      <c r="B3813" s="34" t="s">
        <v>8</v>
      </c>
      <c r="C3813" s="34" t="s">
        <v>13070</v>
      </c>
      <c r="D3813" s="34" t="s">
        <v>13264</v>
      </c>
      <c r="E3813" s="8" t="s">
        <v>13081</v>
      </c>
      <c r="F3813" s="34" t="s">
        <v>13256</v>
      </c>
      <c r="G3813" s="34" t="s">
        <v>14</v>
      </c>
      <c r="H3813" s="34" t="str">
        <f>IFERROR(VLOOKUP(Table2[[#This Row], [Ticket]],Okey!A:B,2,0),"")</f>
        <v/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>
      <c r="A3814" s="40">
        <f t="shared" si="64"/>
        <v>3813</v>
      </c>
      <c r="B3814" s="34" t="s">
        <v>8</v>
      </c>
      <c r="C3814" s="34" t="s">
        <v>13070</v>
      </c>
      <c r="D3814" s="34" t="s">
        <v>13265</v>
      </c>
      <c r="E3814" s="8" t="s">
        <v>13082</v>
      </c>
      <c r="F3814" s="34" t="s">
        <v>13256</v>
      </c>
      <c r="G3814" s="34" t="s">
        <v>14</v>
      </c>
      <c r="H3814" s="34" t="str">
        <f>IFERROR(VLOOKUP(Table2[[#This Row], [Ticket]],Okey!A:B,2,0),"")</f>
        <v/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>
      <c r="A3815" s="40">
        <f t="shared" si="64"/>
        <v>3814</v>
      </c>
      <c r="B3815" s="34" t="s">
        <v>8</v>
      </c>
      <c r="C3815" s="34" t="s">
        <v>13070</v>
      </c>
      <c r="D3815" s="34" t="s">
        <v>13266</v>
      </c>
      <c r="E3815" s="8" t="s">
        <v>13074</v>
      </c>
      <c r="F3815" s="34" t="s">
        <v>13256</v>
      </c>
      <c r="G3815" s="34" t="s">
        <v>14</v>
      </c>
      <c r="H3815" s="34" t="str">
        <f>IFERROR(VLOOKUP(Table2[[#This Row], [Ticket]],Okey!A:B,2,0),"")</f>
        <v/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>
      <c r="A3816" s="40">
        <f t="shared" si="64"/>
        <v>3815</v>
      </c>
      <c r="B3816" s="34" t="s">
        <v>8</v>
      </c>
      <c r="C3816" s="34" t="s">
        <v>13070</v>
      </c>
      <c r="D3816" s="34" t="s">
        <v>13267</v>
      </c>
      <c r="E3816" s="8" t="s">
        <v>13083</v>
      </c>
      <c r="F3816" s="8" t="s">
        <v>11538</v>
      </c>
      <c r="G3816" s="34" t="s">
        <v>14</v>
      </c>
      <c r="H3816" s="34" t="str">
        <f>IFERROR(VLOOKUP(Table2[[#This Row], [Ticket]],Okey!A:B,2,0),"")</f>
        <v/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>
      <c r="A3817" s="40">
        <f t="shared" si="64"/>
        <v>3816</v>
      </c>
      <c r="B3817" s="34" t="s">
        <v>8</v>
      </c>
      <c r="C3817" s="34" t="s">
        <v>13070</v>
      </c>
      <c r="D3817" s="34" t="s">
        <v>13268</v>
      </c>
      <c r="E3817" s="8" t="s">
        <v>13084</v>
      </c>
      <c r="F3817" s="8" t="s">
        <v>6416</v>
      </c>
      <c r="G3817" s="34" t="s">
        <v>14</v>
      </c>
      <c r="H3817" s="34" t="str">
        <f>IFERROR(VLOOKUP(Table2[[#This Row], [Ticket]],Okey!A:B,2,0),"")</f>
        <v/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>
      <c r="A3818" s="40">
        <f t="shared" si="64"/>
        <v>3817</v>
      </c>
      <c r="B3818" s="34" t="s">
        <v>8</v>
      </c>
      <c r="C3818" s="34" t="s">
        <v>13070</v>
      </c>
      <c r="D3818" s="8" t="s">
        <v>11543</v>
      </c>
      <c r="E3818" s="8" t="s">
        <v>13085</v>
      </c>
      <c r="G3818" s="8" t="s">
        <v>15</v>
      </c>
      <c r="H3818" s="34" t="str">
        <f>IFERROR(VLOOKUP(Table2[[#This Row], [Ticket]],Okey!A:B,2,0),"")</f>
        <v/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>
      <c r="A3819" s="40">
        <f t="shared" si="64"/>
        <v>3818</v>
      </c>
      <c r="B3819" s="34" t="s">
        <v>8</v>
      </c>
      <c r="C3819" s="34" t="s">
        <v>13070</v>
      </c>
      <c r="D3819" s="8" t="s">
        <v>11544</v>
      </c>
      <c r="E3819" s="8" t="s">
        <v>13086</v>
      </c>
      <c r="G3819" s="34" t="s">
        <v>15</v>
      </c>
      <c r="H3819" s="34" t="str">
        <f>IFERROR(VLOOKUP(Table2[[#This Row], [Ticket]],Okey!A:B,2,0),"")</f>
        <v/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>
      <c r="A3820" s="40">
        <f t="shared" si="64"/>
        <v>3819</v>
      </c>
      <c r="B3820" s="34" t="s">
        <v>8</v>
      </c>
      <c r="C3820" s="34" t="s">
        <v>13092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/>
      </c>
      <c r="I3820" s="34" t="s">
        <v>13065</v>
      </c>
      <c r="J3820" s="34" t="str">
        <f>VLOOKUP(Table2[[#This Row],[Author]],People!A:B,2,0)</f>
        <v>EL</v>
      </c>
      <c r="K3820" s="119"/>
      <c r="L3820" s="34"/>
      <c r="M3820" s="34" t="s">
        <v>6104</v>
      </c>
    </row>
    <row r="3821" spans="1:13">
      <c r="A3821" s="40">
        <f t="shared" si="64"/>
        <v>3820</v>
      </c>
      <c r="B3821" s="34" t="s">
        <v>8</v>
      </c>
      <c r="C3821" s="8" t="s">
        <v>13088</v>
      </c>
      <c r="D3821" s="34" t="s">
        <v>13269</v>
      </c>
      <c r="E3821" s="8" t="s">
        <v>13089</v>
      </c>
      <c r="F3821" s="8" t="s">
        <v>10341</v>
      </c>
      <c r="G3821" s="8" t="s">
        <v>14</v>
      </c>
      <c r="H3821" s="34" t="str">
        <f>IFERROR(VLOOKUP(Table2[[#This Row], [Ticket]],Okey!A:B,2,0),"")</f>
        <v/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13091</v>
      </c>
    </row>
    <row r="3822" spans="1:13">
      <c r="A3822" s="40">
        <f t="shared" si="64"/>
        <v>3821</v>
      </c>
      <c r="B3822" s="34" t="s">
        <v>8</v>
      </c>
      <c r="C3822" s="34" t="s">
        <v>13088</v>
      </c>
      <c r="D3822" s="34" t="s">
        <v>13270</v>
      </c>
      <c r="E3822" s="8" t="s">
        <v>13090</v>
      </c>
      <c r="F3822" s="8" t="s">
        <v>10388</v>
      </c>
      <c r="G3822" s="34" t="s">
        <v>14</v>
      </c>
      <c r="H3822" s="34" t="str">
        <f>IFERROR(VLOOKUP(Table2[[#This Row], [Ticket]],Okey!A:B,2,0),"")</f>
        <v/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13091</v>
      </c>
    </row>
    <row r="3823" spans="1:13">
      <c r="A3823" s="40">
        <f t="shared" si="64"/>
        <v>3822</v>
      </c>
      <c r="B3823" s="34" t="s">
        <v>8</v>
      </c>
      <c r="C3823" s="8" t="s">
        <v>13092</v>
      </c>
      <c r="D3823" t="s">
        <v>13277</v>
      </c>
      <c r="E3823" s="8" t="s">
        <v>13093</v>
      </c>
      <c r="F3823" s="8" t="s">
        <v>2995</v>
      </c>
      <c r="G3823" s="34" t="s">
        <v>14</v>
      </c>
      <c r="H3823" s="34" t="str">
        <f>IFERROR(VLOOKUP(Table2[[#This Row], [Ticket]],Okey!A:B,2,0),"")</f>
        <v/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>
      <c r="A3824" s="40">
        <f t="shared" si="64"/>
        <v>3823</v>
      </c>
      <c r="B3824" s="34" t="s">
        <v>8</v>
      </c>
      <c r="C3824" s="34" t="s">
        <v>13092</v>
      </c>
      <c r="D3824" t="s">
        <v>13278</v>
      </c>
      <c r="E3824" s="8" t="s">
        <v>13094</v>
      </c>
      <c r="F3824" s="8" t="s">
        <v>2433</v>
      </c>
      <c r="G3824" s="34" t="s">
        <v>14</v>
      </c>
      <c r="H3824" s="34" t="str">
        <f>IFERROR(VLOOKUP(Table2[[#This Row], [Ticket]],Okey!A:B,2,0),"")</f>
        <v/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>
      <c r="A3825" s="40">
        <f t="shared" si="64"/>
        <v>3824</v>
      </c>
      <c r="B3825" s="34" t="s">
        <v>8</v>
      </c>
      <c r="C3825" s="34" t="s">
        <v>13092</v>
      </c>
      <c r="D3825" t="s">
        <v>13279</v>
      </c>
      <c r="E3825" s="8" t="s">
        <v>13095</v>
      </c>
      <c r="F3825" t="s">
        <v>13278</v>
      </c>
      <c r="G3825" s="34" t="s">
        <v>14</v>
      </c>
      <c r="H3825" s="34" t="str">
        <f>IFERROR(VLOOKUP(Table2[[#This Row], [Ticket]],Okey!A:B,2,0),"")</f>
        <v/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>
      <c r="A3826" s="40">
        <f t="shared" si="64"/>
        <v>3825</v>
      </c>
      <c r="B3826" s="34" t="s">
        <v>8</v>
      </c>
      <c r="C3826" s="34" t="s">
        <v>13092</v>
      </c>
      <c r="D3826" t="s">
        <v>13280</v>
      </c>
      <c r="E3826" s="8" t="s">
        <v>13096</v>
      </c>
      <c r="F3826" s="8" t="s">
        <v>2682</v>
      </c>
      <c r="G3826" s="34" t="s">
        <v>14</v>
      </c>
      <c r="H3826" s="34" t="str">
        <f>IFERROR(VLOOKUP(Table2[[#This Row], [Ticket]],Okey!A:B,2,0),"")</f>
        <v/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>
      <c r="A3827" s="40">
        <f t="shared" si="64"/>
        <v>3826</v>
      </c>
      <c r="B3827" s="34" t="s">
        <v>8</v>
      </c>
      <c r="C3827" s="34" t="s">
        <v>13092</v>
      </c>
      <c r="D3827" t="s">
        <v>13281</v>
      </c>
      <c r="E3827" s="8" t="s">
        <v>13097</v>
      </c>
      <c r="F3827" s="8" t="s">
        <v>8765</v>
      </c>
      <c r="G3827" s="34" t="s">
        <v>14</v>
      </c>
      <c r="H3827" s="34" t="str">
        <f>IFERROR(VLOOKUP(Table2[[#This Row], [Ticket]],Okey!A:B,2,0),"")</f>
        <v/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>
      <c r="A3828" s="40">
        <f t="shared" si="64"/>
        <v>3827</v>
      </c>
      <c r="B3828" s="34" t="s">
        <v>8</v>
      </c>
      <c r="C3828" s="34" t="s">
        <v>13092</v>
      </c>
      <c r="D3828" t="s">
        <v>13282</v>
      </c>
      <c r="E3828" s="8" t="s">
        <v>13098</v>
      </c>
      <c r="F3828" s="8" t="s">
        <v>8765</v>
      </c>
      <c r="G3828" s="34" t="s">
        <v>14</v>
      </c>
      <c r="H3828" s="34" t="str">
        <f>IFERROR(VLOOKUP(Table2[[#This Row], [Ticket]],Okey!A:B,2,0),"")</f>
        <v/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>
      <c r="A3829" s="40">
        <f t="shared" si="64"/>
        <v>3828</v>
      </c>
      <c r="B3829" s="34" t="s">
        <v>8</v>
      </c>
      <c r="C3829" s="34" t="s">
        <v>13092</v>
      </c>
      <c r="D3829" t="s">
        <v>13283</v>
      </c>
      <c r="E3829" s="8" t="s">
        <v>13099</v>
      </c>
      <c r="F3829" s="8" t="s">
        <v>8765</v>
      </c>
      <c r="G3829" s="34" t="s">
        <v>14</v>
      </c>
      <c r="H3829" s="34" t="str">
        <f>IFERROR(VLOOKUP(Table2[[#This Row], [Ticket]],Okey!A:B,2,0),"")</f>
        <v/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>
      <c r="A3830" s="40">
        <f t="shared" si="64"/>
        <v>3829</v>
      </c>
      <c r="B3830" s="34" t="s">
        <v>8</v>
      </c>
      <c r="C3830" s="34" t="s">
        <v>13092</v>
      </c>
      <c r="D3830" t="s">
        <v>13284</v>
      </c>
      <c r="E3830" s="8" t="s">
        <v>13100</v>
      </c>
      <c r="F3830" s="8" t="s">
        <v>8765</v>
      </c>
      <c r="G3830" s="34" t="s">
        <v>14</v>
      </c>
      <c r="H3830" s="34" t="str">
        <f>IFERROR(VLOOKUP(Table2[[#This Row], [Ticket]],Okey!A:B,2,0),"")</f>
        <v/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>
      <c r="A3831" s="40">
        <f t="shared" si="64"/>
        <v>3830</v>
      </c>
      <c r="B3831" s="34" t="s">
        <v>8</v>
      </c>
      <c r="C3831" s="34" t="s">
        <v>13092</v>
      </c>
      <c r="D3831" t="s">
        <v>13285</v>
      </c>
      <c r="E3831" s="8" t="s">
        <v>13101</v>
      </c>
      <c r="F3831" s="8" t="s">
        <v>8765</v>
      </c>
      <c r="G3831" s="34" t="s">
        <v>14</v>
      </c>
      <c r="H3831" s="34" t="str">
        <f>IFERROR(VLOOKUP(Table2[[#This Row], [Ticket]],Okey!A:B,2,0),"")</f>
        <v/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>
      <c r="A3832" s="40">
        <f t="shared" si="64"/>
        <v>3831</v>
      </c>
      <c r="B3832" s="34" t="s">
        <v>8</v>
      </c>
      <c r="C3832" s="34" t="s">
        <v>13092</v>
      </c>
      <c r="D3832" t="s">
        <v>13286</v>
      </c>
      <c r="E3832" s="8" t="s">
        <v>13102</v>
      </c>
      <c r="F3832" s="8" t="s">
        <v>8765</v>
      </c>
      <c r="G3832" s="34" t="s">
        <v>14</v>
      </c>
      <c r="H3832" s="34" t="str">
        <f>IFERROR(VLOOKUP(Table2[[#This Row], [Ticket]],Okey!A:B,2,0),"")</f>
        <v/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>
      <c r="A3833" s="40">
        <f t="shared" si="64"/>
        <v>3832</v>
      </c>
      <c r="B3833" s="34" t="s">
        <v>8</v>
      </c>
      <c r="C3833" s="34" t="s">
        <v>13092</v>
      </c>
      <c r="D3833" t="s">
        <v>13287</v>
      </c>
      <c r="E3833" s="8" t="s">
        <v>13103</v>
      </c>
      <c r="F3833" s="8" t="s">
        <v>8765</v>
      </c>
      <c r="G3833" s="34" t="s">
        <v>14</v>
      </c>
      <c r="H3833" s="34" t="str">
        <f>IFERROR(VLOOKUP(Table2[[#This Row], [Ticket]],Okey!A:B,2,0),"")</f>
        <v/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>
      <c r="A3834" s="40">
        <f t="shared" si="64"/>
        <v>3833</v>
      </c>
      <c r="B3834" s="34" t="s">
        <v>8</v>
      </c>
      <c r="C3834" s="34" t="s">
        <v>13092</v>
      </c>
      <c r="D3834" s="8" t="s">
        <v>2684</v>
      </c>
      <c r="E3834" s="8" t="s">
        <v>13104</v>
      </c>
      <c r="G3834" s="8" t="s">
        <v>15</v>
      </c>
      <c r="H3834" s="34" t="str">
        <f>IFERROR(VLOOKUP(Table2[[#This Row], [Ticket]],Okey!A:B,2,0),"")</f>
        <v/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>
      <c r="A3835" s="40">
        <f t="shared" si="64"/>
        <v>3834</v>
      </c>
      <c r="B3835" s="34" t="s">
        <v>8</v>
      </c>
      <c r="C3835" s="34" t="s">
        <v>13092</v>
      </c>
      <c r="D3835" s="8" t="s">
        <v>4638</v>
      </c>
      <c r="E3835" s="8" t="s">
        <v>13105</v>
      </c>
      <c r="G3835" s="34" t="s">
        <v>15</v>
      </c>
      <c r="H3835" s="34" t="str">
        <f>IFERROR(VLOOKUP(Table2[[#This Row], [Ticket]],Okey!A:B,2,0),"")</f>
        <v/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>
      <c r="A3836" s="40">
        <f t="shared" si="64"/>
        <v>3835</v>
      </c>
      <c r="B3836" s="34" t="s">
        <v>8</v>
      </c>
      <c r="C3836" s="34" t="s">
        <v>13092</v>
      </c>
      <c r="D3836" s="8" t="s">
        <v>4661</v>
      </c>
      <c r="E3836" s="8" t="s">
        <v>13106</v>
      </c>
      <c r="G3836" s="34" t="s">
        <v>15</v>
      </c>
      <c r="H3836" s="34" t="str">
        <f>IFERROR(VLOOKUP(Table2[[#This Row], [Ticket]],Okey!A:B,2,0),"")</f>
        <v/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>
      <c r="A3837" s="40">
        <f t="shared" si="64"/>
        <v>3836</v>
      </c>
      <c r="B3837" s="34" t="s">
        <v>8</v>
      </c>
      <c r="C3837" s="34" t="s">
        <v>13092</v>
      </c>
      <c r="D3837" s="8" t="s">
        <v>4663</v>
      </c>
      <c r="E3837" s="8" t="s">
        <v>13107</v>
      </c>
      <c r="G3837" s="34" t="s">
        <v>15</v>
      </c>
      <c r="H3837" s="34" t="str">
        <f>IFERROR(VLOOKUP(Table2[[#This Row], [Ticket]],Okey!A:B,2,0),"")</f>
        <v/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>
      <c r="A3838" s="40">
        <f t="shared" si="64"/>
        <v>3837</v>
      </c>
      <c r="B3838" s="34" t="s">
        <v>8</v>
      </c>
      <c r="C3838" s="34" t="s">
        <v>13092</v>
      </c>
      <c r="D3838" s="8" t="s">
        <v>8796</v>
      </c>
      <c r="E3838" s="8" t="s">
        <v>13108</v>
      </c>
      <c r="G3838" s="34" t="s">
        <v>15</v>
      </c>
      <c r="H3838" s="34" t="str">
        <f>IFERROR(VLOOKUP(Table2[[#This Row], [Ticket]],Okey!A:B,2,0),"")</f>
        <v/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>
      <c r="A3839" s="40">
        <f t="shared" si="64"/>
        <v>3838</v>
      </c>
      <c r="B3839" s="34" t="s">
        <v>8</v>
      </c>
      <c r="C3839" s="34" t="s">
        <v>13092</v>
      </c>
      <c r="D3839" s="8" t="s">
        <v>8896</v>
      </c>
      <c r="E3839" s="8" t="s">
        <v>13109</v>
      </c>
      <c r="G3839" s="34" t="s">
        <v>15</v>
      </c>
      <c r="H3839" s="34" t="str">
        <f>IFERROR(VLOOKUP(Table2[[#This Row], [Ticket]],Okey!A:B,2,0),"")</f>
        <v/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>
      <c r="A3840" s="40">
        <f t="shared" si="64"/>
        <v>3839</v>
      </c>
      <c r="B3840" s="34" t="s">
        <v>8</v>
      </c>
      <c r="C3840" s="34" t="s">
        <v>13092</v>
      </c>
      <c r="D3840" s="8" t="s">
        <v>8909</v>
      </c>
      <c r="E3840" s="8" t="s">
        <v>13110</v>
      </c>
      <c r="G3840" s="34" t="s">
        <v>15</v>
      </c>
      <c r="H3840" s="34" t="str">
        <f>IFERROR(VLOOKUP(Table2[[#This Row], [Ticket]],Okey!A:B,2,0),"")</f>
        <v/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>
      <c r="A3841" s="40">
        <f t="shared" si="64"/>
        <v>3840</v>
      </c>
      <c r="B3841" s="34" t="s">
        <v>8</v>
      </c>
      <c r="C3841" s="34" t="s">
        <v>13092</v>
      </c>
      <c r="D3841" s="8" t="s">
        <v>4640</v>
      </c>
      <c r="E3841" s="8" t="s">
        <v>13111</v>
      </c>
      <c r="G3841" s="34" t="s">
        <v>15</v>
      </c>
      <c r="H3841" s="34" t="str">
        <f>IFERROR(VLOOKUP(Table2[[#This Row], [Ticket]],Okey!A:B,2,0),"")</f>
        <v/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>
      <c r="A3842" s="40">
        <f t="shared" si="64"/>
        <v>3841</v>
      </c>
      <c r="B3842" s="34" t="s">
        <v>8</v>
      </c>
      <c r="C3842" s="34" t="s">
        <v>13092</v>
      </c>
      <c r="D3842" s="8" t="s">
        <v>4657</v>
      </c>
      <c r="E3842" s="8" t="s">
        <v>13112</v>
      </c>
      <c r="G3842" s="34" t="s">
        <v>15</v>
      </c>
      <c r="H3842" s="34" t="str">
        <f>IFERROR(VLOOKUP(Table2[[#This Row], [Ticket]],Okey!A:B,2,0),"")</f>
        <v/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>
      <c r="A3843" s="40">
        <f t="shared" si="64"/>
        <v>3842</v>
      </c>
      <c r="B3843" s="34" t="s">
        <v>8</v>
      </c>
      <c r="C3843" s="34" t="s">
        <v>13092</v>
      </c>
      <c r="D3843" s="8" t="s">
        <v>4659</v>
      </c>
      <c r="E3843" s="8" t="s">
        <v>13113</v>
      </c>
      <c r="G3843" s="34" t="s">
        <v>15</v>
      </c>
      <c r="H3843" s="34" t="str">
        <f>IFERROR(VLOOKUP(Table2[[#This Row], [Ticket]],Okey!A:B,2,0),"")</f>
        <v/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>
      <c r="A3844" s="40">
        <f t="shared" si="64"/>
        <v>3843</v>
      </c>
      <c r="B3844" s="34" t="s">
        <v>8</v>
      </c>
      <c r="C3844" s="34" t="s">
        <v>13092</v>
      </c>
      <c r="D3844" s="8" t="s">
        <v>5920</v>
      </c>
      <c r="E3844" s="8" t="s">
        <v>13114</v>
      </c>
      <c r="G3844" s="34" t="s">
        <v>15</v>
      </c>
      <c r="H3844" s="34" t="str">
        <f>IFERROR(VLOOKUP(Table2[[#This Row], [Ticket]],Okey!A:B,2,0),"")</f>
        <v/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>
      <c r="A3845" s="40">
        <f t="shared" si="64"/>
        <v>3844</v>
      </c>
      <c r="B3845" s="34" t="s">
        <v>8</v>
      </c>
      <c r="C3845" s="34" t="s">
        <v>13092</v>
      </c>
      <c r="D3845" s="8" t="s">
        <v>8897</v>
      </c>
      <c r="E3845" s="8" t="s">
        <v>13115</v>
      </c>
      <c r="G3845" s="34" t="s">
        <v>15</v>
      </c>
      <c r="H3845" s="34" t="str">
        <f>IFERROR(VLOOKUP(Table2[[#This Row], [Ticket]],Okey!A:B,2,0),"")</f>
        <v/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>
      <c r="A3846" s="40">
        <f t="shared" si="64"/>
        <v>3845</v>
      </c>
      <c r="B3846" s="34" t="s">
        <v>8</v>
      </c>
      <c r="C3846" s="34" t="s">
        <v>13092</v>
      </c>
      <c r="D3846" s="8" t="s">
        <v>8910</v>
      </c>
      <c r="E3846" s="8" t="s">
        <v>13116</v>
      </c>
      <c r="G3846" s="34" t="s">
        <v>15</v>
      </c>
      <c r="H3846" s="34" t="str">
        <f>IFERROR(VLOOKUP(Table2[[#This Row], [Ticket]],Okey!A:B,2,0),"")</f>
        <v/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>
      <c r="A3847" s="40">
        <f t="shared" si="64"/>
        <v>3846</v>
      </c>
      <c r="B3847" s="34" t="s">
        <v>8</v>
      </c>
      <c r="C3847" s="34" t="s">
        <v>13092</v>
      </c>
      <c r="D3847" s="8" t="s">
        <v>4642</v>
      </c>
      <c r="E3847" s="8" t="s">
        <v>13117</v>
      </c>
      <c r="G3847" s="34" t="s">
        <v>15</v>
      </c>
      <c r="H3847" s="34" t="str">
        <f>IFERROR(VLOOKUP(Table2[[#This Row], [Ticket]],Okey!A:B,2,0),"")</f>
        <v/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>
      <c r="A3848" s="40">
        <f t="shared" si="64"/>
        <v>3847</v>
      </c>
      <c r="B3848" s="34" t="s">
        <v>8</v>
      </c>
      <c r="C3848" s="34" t="s">
        <v>13092</v>
      </c>
      <c r="D3848" s="8" t="s">
        <v>4665</v>
      </c>
      <c r="E3848" s="8" t="s">
        <v>13118</v>
      </c>
      <c r="G3848" s="34" t="s">
        <v>15</v>
      </c>
      <c r="H3848" s="34" t="str">
        <f>IFERROR(VLOOKUP(Table2[[#This Row], [Ticket]],Okey!A:B,2,0),"")</f>
        <v/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>
      <c r="A3849" s="40">
        <f t="shared" si="64"/>
        <v>3848</v>
      </c>
      <c r="B3849" s="34" t="s">
        <v>8</v>
      </c>
      <c r="C3849" s="34" t="s">
        <v>13092</v>
      </c>
      <c r="D3849" s="8" t="s">
        <v>4667</v>
      </c>
      <c r="E3849" s="8" t="s">
        <v>13119</v>
      </c>
      <c r="G3849" s="34" t="s">
        <v>15</v>
      </c>
      <c r="H3849" s="34" t="str">
        <f>IFERROR(VLOOKUP(Table2[[#This Row], [Ticket]],Okey!A:B,2,0),"")</f>
        <v/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>
      <c r="A3850" s="40">
        <f t="shared" si="64"/>
        <v>3849</v>
      </c>
      <c r="B3850" s="34" t="s">
        <v>8</v>
      </c>
      <c r="C3850" s="34" t="s">
        <v>13092</v>
      </c>
      <c r="D3850" s="8" t="s">
        <v>8799</v>
      </c>
      <c r="E3850" s="8" t="s">
        <v>13120</v>
      </c>
      <c r="G3850" s="34" t="s">
        <v>15</v>
      </c>
      <c r="H3850" s="34" t="str">
        <f>IFERROR(VLOOKUP(Table2[[#This Row], [Ticket]],Okey!A:B,2,0),"")</f>
        <v/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>
      <c r="A3851" s="40">
        <f t="shared" si="64"/>
        <v>3850</v>
      </c>
      <c r="B3851" s="34" t="s">
        <v>8</v>
      </c>
      <c r="C3851" s="34" t="s">
        <v>13092</v>
      </c>
      <c r="D3851" s="8" t="s">
        <v>8898</v>
      </c>
      <c r="E3851" s="8" t="s">
        <v>13121</v>
      </c>
      <c r="G3851" s="34" t="s">
        <v>15</v>
      </c>
      <c r="H3851" s="34" t="str">
        <f>IFERROR(VLOOKUP(Table2[[#This Row], [Ticket]],Okey!A:B,2,0),"")</f>
        <v/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>
      <c r="A3852" s="40">
        <f t="shared" si="64"/>
        <v>3851</v>
      </c>
      <c r="B3852" s="34" t="s">
        <v>8</v>
      </c>
      <c r="C3852" s="34" t="s">
        <v>13092</v>
      </c>
      <c r="D3852" s="8" t="s">
        <v>8911</v>
      </c>
      <c r="E3852" s="8" t="s">
        <v>13122</v>
      </c>
      <c r="G3852" s="34" t="s">
        <v>15</v>
      </c>
      <c r="H3852" s="34" t="str">
        <f>IFERROR(VLOOKUP(Table2[[#This Row], [Ticket]],Okey!A:B,2,0),"")</f>
        <v/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>
      <c r="A3853" s="40">
        <f t="shared" si="64"/>
        <v>3852</v>
      </c>
      <c r="B3853" s="34" t="s">
        <v>8</v>
      </c>
      <c r="C3853" s="34" t="s">
        <v>13092</v>
      </c>
      <c r="D3853" s="8" t="s">
        <v>4644</v>
      </c>
      <c r="E3853" s="8" t="s">
        <v>13123</v>
      </c>
      <c r="G3853" s="34" t="s">
        <v>15</v>
      </c>
      <c r="H3853" s="34" t="str">
        <f>IFERROR(VLOOKUP(Table2[[#This Row], [Ticket]],Okey!A:B,2,0),"")</f>
        <v/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>
      <c r="A3854" s="40">
        <f t="shared" si="64"/>
        <v>3853</v>
      </c>
      <c r="B3854" s="34" t="s">
        <v>8</v>
      </c>
      <c r="C3854" s="34" t="s">
        <v>13092</v>
      </c>
      <c r="D3854" s="8" t="s">
        <v>4669</v>
      </c>
      <c r="E3854" s="8" t="s">
        <v>13124</v>
      </c>
      <c r="G3854" s="34" t="s">
        <v>15</v>
      </c>
      <c r="H3854" s="34" t="str">
        <f>IFERROR(VLOOKUP(Table2[[#This Row], [Ticket]],Okey!A:B,2,0),"")</f>
        <v/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>
      <c r="A3855" s="40">
        <f t="shared" si="64"/>
        <v>3854</v>
      </c>
      <c r="B3855" s="34" t="s">
        <v>8</v>
      </c>
      <c r="C3855" s="34" t="s">
        <v>13092</v>
      </c>
      <c r="D3855" s="8" t="s">
        <v>4671</v>
      </c>
      <c r="E3855" s="8" t="s">
        <v>13125</v>
      </c>
      <c r="G3855" s="34" t="s">
        <v>15</v>
      </c>
      <c r="H3855" s="34" t="str">
        <f>IFERROR(VLOOKUP(Table2[[#This Row], [Ticket]],Okey!A:B,2,0),"")</f>
        <v/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>
      <c r="A3856" s="40">
        <f t="shared" si="64"/>
        <v>3855</v>
      </c>
      <c r="B3856" s="34" t="s">
        <v>8</v>
      </c>
      <c r="C3856" s="34" t="s">
        <v>13092</v>
      </c>
      <c r="D3856" s="8" t="s">
        <v>8801</v>
      </c>
      <c r="E3856" s="8" t="s">
        <v>13126</v>
      </c>
      <c r="G3856" s="34" t="s">
        <v>15</v>
      </c>
      <c r="H3856" s="34" t="str">
        <f>IFERROR(VLOOKUP(Table2[[#This Row], [Ticket]],Okey!A:B,2,0),"")</f>
        <v/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>
      <c r="A3857" s="40">
        <f t="shared" si="64"/>
        <v>3856</v>
      </c>
      <c r="B3857" s="34" t="s">
        <v>8</v>
      </c>
      <c r="C3857" s="34" t="s">
        <v>13092</v>
      </c>
      <c r="D3857" s="8" t="s">
        <v>8899</v>
      </c>
      <c r="E3857" s="8" t="s">
        <v>13127</v>
      </c>
      <c r="G3857" s="34" t="s">
        <v>15</v>
      </c>
      <c r="H3857" s="34" t="str">
        <f>IFERROR(VLOOKUP(Table2[[#This Row], [Ticket]],Okey!A:B,2,0),"")</f>
        <v/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>
      <c r="A3858" s="40">
        <f t="shared" si="64"/>
        <v>3857</v>
      </c>
      <c r="B3858" s="34" t="s">
        <v>8</v>
      </c>
      <c r="C3858" s="34" t="s">
        <v>13092</v>
      </c>
      <c r="D3858" s="8" t="s">
        <v>8912</v>
      </c>
      <c r="E3858" s="8" t="s">
        <v>13128</v>
      </c>
      <c r="G3858" s="34" t="s">
        <v>15</v>
      </c>
      <c r="H3858" s="34" t="str">
        <f>IFERROR(VLOOKUP(Table2[[#This Row], [Ticket]],Okey!A:B,2,0),"")</f>
        <v/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>
      <c r="A3859" s="40">
        <f t="shared" si="64"/>
        <v>3858</v>
      </c>
      <c r="B3859" s="34" t="s">
        <v>8</v>
      </c>
      <c r="C3859" s="34" t="s">
        <v>13092</v>
      </c>
      <c r="D3859" s="8" t="s">
        <v>4646</v>
      </c>
      <c r="E3859" s="8" t="s">
        <v>13129</v>
      </c>
      <c r="G3859" s="34" t="s">
        <v>15</v>
      </c>
      <c r="H3859" s="34" t="str">
        <f>IFERROR(VLOOKUP(Table2[[#This Row], [Ticket]],Okey!A:B,2,0),"")</f>
        <v/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>
      <c r="A3860" s="40">
        <f t="shared" si="64"/>
        <v>3859</v>
      </c>
      <c r="B3860" s="34" t="s">
        <v>8</v>
      </c>
      <c r="C3860" s="34" t="s">
        <v>13092</v>
      </c>
      <c r="D3860" s="8" t="s">
        <v>4673</v>
      </c>
      <c r="E3860" s="8" t="s">
        <v>13130</v>
      </c>
      <c r="G3860" s="34" t="s">
        <v>15</v>
      </c>
      <c r="H3860" s="34" t="str">
        <f>IFERROR(VLOOKUP(Table2[[#This Row], [Ticket]],Okey!A:B,2,0),"")</f>
        <v/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>
      <c r="A3861" s="40">
        <f t="shared" si="64"/>
        <v>3860</v>
      </c>
      <c r="B3861" s="34" t="s">
        <v>8</v>
      </c>
      <c r="C3861" s="34" t="s">
        <v>13092</v>
      </c>
      <c r="D3861" s="8" t="s">
        <v>4675</v>
      </c>
      <c r="E3861" s="8" t="s">
        <v>13131</v>
      </c>
      <c r="G3861" s="34" t="s">
        <v>15</v>
      </c>
      <c r="H3861" s="34" t="str">
        <f>IFERROR(VLOOKUP(Table2[[#This Row], [Ticket]],Okey!A:B,2,0),"")</f>
        <v/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>
      <c r="A3862" s="40">
        <f t="shared" si="64"/>
        <v>3861</v>
      </c>
      <c r="B3862" s="34" t="s">
        <v>8</v>
      </c>
      <c r="C3862" s="34" t="s">
        <v>13092</v>
      </c>
      <c r="D3862" s="8" t="s">
        <v>8803</v>
      </c>
      <c r="E3862" s="8" t="s">
        <v>13132</v>
      </c>
      <c r="G3862" s="34" t="s">
        <v>15</v>
      </c>
      <c r="H3862" s="34" t="str">
        <f>IFERROR(VLOOKUP(Table2[[#This Row], [Ticket]],Okey!A:B,2,0),"")</f>
        <v/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>
      <c r="A3863" s="40">
        <f t="shared" si="64"/>
        <v>3862</v>
      </c>
      <c r="B3863" s="34" t="s">
        <v>8</v>
      </c>
      <c r="C3863" s="34" t="s">
        <v>13092</v>
      </c>
      <c r="D3863" s="8" t="s">
        <v>8900</v>
      </c>
      <c r="E3863" s="8" t="s">
        <v>13133</v>
      </c>
      <c r="G3863" s="34" t="s">
        <v>15</v>
      </c>
      <c r="H3863" s="34" t="str">
        <f>IFERROR(VLOOKUP(Table2[[#This Row], [Ticket]],Okey!A:B,2,0),"")</f>
        <v/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>
      <c r="A3864" s="40">
        <f t="shared" si="64"/>
        <v>3863</v>
      </c>
      <c r="B3864" s="34" t="s">
        <v>8</v>
      </c>
      <c r="C3864" s="34" t="s">
        <v>13092</v>
      </c>
      <c r="D3864" s="8" t="s">
        <v>8913</v>
      </c>
      <c r="E3864" s="8" t="s">
        <v>13134</v>
      </c>
      <c r="G3864" s="34" t="s">
        <v>15</v>
      </c>
      <c r="H3864" s="34" t="str">
        <f>IFERROR(VLOOKUP(Table2[[#This Row], [Ticket]],Okey!A:B,2,0),"")</f>
        <v/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>
      <c r="A3865" s="40">
        <f t="shared" ref="A3865:A3928" si="65">1+A3864</f>
        <v>3864</v>
      </c>
      <c r="B3865" s="34" t="s">
        <v>8</v>
      </c>
      <c r="C3865" s="34" t="s">
        <v>13092</v>
      </c>
      <c r="D3865" s="8" t="s">
        <v>4648</v>
      </c>
      <c r="E3865" s="8" t="s">
        <v>13135</v>
      </c>
      <c r="G3865" s="34" t="s">
        <v>15</v>
      </c>
      <c r="H3865" s="34" t="str">
        <f>IFERROR(VLOOKUP(Table2[[#This Row], [Ticket]],Okey!A:B,2,0),"")</f>
        <v/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>
      <c r="A3866" s="40">
        <f t="shared" si="65"/>
        <v>3865</v>
      </c>
      <c r="B3866" s="34" t="s">
        <v>8</v>
      </c>
      <c r="C3866" s="34" t="s">
        <v>13092</v>
      </c>
      <c r="D3866" s="8" t="s">
        <v>4689</v>
      </c>
      <c r="E3866" s="8" t="s">
        <v>13136</v>
      </c>
      <c r="G3866" s="34" t="s">
        <v>15</v>
      </c>
      <c r="H3866" s="34" t="str">
        <f>IFERROR(VLOOKUP(Table2[[#This Row], [Ticket]],Okey!A:B,2,0),"")</f>
        <v/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>
      <c r="A3867" s="40">
        <f t="shared" si="65"/>
        <v>3866</v>
      </c>
      <c r="B3867" s="34" t="s">
        <v>8</v>
      </c>
      <c r="C3867" s="34" t="s">
        <v>13092</v>
      </c>
      <c r="D3867" s="8" t="s">
        <v>4691</v>
      </c>
      <c r="E3867" s="8" t="s">
        <v>13137</v>
      </c>
      <c r="G3867" s="34" t="s">
        <v>15</v>
      </c>
      <c r="H3867" s="34" t="str">
        <f>IFERROR(VLOOKUP(Table2[[#This Row], [Ticket]],Okey!A:B,2,0),"")</f>
        <v/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>
      <c r="A3868" s="40">
        <f t="shared" si="65"/>
        <v>3867</v>
      </c>
      <c r="B3868" s="34" t="s">
        <v>8</v>
      </c>
      <c r="C3868" s="34" t="s">
        <v>13092</v>
      </c>
      <c r="D3868" s="8" t="s">
        <v>4650</v>
      </c>
      <c r="E3868" s="8" t="s">
        <v>13138</v>
      </c>
      <c r="G3868" s="34" t="s">
        <v>15</v>
      </c>
      <c r="H3868" s="34" t="str">
        <f>IFERROR(VLOOKUP(Table2[[#This Row], [Ticket]],Okey!A:B,2,0),"")</f>
        <v/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>
      <c r="A3869" s="40">
        <f t="shared" si="65"/>
        <v>3868</v>
      </c>
      <c r="B3869" s="34" t="s">
        <v>8</v>
      </c>
      <c r="C3869" s="34" t="s">
        <v>13092</v>
      </c>
      <c r="D3869" s="8" t="s">
        <v>4677</v>
      </c>
      <c r="E3869" s="8" t="s">
        <v>13139</v>
      </c>
      <c r="G3869" s="34" t="s">
        <v>15</v>
      </c>
      <c r="H3869" s="34" t="str">
        <f>IFERROR(VLOOKUP(Table2[[#This Row], [Ticket]],Okey!A:B,2,0),"")</f>
        <v/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>
      <c r="A3870" s="40">
        <f t="shared" si="65"/>
        <v>3869</v>
      </c>
      <c r="B3870" s="34" t="s">
        <v>8</v>
      </c>
      <c r="C3870" s="34" t="s">
        <v>13092</v>
      </c>
      <c r="D3870" s="8" t="s">
        <v>4679</v>
      </c>
      <c r="E3870" s="8" t="s">
        <v>13140</v>
      </c>
      <c r="G3870" s="34" t="s">
        <v>15</v>
      </c>
      <c r="H3870" s="34" t="str">
        <f>IFERROR(VLOOKUP(Table2[[#This Row], [Ticket]],Okey!A:B,2,0),"")</f>
        <v/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>
      <c r="A3871" s="40">
        <f t="shared" si="65"/>
        <v>3870</v>
      </c>
      <c r="B3871" s="34" t="s">
        <v>8</v>
      </c>
      <c r="C3871" s="34" t="s">
        <v>13092</v>
      </c>
      <c r="D3871" s="8" t="s">
        <v>8804</v>
      </c>
      <c r="E3871" s="8" t="s">
        <v>13141</v>
      </c>
      <c r="G3871" s="34" t="s">
        <v>15</v>
      </c>
      <c r="H3871" s="34" t="str">
        <f>IFERROR(VLOOKUP(Table2[[#This Row], [Ticket]],Okey!A:B,2,0),"")</f>
        <v/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>
      <c r="A3872" s="40">
        <f t="shared" si="65"/>
        <v>3871</v>
      </c>
      <c r="B3872" s="34" t="s">
        <v>8</v>
      </c>
      <c r="C3872" s="34" t="s">
        <v>13092</v>
      </c>
      <c r="D3872" s="8" t="s">
        <v>8901</v>
      </c>
      <c r="E3872" s="8" t="s">
        <v>13142</v>
      </c>
      <c r="G3872" s="34" t="s">
        <v>15</v>
      </c>
      <c r="H3872" s="34" t="str">
        <f>IFERROR(VLOOKUP(Table2[[#This Row], [Ticket]],Okey!A:B,2,0),"")</f>
        <v/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>
      <c r="A3873" s="40">
        <f t="shared" si="65"/>
        <v>3872</v>
      </c>
      <c r="B3873" s="34" t="s">
        <v>8</v>
      </c>
      <c r="C3873" s="34" t="s">
        <v>13092</v>
      </c>
      <c r="D3873" s="8" t="s">
        <v>8914</v>
      </c>
      <c r="E3873" s="8" t="s">
        <v>13143</v>
      </c>
      <c r="G3873" s="34" t="s">
        <v>15</v>
      </c>
      <c r="H3873" s="34" t="str">
        <f>IFERROR(VLOOKUP(Table2[[#This Row], [Ticket]],Okey!A:B,2,0),"")</f>
        <v/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>
      <c r="A3874" s="40">
        <f t="shared" si="65"/>
        <v>3873</v>
      </c>
      <c r="B3874" s="34" t="s">
        <v>8</v>
      </c>
      <c r="C3874" s="34" t="s">
        <v>13092</v>
      </c>
      <c r="D3874" s="8" t="s">
        <v>4652</v>
      </c>
      <c r="E3874" s="8" t="s">
        <v>13144</v>
      </c>
      <c r="G3874" s="34" t="s">
        <v>15</v>
      </c>
      <c r="H3874" s="34" t="str">
        <f>IFERROR(VLOOKUP(Table2[[#This Row], [Ticket]],Okey!A:B,2,0),"")</f>
        <v/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>
      <c r="A3875" s="40">
        <f t="shared" si="65"/>
        <v>3874</v>
      </c>
      <c r="B3875" s="34" t="s">
        <v>8</v>
      </c>
      <c r="C3875" s="34" t="s">
        <v>13092</v>
      </c>
      <c r="D3875" s="8" t="s">
        <v>4681</v>
      </c>
      <c r="E3875" s="8" t="s">
        <v>13145</v>
      </c>
      <c r="G3875" s="34" t="s">
        <v>15</v>
      </c>
      <c r="H3875" s="34" t="str">
        <f>IFERROR(VLOOKUP(Table2[[#This Row], [Ticket]],Okey!A:B,2,0),"")</f>
        <v/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>
      <c r="A3876" s="40">
        <f t="shared" si="65"/>
        <v>3875</v>
      </c>
      <c r="B3876" s="34" t="s">
        <v>8</v>
      </c>
      <c r="C3876" s="34" t="s">
        <v>13092</v>
      </c>
      <c r="D3876" s="8" t="s">
        <v>4683</v>
      </c>
      <c r="E3876" s="8" t="s">
        <v>13146</v>
      </c>
      <c r="G3876" s="34" t="s">
        <v>15</v>
      </c>
      <c r="H3876" s="34" t="str">
        <f>IFERROR(VLOOKUP(Table2[[#This Row], [Ticket]],Okey!A:B,2,0),"")</f>
        <v/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>
      <c r="A3877" s="40">
        <f t="shared" si="65"/>
        <v>3876</v>
      </c>
      <c r="B3877" s="34" t="s">
        <v>8</v>
      </c>
      <c r="C3877" s="34" t="s">
        <v>13092</v>
      </c>
      <c r="D3877" s="8" t="s">
        <v>8806</v>
      </c>
      <c r="E3877" s="8" t="s">
        <v>13147</v>
      </c>
      <c r="G3877" s="34" t="s">
        <v>15</v>
      </c>
      <c r="H3877" s="34" t="str">
        <f>IFERROR(VLOOKUP(Table2[[#This Row], [Ticket]],Okey!A:B,2,0),"")</f>
        <v/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>
      <c r="A3878" s="40">
        <f t="shared" si="65"/>
        <v>3877</v>
      </c>
      <c r="B3878" s="34" t="s">
        <v>8</v>
      </c>
      <c r="C3878" s="34" t="s">
        <v>13092</v>
      </c>
      <c r="D3878" s="8" t="s">
        <v>8902</v>
      </c>
      <c r="E3878" s="8" t="s">
        <v>13148</v>
      </c>
      <c r="G3878" s="34" t="s">
        <v>15</v>
      </c>
      <c r="H3878" s="34" t="str">
        <f>IFERROR(VLOOKUP(Table2[[#This Row], [Ticket]],Okey!A:B,2,0),"")</f>
        <v/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>
      <c r="A3879" s="40">
        <f t="shared" si="65"/>
        <v>3878</v>
      </c>
      <c r="B3879" s="34" t="s">
        <v>8</v>
      </c>
      <c r="C3879" s="34" t="s">
        <v>13092</v>
      </c>
      <c r="D3879" s="8" t="s">
        <v>8915</v>
      </c>
      <c r="E3879" s="8" t="s">
        <v>13149</v>
      </c>
      <c r="G3879" s="34" t="s">
        <v>15</v>
      </c>
      <c r="H3879" s="34" t="str">
        <f>IFERROR(VLOOKUP(Table2[[#This Row], [Ticket]],Okey!A:B,2,0),"")</f>
        <v/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>
      <c r="A3880" s="40">
        <f t="shared" si="65"/>
        <v>3879</v>
      </c>
      <c r="B3880" s="34" t="s">
        <v>8</v>
      </c>
      <c r="C3880" s="34" t="s">
        <v>13092</v>
      </c>
      <c r="D3880" s="8" t="s">
        <v>4654</v>
      </c>
      <c r="E3880" s="8" t="s">
        <v>13150</v>
      </c>
      <c r="G3880" s="34" t="s">
        <v>15</v>
      </c>
      <c r="H3880" s="34" t="str">
        <f>IFERROR(VLOOKUP(Table2[[#This Row], [Ticket]],Okey!A:B,2,0),"")</f>
        <v/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>
      <c r="A3881" s="40">
        <f t="shared" si="65"/>
        <v>3880</v>
      </c>
      <c r="B3881" s="34" t="s">
        <v>8</v>
      </c>
      <c r="C3881" s="34" t="s">
        <v>13092</v>
      </c>
      <c r="D3881" s="8" t="s">
        <v>4685</v>
      </c>
      <c r="E3881" s="8" t="s">
        <v>13151</v>
      </c>
      <c r="G3881" s="34" t="s">
        <v>15</v>
      </c>
      <c r="H3881" s="34" t="str">
        <f>IFERROR(VLOOKUP(Table2[[#This Row], [Ticket]],Okey!A:B,2,0),"")</f>
        <v/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>
      <c r="A3882" s="40">
        <f t="shared" si="65"/>
        <v>3881</v>
      </c>
      <c r="B3882" s="34" t="s">
        <v>8</v>
      </c>
      <c r="C3882" s="34" t="s">
        <v>13092</v>
      </c>
      <c r="D3882" s="8" t="s">
        <v>4687</v>
      </c>
      <c r="E3882" s="8" t="s">
        <v>13152</v>
      </c>
      <c r="G3882" s="34" t="s">
        <v>15</v>
      </c>
      <c r="H3882" s="34" t="str">
        <f>IFERROR(VLOOKUP(Table2[[#This Row], [Ticket]],Okey!A:B,2,0),"")</f>
        <v/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>
      <c r="A3883" s="40">
        <f t="shared" si="65"/>
        <v>3882</v>
      </c>
      <c r="B3883" s="34" t="s">
        <v>8</v>
      </c>
      <c r="C3883" s="34" t="s">
        <v>13092</v>
      </c>
      <c r="D3883" s="8" t="s">
        <v>8808</v>
      </c>
      <c r="E3883" s="8" t="s">
        <v>13153</v>
      </c>
      <c r="G3883" s="34" t="s">
        <v>15</v>
      </c>
      <c r="H3883" s="34" t="str">
        <f>IFERROR(VLOOKUP(Table2[[#This Row], [Ticket]],Okey!A:B,2,0),"")</f>
        <v/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>
      <c r="A3884" s="40">
        <f t="shared" si="65"/>
        <v>3883</v>
      </c>
      <c r="B3884" s="34" t="s">
        <v>8</v>
      </c>
      <c r="C3884" s="34" t="s">
        <v>13092</v>
      </c>
      <c r="D3884" s="8" t="s">
        <v>8903</v>
      </c>
      <c r="E3884" s="8" t="s">
        <v>13154</v>
      </c>
      <c r="G3884" s="34" t="s">
        <v>15</v>
      </c>
      <c r="H3884" s="34" t="str">
        <f>IFERROR(VLOOKUP(Table2[[#This Row], [Ticket]],Okey!A:B,2,0),"")</f>
        <v/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>
      <c r="A3885" s="40">
        <f t="shared" si="65"/>
        <v>3884</v>
      </c>
      <c r="B3885" s="34" t="s">
        <v>8</v>
      </c>
      <c r="C3885" s="34" t="s">
        <v>13092</v>
      </c>
      <c r="D3885" s="8" t="s">
        <v>8916</v>
      </c>
      <c r="E3885" s="8" t="s">
        <v>13155</v>
      </c>
      <c r="G3885" s="34" t="s">
        <v>15</v>
      </c>
      <c r="H3885" s="34" t="str">
        <f>IFERROR(VLOOKUP(Table2[[#This Row], [Ticket]],Okey!A:B,2,0),"")</f>
        <v/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>
      <c r="A3886" s="40">
        <f t="shared" si="65"/>
        <v>3885</v>
      </c>
      <c r="B3886" s="34" t="s">
        <v>8</v>
      </c>
      <c r="C3886" s="34" t="s">
        <v>13092</v>
      </c>
      <c r="D3886" s="8" t="s">
        <v>7797</v>
      </c>
      <c r="E3886" s="8" t="s">
        <v>13156</v>
      </c>
      <c r="G3886" s="34" t="s">
        <v>15</v>
      </c>
      <c r="H3886" s="34" t="str">
        <f>IFERROR(VLOOKUP(Table2[[#This Row], [Ticket]],Okey!A:B,2,0),"")</f>
        <v/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>
      <c r="A3887" s="40">
        <f t="shared" si="65"/>
        <v>3886</v>
      </c>
      <c r="B3887" s="34" t="s">
        <v>8</v>
      </c>
      <c r="C3887" s="34" t="s">
        <v>13092</v>
      </c>
      <c r="D3887" s="8" t="s">
        <v>8904</v>
      </c>
      <c r="E3887" s="8" t="s">
        <v>13157</v>
      </c>
      <c r="G3887" s="34" t="s">
        <v>15</v>
      </c>
      <c r="H3887" s="34" t="str">
        <f>IFERROR(VLOOKUP(Table2[[#This Row], [Ticket]],Okey!A:B,2,0),"")</f>
        <v/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>
      <c r="A3888" s="40">
        <f t="shared" si="65"/>
        <v>3887</v>
      </c>
      <c r="B3888" s="34" t="s">
        <v>8</v>
      </c>
      <c r="C3888" s="34" t="s">
        <v>13092</v>
      </c>
      <c r="D3888" s="8" t="s">
        <v>8917</v>
      </c>
      <c r="E3888" s="8" t="s">
        <v>13158</v>
      </c>
      <c r="G3888" s="34" t="s">
        <v>15</v>
      </c>
      <c r="H3888" s="34" t="str">
        <f>IFERROR(VLOOKUP(Table2[[#This Row], [Ticket]],Okey!A:B,2,0),"")</f>
        <v/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>
      <c r="A3889" s="40">
        <f t="shared" si="65"/>
        <v>3888</v>
      </c>
      <c r="B3889" s="34" t="s">
        <v>8</v>
      </c>
      <c r="C3889" s="34" t="s">
        <v>13092</v>
      </c>
      <c r="D3889" s="8" t="s">
        <v>8920</v>
      </c>
      <c r="E3889" s="8" t="s">
        <v>13159</v>
      </c>
      <c r="G3889" s="34" t="s">
        <v>15</v>
      </c>
      <c r="H3889" s="34" t="str">
        <f>IFERROR(VLOOKUP(Table2[[#This Row], [Ticket]],Okey!A:B,2,0),"")</f>
        <v/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>
      <c r="A3890" s="40">
        <f t="shared" si="65"/>
        <v>3889</v>
      </c>
      <c r="B3890" s="34" t="s">
        <v>8</v>
      </c>
      <c r="C3890" s="34" t="s">
        <v>13092</v>
      </c>
      <c r="D3890" s="8" t="s">
        <v>7806</v>
      </c>
      <c r="E3890" s="8" t="s">
        <v>13160</v>
      </c>
      <c r="G3890" s="34" t="s">
        <v>15</v>
      </c>
      <c r="H3890" s="34" t="str">
        <f>IFERROR(VLOOKUP(Table2[[#This Row], [Ticket]],Okey!A:B,2,0),"")</f>
        <v/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>
      <c r="A3891" s="40">
        <f t="shared" si="65"/>
        <v>3890</v>
      </c>
      <c r="B3891" s="34" t="s">
        <v>8</v>
      </c>
      <c r="C3891" s="34" t="s">
        <v>13092</v>
      </c>
      <c r="D3891" s="8" t="s">
        <v>8905</v>
      </c>
      <c r="E3891" s="8" t="s">
        <v>13161</v>
      </c>
      <c r="G3891" s="34" t="s">
        <v>15</v>
      </c>
      <c r="H3891" s="34" t="str">
        <f>IFERROR(VLOOKUP(Table2[[#This Row], [Ticket]],Okey!A:B,2,0),"")</f>
        <v/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>
      <c r="A3892" s="40">
        <f t="shared" si="65"/>
        <v>3891</v>
      </c>
      <c r="B3892" s="34" t="s">
        <v>8</v>
      </c>
      <c r="C3892" s="34" t="s">
        <v>13092</v>
      </c>
      <c r="D3892" s="8" t="s">
        <v>8918</v>
      </c>
      <c r="E3892" s="8" t="s">
        <v>13162</v>
      </c>
      <c r="G3892" s="34" t="s">
        <v>15</v>
      </c>
      <c r="H3892" s="34" t="str">
        <f>IFERROR(VLOOKUP(Table2[[#This Row], [Ticket]],Okey!A:B,2,0),"")</f>
        <v/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>
      <c r="A3893" s="40">
        <f t="shared" si="65"/>
        <v>3892</v>
      </c>
      <c r="B3893" s="34" t="s">
        <v>8</v>
      </c>
      <c r="C3893" s="34" t="s">
        <v>13092</v>
      </c>
      <c r="D3893" s="8" t="s">
        <v>8919</v>
      </c>
      <c r="E3893" s="8" t="s">
        <v>13163</v>
      </c>
      <c r="G3893" s="34" t="s">
        <v>15</v>
      </c>
      <c r="H3893" s="34" t="str">
        <f>IFERROR(VLOOKUP(Table2[[#This Row], [Ticket]],Okey!A:B,2,0),"")</f>
        <v/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>
      <c r="A3894" s="40">
        <f t="shared" si="65"/>
        <v>3893</v>
      </c>
      <c r="B3894" s="34" t="s">
        <v>8</v>
      </c>
      <c r="C3894" s="34" t="s">
        <v>13092</v>
      </c>
      <c r="D3894" s="8" t="s">
        <v>7807</v>
      </c>
      <c r="E3894" s="8" t="s">
        <v>13164</v>
      </c>
      <c r="G3894" s="34" t="s">
        <v>15</v>
      </c>
      <c r="H3894" s="34" t="str">
        <f>IFERROR(VLOOKUP(Table2[[#This Row], [Ticket]],Okey!A:B,2,0),"")</f>
        <v/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>
      <c r="A3895" s="40">
        <f t="shared" si="65"/>
        <v>3894</v>
      </c>
      <c r="B3895" s="34" t="s">
        <v>8</v>
      </c>
      <c r="C3895" s="34" t="s">
        <v>13092</v>
      </c>
      <c r="D3895" s="8" t="s">
        <v>8906</v>
      </c>
      <c r="E3895" s="8" t="s">
        <v>13165</v>
      </c>
      <c r="G3895" s="34" t="s">
        <v>15</v>
      </c>
      <c r="H3895" s="34" t="str">
        <f>IFERROR(VLOOKUP(Table2[[#This Row], [Ticket]],Okey!A:B,2,0),"")</f>
        <v/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>
      <c r="A3896" s="40">
        <f t="shared" si="65"/>
        <v>3895</v>
      </c>
      <c r="B3896" s="34" t="s">
        <v>8</v>
      </c>
      <c r="C3896" s="34" t="s">
        <v>13092</v>
      </c>
      <c r="D3896" s="8" t="s">
        <v>8907</v>
      </c>
      <c r="E3896" s="8" t="s">
        <v>13166</v>
      </c>
      <c r="G3896" s="34" t="s">
        <v>15</v>
      </c>
      <c r="H3896" s="34" t="str">
        <f>IFERROR(VLOOKUP(Table2[[#This Row], [Ticket]],Okey!A:B,2,0),"")</f>
        <v/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>
      <c r="A3897" s="40">
        <f t="shared" si="65"/>
        <v>3896</v>
      </c>
      <c r="B3897" s="34" t="s">
        <v>8</v>
      </c>
      <c r="C3897" s="34" t="s">
        <v>13092</v>
      </c>
      <c r="D3897" s="8" t="s">
        <v>8908</v>
      </c>
      <c r="E3897" s="8" t="s">
        <v>13167</v>
      </c>
      <c r="G3897" s="34" t="s">
        <v>15</v>
      </c>
      <c r="H3897" s="34" t="str">
        <f>IFERROR(VLOOKUP(Table2[[#This Row], [Ticket]],Okey!A:B,2,0),"")</f>
        <v/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>
      <c r="A3898" s="40">
        <f t="shared" si="65"/>
        <v>3897</v>
      </c>
      <c r="B3898" s="34" t="s">
        <v>8</v>
      </c>
      <c r="C3898" s="34" t="s">
        <v>13092</v>
      </c>
      <c r="D3898" s="8" t="s">
        <v>13168</v>
      </c>
      <c r="E3898" s="8" t="s">
        <v>13169</v>
      </c>
      <c r="G3898" s="34" t="s">
        <v>15</v>
      </c>
      <c r="H3898" s="34" t="str">
        <f>IFERROR(VLOOKUP(Table2[[#This Row], [Ticket]],Okey!A:B,2,0),"")</f>
        <v/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>
      <c r="A3899" s="40">
        <f t="shared" si="65"/>
        <v>3898</v>
      </c>
      <c r="B3899" s="34" t="s">
        <v>8</v>
      </c>
      <c r="C3899" s="34" t="s">
        <v>13092</v>
      </c>
      <c r="D3899" s="8" t="s">
        <v>4722</v>
      </c>
      <c r="E3899" s="8" t="s">
        <v>13170</v>
      </c>
      <c r="G3899" s="34" t="s">
        <v>15</v>
      </c>
      <c r="H3899" s="34" t="str">
        <f>IFERROR(VLOOKUP(Table2[[#This Row], [Ticket]],Okey!A:B,2,0),"")</f>
        <v/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>
      <c r="A3900" s="40">
        <f t="shared" si="65"/>
        <v>3899</v>
      </c>
      <c r="B3900" s="34" t="s">
        <v>8</v>
      </c>
      <c r="C3900" s="34" t="s">
        <v>13092</v>
      </c>
      <c r="D3900" s="8" t="s">
        <v>12171</v>
      </c>
      <c r="E3900" s="8" t="s">
        <v>13171</v>
      </c>
      <c r="G3900" s="34" t="s">
        <v>15</v>
      </c>
      <c r="H3900" s="34" t="str">
        <f>IFERROR(VLOOKUP(Table2[[#This Row], [Ticket]],Okey!A:B,2,0),"")</f>
        <v/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>
      <c r="A3901" s="40">
        <f t="shared" si="65"/>
        <v>3900</v>
      </c>
      <c r="B3901" s="34" t="s">
        <v>8</v>
      </c>
      <c r="C3901" s="34" t="s">
        <v>13092</v>
      </c>
      <c r="D3901" s="8" t="s">
        <v>12172</v>
      </c>
      <c r="E3901" s="8" t="s">
        <v>13172</v>
      </c>
      <c r="G3901" s="34" t="s">
        <v>15</v>
      </c>
      <c r="H3901" s="34" t="str">
        <f>IFERROR(VLOOKUP(Table2[[#This Row], [Ticket]],Okey!A:B,2,0),"")</f>
        <v/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>
      <c r="A3902" s="40">
        <f t="shared" si="65"/>
        <v>3901</v>
      </c>
      <c r="B3902" s="34" t="s">
        <v>8</v>
      </c>
      <c r="C3902" s="34" t="s">
        <v>13092</v>
      </c>
      <c r="D3902" s="8" t="s">
        <v>2192</v>
      </c>
      <c r="E3902" s="8" t="s">
        <v>13173</v>
      </c>
      <c r="G3902" s="34" t="s">
        <v>15</v>
      </c>
      <c r="H3902" s="34" t="str">
        <f>IFERROR(VLOOKUP(Table2[[#This Row], [Ticket]],Okey!A:B,2,0),"")</f>
        <v/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>
      <c r="A3903" s="40">
        <f t="shared" si="65"/>
        <v>3902</v>
      </c>
      <c r="B3903" s="34" t="s">
        <v>8</v>
      </c>
      <c r="C3903" s="34" t="s">
        <v>13092</v>
      </c>
      <c r="D3903" s="8" t="s">
        <v>2544</v>
      </c>
      <c r="E3903" s="8" t="s">
        <v>13174</v>
      </c>
      <c r="G3903" s="34" t="s">
        <v>15</v>
      </c>
      <c r="H3903" s="34" t="str">
        <f>IFERROR(VLOOKUP(Table2[[#This Row], [Ticket]],Okey!A:B,2,0),"")</f>
        <v/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>
      <c r="A3904" s="40">
        <f t="shared" si="65"/>
        <v>3903</v>
      </c>
      <c r="B3904" s="34" t="s">
        <v>8</v>
      </c>
      <c r="C3904" s="34" t="s">
        <v>13092</v>
      </c>
      <c r="D3904" s="8" t="s">
        <v>2542</v>
      </c>
      <c r="E3904" s="8" t="s">
        <v>13175</v>
      </c>
      <c r="G3904" s="34" t="s">
        <v>15</v>
      </c>
      <c r="H3904" s="34" t="str">
        <f>IFERROR(VLOOKUP(Table2[[#This Row], [Ticket]],Okey!A:B,2,0),"")</f>
        <v/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>
      <c r="A3905" s="40">
        <f t="shared" si="65"/>
        <v>3904</v>
      </c>
      <c r="B3905" s="34" t="s">
        <v>8</v>
      </c>
      <c r="C3905" s="34" t="s">
        <v>13092</v>
      </c>
      <c r="D3905" s="8" t="s">
        <v>2545</v>
      </c>
      <c r="E3905" s="8" t="s">
        <v>13176</v>
      </c>
      <c r="G3905" s="34" t="s">
        <v>15</v>
      </c>
      <c r="H3905" s="34" t="str">
        <f>IFERROR(VLOOKUP(Table2[[#This Row], [Ticket]],Okey!A:B,2,0),"")</f>
        <v/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>
      <c r="A3906" s="40">
        <f t="shared" si="65"/>
        <v>3905</v>
      </c>
      <c r="B3906" s="34" t="s">
        <v>8</v>
      </c>
      <c r="C3906" s="34" t="s">
        <v>13092</v>
      </c>
      <c r="D3906" s="8" t="s">
        <v>2547</v>
      </c>
      <c r="E3906" s="8" t="s">
        <v>13177</v>
      </c>
      <c r="G3906" s="34" t="s">
        <v>15</v>
      </c>
      <c r="H3906" s="34" t="str">
        <f>IFERROR(VLOOKUP(Table2[[#This Row], [Ticket]],Okey!A:B,2,0),"")</f>
        <v/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>
      <c r="A3907" s="40">
        <f t="shared" si="65"/>
        <v>3906</v>
      </c>
      <c r="B3907" s="34" t="s">
        <v>8</v>
      </c>
      <c r="C3907" s="34" t="s">
        <v>13092</v>
      </c>
      <c r="D3907" s="8" t="s">
        <v>8876</v>
      </c>
      <c r="E3907" s="8" t="s">
        <v>13178</v>
      </c>
      <c r="G3907" s="34" t="s">
        <v>15</v>
      </c>
      <c r="H3907" s="34" t="str">
        <f>IFERROR(VLOOKUP(Table2[[#This Row], [Ticket]],Okey!A:B,2,0),"")</f>
        <v/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>
      <c r="A3908" s="40">
        <f t="shared" si="65"/>
        <v>3907</v>
      </c>
      <c r="B3908" s="34" t="s">
        <v>8</v>
      </c>
      <c r="C3908" s="34" t="s">
        <v>13092</v>
      </c>
      <c r="D3908" s="8" t="s">
        <v>2190</v>
      </c>
      <c r="E3908" s="8" t="s">
        <v>13179</v>
      </c>
      <c r="G3908" s="34" t="s">
        <v>15</v>
      </c>
      <c r="H3908" s="34" t="str">
        <f>IFERROR(VLOOKUP(Table2[[#This Row], [Ticket]],Okey!A:B,2,0),"")</f>
        <v/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>
      <c r="A3909" s="40">
        <f t="shared" si="65"/>
        <v>3908</v>
      </c>
      <c r="B3909" s="34" t="s">
        <v>8</v>
      </c>
      <c r="C3909" s="34" t="s">
        <v>13092</v>
      </c>
      <c r="D3909" s="8" t="s">
        <v>3189</v>
      </c>
      <c r="E3909" s="8" t="s">
        <v>13180</v>
      </c>
      <c r="G3909" s="34" t="s">
        <v>15</v>
      </c>
      <c r="H3909" s="34" t="str">
        <f>IFERROR(VLOOKUP(Table2[[#This Row], [Ticket]],Okey!A:B,2,0),"")</f>
        <v/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>
      <c r="A3910" s="40">
        <f t="shared" si="65"/>
        <v>3909</v>
      </c>
      <c r="B3910" s="34" t="s">
        <v>8</v>
      </c>
      <c r="C3910" s="34" t="s">
        <v>13092</v>
      </c>
      <c r="D3910" s="8" t="s">
        <v>2193</v>
      </c>
      <c r="E3910" s="8" t="s">
        <v>13181</v>
      </c>
      <c r="G3910" s="34" t="s">
        <v>15</v>
      </c>
      <c r="H3910" s="34" t="str">
        <f>IFERROR(VLOOKUP(Table2[[#This Row], [Ticket]],Okey!A:B,2,0),"")</f>
        <v/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>
      <c r="A3911" s="40">
        <f t="shared" si="65"/>
        <v>3910</v>
      </c>
      <c r="B3911" s="34" t="s">
        <v>8</v>
      </c>
      <c r="C3911" s="34" t="s">
        <v>13092</v>
      </c>
      <c r="D3911" s="8" t="s">
        <v>2197</v>
      </c>
      <c r="E3911" s="8" t="s">
        <v>13182</v>
      </c>
      <c r="G3911" s="34" t="s">
        <v>15</v>
      </c>
      <c r="H3911" s="34" t="str">
        <f>IFERROR(VLOOKUP(Table2[[#This Row], [Ticket]],Okey!A:B,2,0),"")</f>
        <v/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>
      <c r="A3912" s="40">
        <f t="shared" si="65"/>
        <v>3911</v>
      </c>
      <c r="B3912" s="34" t="s">
        <v>8</v>
      </c>
      <c r="C3912" s="34" t="s">
        <v>13092</v>
      </c>
      <c r="D3912" s="8" t="s">
        <v>2195</v>
      </c>
      <c r="E3912" s="8" t="s">
        <v>13183</v>
      </c>
      <c r="G3912" s="34" t="s">
        <v>15</v>
      </c>
      <c r="H3912" s="34" t="str">
        <f>IFERROR(VLOOKUP(Table2[[#This Row], [Ticket]],Okey!A:B,2,0),"")</f>
        <v/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>
      <c r="A3913" s="40">
        <f t="shared" si="65"/>
        <v>3912</v>
      </c>
      <c r="B3913" s="34" t="s">
        <v>8</v>
      </c>
      <c r="C3913" s="34" t="s">
        <v>13092</v>
      </c>
      <c r="D3913" s="8" t="s">
        <v>3190</v>
      </c>
      <c r="E3913" s="8" t="s">
        <v>13184</v>
      </c>
      <c r="G3913" s="34" t="s">
        <v>15</v>
      </c>
      <c r="H3913" s="34" t="str">
        <f>IFERROR(VLOOKUP(Table2[[#This Row], [Ticket]],Okey!A:B,2,0),"")</f>
        <v/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>
      <c r="A3914" s="40">
        <f t="shared" si="65"/>
        <v>3913</v>
      </c>
      <c r="B3914" s="34" t="s">
        <v>8</v>
      </c>
      <c r="C3914" s="34" t="s">
        <v>13092</v>
      </c>
      <c r="D3914" s="8" t="s">
        <v>2199</v>
      </c>
      <c r="E3914" s="8" t="s">
        <v>13185</v>
      </c>
      <c r="G3914" s="34" t="s">
        <v>15</v>
      </c>
      <c r="H3914" s="34" t="str">
        <f>IFERROR(VLOOKUP(Table2[[#This Row], [Ticket]],Okey!A:B,2,0),"")</f>
        <v/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>
      <c r="A3915" s="40">
        <f t="shared" si="65"/>
        <v>3914</v>
      </c>
      <c r="B3915" s="34" t="s">
        <v>8</v>
      </c>
      <c r="C3915" s="34" t="s">
        <v>13092</v>
      </c>
      <c r="D3915" s="8" t="s">
        <v>8875</v>
      </c>
      <c r="E3915" s="8" t="s">
        <v>13186</v>
      </c>
      <c r="G3915" s="34" t="s">
        <v>15</v>
      </c>
      <c r="H3915" s="34" t="str">
        <f>IFERROR(VLOOKUP(Table2[[#This Row], [Ticket]],Okey!A:B,2,0),"")</f>
        <v/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>
      <c r="A3916" s="40">
        <f t="shared" si="65"/>
        <v>3915</v>
      </c>
      <c r="B3916" s="34" t="s">
        <v>8</v>
      </c>
      <c r="C3916" s="34" t="s">
        <v>13092</v>
      </c>
      <c r="D3916" s="8" t="s">
        <v>2201</v>
      </c>
      <c r="E3916" s="8" t="s">
        <v>13187</v>
      </c>
      <c r="G3916" s="34" t="s">
        <v>15</v>
      </c>
      <c r="H3916" s="34" t="str">
        <f>IFERROR(VLOOKUP(Table2[[#This Row], [Ticket]],Okey!A:B,2,0),"")</f>
        <v/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>
      <c r="A3917" s="40">
        <f t="shared" si="65"/>
        <v>3916</v>
      </c>
      <c r="B3917" s="34" t="s">
        <v>8</v>
      </c>
      <c r="C3917" s="34" t="s">
        <v>13092</v>
      </c>
      <c r="D3917" s="8" t="s">
        <v>2203</v>
      </c>
      <c r="E3917" s="8" t="s">
        <v>13188</v>
      </c>
      <c r="G3917" s="34" t="s">
        <v>15</v>
      </c>
      <c r="H3917" s="34" t="str">
        <f>IFERROR(VLOOKUP(Table2[[#This Row], [Ticket]],Okey!A:B,2,0),"")</f>
        <v/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>
      <c r="A3918" s="40">
        <f t="shared" si="65"/>
        <v>3917</v>
      </c>
      <c r="B3918" s="34" t="s">
        <v>8</v>
      </c>
      <c r="C3918" s="34" t="s">
        <v>13092</v>
      </c>
      <c r="D3918" s="8" t="s">
        <v>2207</v>
      </c>
      <c r="E3918" s="8" t="s">
        <v>13189</v>
      </c>
      <c r="G3918" s="34" t="s">
        <v>15</v>
      </c>
      <c r="H3918" s="34" t="str">
        <f>IFERROR(VLOOKUP(Table2[[#This Row], [Ticket]],Okey!A:B,2,0),"")</f>
        <v/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>
      <c r="A3919" s="40">
        <f t="shared" si="65"/>
        <v>3918</v>
      </c>
      <c r="B3919" s="34" t="s">
        <v>8</v>
      </c>
      <c r="C3919" s="34" t="s">
        <v>13092</v>
      </c>
      <c r="D3919" s="8" t="s">
        <v>2209</v>
      </c>
      <c r="E3919" s="8" t="s">
        <v>13190</v>
      </c>
      <c r="G3919" s="34" t="s">
        <v>15</v>
      </c>
      <c r="H3919" s="34" t="str">
        <f>IFERROR(VLOOKUP(Table2[[#This Row], [Ticket]],Okey!A:B,2,0),"")</f>
        <v/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>
      <c r="A3920" s="40">
        <f t="shared" si="65"/>
        <v>3919</v>
      </c>
      <c r="B3920" s="34" t="s">
        <v>8</v>
      </c>
      <c r="C3920" s="34" t="s">
        <v>13092</v>
      </c>
      <c r="D3920" s="8" t="s">
        <v>2211</v>
      </c>
      <c r="E3920" s="8" t="s">
        <v>13191</v>
      </c>
      <c r="G3920" s="34" t="s">
        <v>15</v>
      </c>
      <c r="H3920" s="34" t="str">
        <f>IFERROR(VLOOKUP(Table2[[#This Row], [Ticket]],Okey!A:B,2,0),"")</f>
        <v/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>
      <c r="A3921" s="40">
        <f t="shared" si="65"/>
        <v>3920</v>
      </c>
      <c r="B3921" s="34" t="s">
        <v>8</v>
      </c>
      <c r="C3921" s="34" t="s">
        <v>13092</v>
      </c>
      <c r="D3921" s="8" t="s">
        <v>2217</v>
      </c>
      <c r="E3921" s="8" t="s">
        <v>13192</v>
      </c>
      <c r="G3921" s="34" t="s">
        <v>15</v>
      </c>
      <c r="H3921" s="34" t="str">
        <f>IFERROR(VLOOKUP(Table2[[#This Row], [Ticket]],Okey!A:B,2,0),"")</f>
        <v/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>
      <c r="A3922" s="40">
        <f t="shared" si="65"/>
        <v>3921</v>
      </c>
      <c r="B3922" s="34" t="s">
        <v>8</v>
      </c>
      <c r="C3922" s="34" t="s">
        <v>13092</v>
      </c>
      <c r="D3922" s="8" t="s">
        <v>2219</v>
      </c>
      <c r="E3922" s="8" t="s">
        <v>13193</v>
      </c>
      <c r="G3922" s="34" t="s">
        <v>15</v>
      </c>
      <c r="H3922" s="34" t="str">
        <f>IFERROR(VLOOKUP(Table2[[#This Row], [Ticket]],Okey!A:B,2,0),"")</f>
        <v/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>
      <c r="A3923" s="40">
        <f t="shared" si="65"/>
        <v>3922</v>
      </c>
      <c r="B3923" s="34" t="s">
        <v>8</v>
      </c>
      <c r="C3923" s="34" t="s">
        <v>13092</v>
      </c>
      <c r="D3923" s="8" t="s">
        <v>13194</v>
      </c>
      <c r="E3923" s="8" t="s">
        <v>13195</v>
      </c>
      <c r="G3923" s="34" t="s">
        <v>15</v>
      </c>
      <c r="H3923" s="34" t="str">
        <f>IFERROR(VLOOKUP(Table2[[#This Row], [Ticket]],Okey!A:B,2,0),"")</f>
        <v/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>
      <c r="A3924" s="40">
        <f t="shared" si="65"/>
        <v>3923</v>
      </c>
      <c r="B3924" s="34" t="s">
        <v>8</v>
      </c>
      <c r="C3924" s="34" t="s">
        <v>13092</v>
      </c>
      <c r="D3924" s="8" t="s">
        <v>8863</v>
      </c>
      <c r="E3924" s="8" t="s">
        <v>13196</v>
      </c>
      <c r="G3924" s="34" t="s">
        <v>15</v>
      </c>
      <c r="H3924" s="34" t="str">
        <f>IFERROR(VLOOKUP(Table2[[#This Row], [Ticket]],Okey!A:B,2,0),"")</f>
        <v/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>
      <c r="A3925" s="40">
        <f t="shared" si="65"/>
        <v>3924</v>
      </c>
      <c r="B3925" s="34" t="s">
        <v>8</v>
      </c>
      <c r="C3925" s="34" t="s">
        <v>13092</v>
      </c>
      <c r="D3925" s="8" t="s">
        <v>5232</v>
      </c>
      <c r="E3925" s="8" t="s">
        <v>13197</v>
      </c>
      <c r="G3925" s="34" t="s">
        <v>15</v>
      </c>
      <c r="H3925" s="34" t="str">
        <f>IFERROR(VLOOKUP(Table2[[#This Row], [Ticket]],Okey!A:B,2,0),"")</f>
        <v/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>
      <c r="A3926" s="40">
        <f t="shared" si="65"/>
        <v>3925</v>
      </c>
      <c r="B3926" s="34" t="s">
        <v>8</v>
      </c>
      <c r="C3926" s="34" t="s">
        <v>13092</v>
      </c>
      <c r="D3926" s="8" t="s">
        <v>2245</v>
      </c>
      <c r="E3926" s="8" t="s">
        <v>13198</v>
      </c>
      <c r="G3926" s="34" t="s">
        <v>15</v>
      </c>
      <c r="H3926" s="34" t="str">
        <f>IFERROR(VLOOKUP(Table2[[#This Row], [Ticket]],Okey!A:B,2,0),"")</f>
        <v/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>
      <c r="A3927" s="40">
        <f t="shared" si="65"/>
        <v>3926</v>
      </c>
      <c r="B3927" s="34" t="s">
        <v>8</v>
      </c>
      <c r="C3927" s="34" t="s">
        <v>13092</v>
      </c>
      <c r="D3927" s="8" t="s">
        <v>2250</v>
      </c>
      <c r="E3927" s="8" t="s">
        <v>13199</v>
      </c>
      <c r="G3927" s="34" t="s">
        <v>15</v>
      </c>
      <c r="H3927" s="34" t="str">
        <f>IFERROR(VLOOKUP(Table2[[#This Row], [Ticket]],Okey!A:B,2,0),"")</f>
        <v/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>
      <c r="A3928" s="40">
        <f t="shared" si="65"/>
        <v>3927</v>
      </c>
      <c r="B3928" s="34" t="s">
        <v>8</v>
      </c>
      <c r="C3928" s="34" t="s">
        <v>13092</v>
      </c>
      <c r="D3928" s="8" t="s">
        <v>8864</v>
      </c>
      <c r="E3928" s="8" t="s">
        <v>13200</v>
      </c>
      <c r="G3928" s="34" t="s">
        <v>15</v>
      </c>
      <c r="H3928" s="34" t="str">
        <f>IFERROR(VLOOKUP(Table2[[#This Row], [Ticket]],Okey!A:B,2,0),"")</f>
        <v/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>
      <c r="A3929" s="40">
        <f t="shared" ref="A3929:A3992" si="66">1+A3928</f>
        <v>3928</v>
      </c>
      <c r="B3929" s="34" t="s">
        <v>8</v>
      </c>
      <c r="C3929" s="34" t="s">
        <v>13092</v>
      </c>
      <c r="D3929" s="8" t="s">
        <v>8865</v>
      </c>
      <c r="E3929" s="8" t="s">
        <v>13201</v>
      </c>
      <c r="G3929" s="34" t="s">
        <v>15</v>
      </c>
      <c r="H3929" s="34" t="str">
        <f>IFERROR(VLOOKUP(Table2[[#This Row], [Ticket]],Okey!A:B,2,0),"")</f>
        <v/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>
      <c r="A3930" s="40">
        <f t="shared" si="66"/>
        <v>3929</v>
      </c>
      <c r="B3930" s="34" t="s">
        <v>8</v>
      </c>
      <c r="C3930" s="34" t="s">
        <v>13092</v>
      </c>
      <c r="D3930" s="8" t="s">
        <v>8866</v>
      </c>
      <c r="E3930" s="8" t="s">
        <v>13202</v>
      </c>
      <c r="G3930" s="34" t="s">
        <v>15</v>
      </c>
      <c r="H3930" s="34" t="str">
        <f>IFERROR(VLOOKUP(Table2[[#This Row], [Ticket]],Okey!A:B,2,0),"")</f>
        <v/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>
      <c r="A3931" s="40">
        <f t="shared" si="66"/>
        <v>3930</v>
      </c>
      <c r="B3931" s="34" t="s">
        <v>8</v>
      </c>
      <c r="C3931" s="34" t="s">
        <v>13092</v>
      </c>
      <c r="D3931" s="8" t="s">
        <v>8867</v>
      </c>
      <c r="E3931" s="8" t="s">
        <v>13203</v>
      </c>
      <c r="G3931" s="34" t="s">
        <v>15</v>
      </c>
      <c r="H3931" s="34" t="str">
        <f>IFERROR(VLOOKUP(Table2[[#This Row], [Ticket]],Okey!A:B,2,0),"")</f>
        <v/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>
      <c r="A3932" s="40">
        <f t="shared" si="66"/>
        <v>3931</v>
      </c>
      <c r="B3932" s="34" t="s">
        <v>8</v>
      </c>
      <c r="C3932" s="34" t="s">
        <v>13092</v>
      </c>
      <c r="D3932" s="8" t="s">
        <v>8868</v>
      </c>
      <c r="E3932" s="8" t="s">
        <v>13204</v>
      </c>
      <c r="G3932" s="34" t="s">
        <v>15</v>
      </c>
      <c r="H3932" s="34" t="str">
        <f>IFERROR(VLOOKUP(Table2[[#This Row], [Ticket]],Okey!A:B,2,0),"")</f>
        <v/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>
      <c r="A3933" s="40">
        <f t="shared" si="66"/>
        <v>3932</v>
      </c>
      <c r="B3933" s="34" t="s">
        <v>8</v>
      </c>
      <c r="C3933" s="34" t="s">
        <v>13092</v>
      </c>
      <c r="D3933" s="8" t="s">
        <v>8870</v>
      </c>
      <c r="E3933" s="8" t="s">
        <v>13205</v>
      </c>
      <c r="G3933" s="34" t="s">
        <v>15</v>
      </c>
      <c r="H3933" s="34" t="str">
        <f>IFERROR(VLOOKUP(Table2[[#This Row], [Ticket]],Okey!A:B,2,0),"")</f>
        <v/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>
      <c r="A3934" s="40">
        <f t="shared" si="66"/>
        <v>3933</v>
      </c>
      <c r="B3934" s="34" t="s">
        <v>8</v>
      </c>
      <c r="C3934" s="34" t="s">
        <v>13092</v>
      </c>
      <c r="D3934" s="8" t="s">
        <v>9981</v>
      </c>
      <c r="E3934" s="8" t="s">
        <v>13206</v>
      </c>
      <c r="G3934" s="34" t="s">
        <v>15</v>
      </c>
      <c r="H3934" s="34" t="str">
        <f>IFERROR(VLOOKUP(Table2[[#This Row], [Ticket]],Okey!A:B,2,0),"")</f>
        <v/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>
      <c r="A3935" s="40">
        <f t="shared" si="66"/>
        <v>3934</v>
      </c>
      <c r="B3935" s="34" t="s">
        <v>8</v>
      </c>
      <c r="C3935" s="34" t="s">
        <v>13092</v>
      </c>
      <c r="D3935" s="8" t="s">
        <v>10011</v>
      </c>
      <c r="E3935" s="8" t="s">
        <v>13207</v>
      </c>
      <c r="G3935" s="34" t="s">
        <v>15</v>
      </c>
      <c r="H3935" s="34" t="str">
        <f>IFERROR(VLOOKUP(Table2[[#This Row], [Ticket]],Okey!A:B,2,0),"")</f>
        <v/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>
      <c r="A3936" s="40">
        <f t="shared" si="66"/>
        <v>3935</v>
      </c>
      <c r="B3936" s="34" t="s">
        <v>8</v>
      </c>
      <c r="C3936" s="34" t="s">
        <v>13092</v>
      </c>
      <c r="D3936" s="8" t="s">
        <v>10012</v>
      </c>
      <c r="E3936" s="8" t="s">
        <v>13208</v>
      </c>
      <c r="G3936" s="34" t="s">
        <v>15</v>
      </c>
      <c r="H3936" s="34" t="str">
        <f>IFERROR(VLOOKUP(Table2[[#This Row], [Ticket]],Okey!A:B,2,0),"")</f>
        <v/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>
      <c r="A3937" s="40">
        <f t="shared" si="66"/>
        <v>3936</v>
      </c>
      <c r="B3937" s="34" t="s">
        <v>8</v>
      </c>
      <c r="C3937" s="34" t="s">
        <v>13092</v>
      </c>
      <c r="D3937" s="8" t="s">
        <v>10013</v>
      </c>
      <c r="E3937" s="8" t="s">
        <v>13209</v>
      </c>
      <c r="G3937" s="34" t="s">
        <v>15</v>
      </c>
      <c r="H3937" s="34" t="str">
        <f>IFERROR(VLOOKUP(Table2[[#This Row], [Ticket]],Okey!A:B,2,0),"")</f>
        <v/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>
      <c r="A3938" s="40">
        <f t="shared" si="66"/>
        <v>3937</v>
      </c>
      <c r="B3938" s="34" t="s">
        <v>8</v>
      </c>
      <c r="C3938" s="34" t="s">
        <v>13092</v>
      </c>
      <c r="D3938" s="8" t="s">
        <v>10015</v>
      </c>
      <c r="E3938" s="8" t="s">
        <v>13210</v>
      </c>
      <c r="G3938" s="34" t="s">
        <v>15</v>
      </c>
      <c r="H3938" s="34" t="str">
        <f>IFERROR(VLOOKUP(Table2[[#This Row], [Ticket]],Okey!A:B,2,0),"")</f>
        <v/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>
      <c r="A3939" s="40">
        <f t="shared" si="66"/>
        <v>3938</v>
      </c>
      <c r="B3939" s="34" t="s">
        <v>8</v>
      </c>
      <c r="C3939" s="34" t="s">
        <v>13092</v>
      </c>
      <c r="D3939" s="8" t="s">
        <v>2305</v>
      </c>
      <c r="E3939" s="8" t="s">
        <v>13211</v>
      </c>
      <c r="G3939" s="34" t="s">
        <v>15</v>
      </c>
      <c r="H3939" s="34" t="str">
        <f>IFERROR(VLOOKUP(Table2[[#This Row], [Ticket]],Okey!A:B,2,0),"")</f>
        <v/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>
      <c r="A3940" s="40">
        <f t="shared" si="66"/>
        <v>3939</v>
      </c>
      <c r="B3940" s="34" t="s">
        <v>8</v>
      </c>
      <c r="C3940" s="34" t="s">
        <v>13092</v>
      </c>
      <c r="D3940" s="8" t="s">
        <v>2551</v>
      </c>
      <c r="E3940" s="8" t="s">
        <v>13212</v>
      </c>
      <c r="G3940" s="34" t="s">
        <v>15</v>
      </c>
      <c r="H3940" s="34" t="str">
        <f>IFERROR(VLOOKUP(Table2[[#This Row], [Ticket]],Okey!A:B,2,0),"")</f>
        <v/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>
      <c r="A3941" s="40">
        <f t="shared" si="66"/>
        <v>3940</v>
      </c>
      <c r="B3941" s="34" t="s">
        <v>8</v>
      </c>
      <c r="C3941" s="34" t="s">
        <v>13092</v>
      </c>
      <c r="D3941" s="8" t="s">
        <v>2549</v>
      </c>
      <c r="E3941" s="8" t="s">
        <v>13213</v>
      </c>
      <c r="G3941" s="34" t="s">
        <v>15</v>
      </c>
      <c r="H3941" s="34" t="str">
        <f>IFERROR(VLOOKUP(Table2[[#This Row], [Ticket]],Okey!A:B,2,0),"")</f>
        <v/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>
      <c r="A3942" s="40">
        <f t="shared" si="66"/>
        <v>3941</v>
      </c>
      <c r="B3942" s="34" t="s">
        <v>8</v>
      </c>
      <c r="C3942" s="34" t="s">
        <v>13092</v>
      </c>
      <c r="D3942" s="8" t="s">
        <v>2552</v>
      </c>
      <c r="E3942" s="8" t="s">
        <v>13214</v>
      </c>
      <c r="G3942" s="34" t="s">
        <v>15</v>
      </c>
      <c r="H3942" s="34" t="str">
        <f>IFERROR(VLOOKUP(Table2[[#This Row], [Ticket]],Okey!A:B,2,0),"")</f>
        <v/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>
      <c r="A3943" s="40">
        <f t="shared" si="66"/>
        <v>3942</v>
      </c>
      <c r="B3943" s="34" t="s">
        <v>8</v>
      </c>
      <c r="C3943" s="34" t="s">
        <v>13092</v>
      </c>
      <c r="D3943" s="8" t="s">
        <v>2554</v>
      </c>
      <c r="E3943" s="8" t="s">
        <v>13215</v>
      </c>
      <c r="G3943" s="34" t="s">
        <v>15</v>
      </c>
      <c r="H3943" s="34" t="str">
        <f>IFERROR(VLOOKUP(Table2[[#This Row], [Ticket]],Okey!A:B,2,0),"")</f>
        <v/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>
      <c r="A3944" s="40">
        <f t="shared" si="66"/>
        <v>3943</v>
      </c>
      <c r="B3944" s="34" t="s">
        <v>8</v>
      </c>
      <c r="C3944" s="34" t="s">
        <v>13092</v>
      </c>
      <c r="D3944" s="8" t="s">
        <v>8861</v>
      </c>
      <c r="E3944" s="8" t="s">
        <v>13216</v>
      </c>
      <c r="G3944" s="34" t="s">
        <v>15</v>
      </c>
      <c r="H3944" s="34" t="str">
        <f>IFERROR(VLOOKUP(Table2[[#This Row], [Ticket]],Okey!A:B,2,0),"")</f>
        <v/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>
      <c r="A3945" s="40">
        <f t="shared" si="66"/>
        <v>3944</v>
      </c>
      <c r="B3945" s="34" t="s">
        <v>8</v>
      </c>
      <c r="C3945" s="34" t="s">
        <v>13092</v>
      </c>
      <c r="D3945" s="8" t="s">
        <v>2232</v>
      </c>
      <c r="E3945" s="8" t="s">
        <v>13217</v>
      </c>
      <c r="G3945" s="34" t="s">
        <v>15</v>
      </c>
      <c r="H3945" s="34" t="str">
        <f>IFERROR(VLOOKUP(Table2[[#This Row], [Ticket]],Okey!A:B,2,0),"")</f>
        <v/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>
      <c r="A3946" s="40">
        <f t="shared" si="66"/>
        <v>3945</v>
      </c>
      <c r="B3946" s="34" t="s">
        <v>8</v>
      </c>
      <c r="C3946" s="34" t="s">
        <v>13092</v>
      </c>
      <c r="D3946" s="8" t="s">
        <v>2303</v>
      </c>
      <c r="E3946" s="8" t="s">
        <v>13218</v>
      </c>
      <c r="G3946" s="34" t="s">
        <v>15</v>
      </c>
      <c r="H3946" s="34" t="str">
        <f>IFERROR(VLOOKUP(Table2[[#This Row], [Ticket]],Okey!A:B,2,0),"")</f>
        <v/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>
      <c r="A3947" s="40">
        <f t="shared" si="66"/>
        <v>3946</v>
      </c>
      <c r="B3947" s="34" t="s">
        <v>8</v>
      </c>
      <c r="C3947" s="34" t="s">
        <v>13092</v>
      </c>
      <c r="D3947" s="8" t="s">
        <v>2306</v>
      </c>
      <c r="E3947" s="8" t="s">
        <v>13219</v>
      </c>
      <c r="G3947" s="34" t="s">
        <v>15</v>
      </c>
      <c r="H3947" s="34" t="str">
        <f>IFERROR(VLOOKUP(Table2[[#This Row], [Ticket]],Okey!A:B,2,0),"")</f>
        <v/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>
      <c r="A3948" s="40">
        <f t="shared" si="66"/>
        <v>3947</v>
      </c>
      <c r="B3948" s="34" t="s">
        <v>8</v>
      </c>
      <c r="C3948" s="34" t="s">
        <v>13092</v>
      </c>
      <c r="D3948" s="8" t="s">
        <v>2308</v>
      </c>
      <c r="E3948" s="8" t="s">
        <v>13220</v>
      </c>
      <c r="G3948" s="34" t="s">
        <v>15</v>
      </c>
      <c r="H3948" s="34" t="str">
        <f>IFERROR(VLOOKUP(Table2[[#This Row], [Ticket]],Okey!A:B,2,0),"")</f>
        <v/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>
      <c r="A3949" s="40">
        <f t="shared" si="66"/>
        <v>3948</v>
      </c>
      <c r="B3949" s="34" t="s">
        <v>8</v>
      </c>
      <c r="C3949" s="34" t="s">
        <v>13092</v>
      </c>
      <c r="D3949" s="8" t="s">
        <v>8862</v>
      </c>
      <c r="E3949" s="8" t="s">
        <v>13221</v>
      </c>
      <c r="G3949" s="34" t="s">
        <v>15</v>
      </c>
      <c r="H3949" s="34" t="str">
        <f>IFERROR(VLOOKUP(Table2[[#This Row], [Ticket]],Okey!A:B,2,0),"")</f>
        <v/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>
      <c r="A3950" s="40">
        <f t="shared" si="66"/>
        <v>3949</v>
      </c>
      <c r="B3950" s="34" t="s">
        <v>8</v>
      </c>
      <c r="C3950" s="34" t="s">
        <v>13092</v>
      </c>
      <c r="D3950" s="8" t="s">
        <v>9982</v>
      </c>
      <c r="E3950" s="8" t="s">
        <v>13222</v>
      </c>
      <c r="G3950" s="34" t="s">
        <v>15</v>
      </c>
      <c r="H3950" s="34" t="str">
        <f>IFERROR(VLOOKUP(Table2[[#This Row], [Ticket]],Okey!A:B,2,0),"")</f>
        <v/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>
      <c r="A3951" s="40">
        <f t="shared" si="66"/>
        <v>3950</v>
      </c>
      <c r="B3951" s="34" t="s">
        <v>8</v>
      </c>
      <c r="C3951" s="34" t="s">
        <v>13092</v>
      </c>
      <c r="D3951" s="8" t="s">
        <v>10016</v>
      </c>
      <c r="E3951" s="8" t="s">
        <v>13223</v>
      </c>
      <c r="G3951" s="34" t="s">
        <v>15</v>
      </c>
      <c r="H3951" s="34" t="str">
        <f>IFERROR(VLOOKUP(Table2[[#This Row], [Ticket]],Okey!A:B,2,0),"")</f>
        <v/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>
      <c r="A3952" s="40">
        <f t="shared" si="66"/>
        <v>3951</v>
      </c>
      <c r="B3952" s="34" t="s">
        <v>8</v>
      </c>
      <c r="C3952" s="34" t="s">
        <v>13092</v>
      </c>
      <c r="D3952" s="8" t="s">
        <v>10017</v>
      </c>
      <c r="E3952" s="8" t="s">
        <v>13224</v>
      </c>
      <c r="G3952" s="34" t="s">
        <v>15</v>
      </c>
      <c r="H3952" s="34" t="str">
        <f>IFERROR(VLOOKUP(Table2[[#This Row], [Ticket]],Okey!A:B,2,0),"")</f>
        <v/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>
      <c r="A3953" s="40">
        <f t="shared" si="66"/>
        <v>3952</v>
      </c>
      <c r="B3953" s="34" t="s">
        <v>8</v>
      </c>
      <c r="C3953" s="34" t="s">
        <v>13092</v>
      </c>
      <c r="D3953" s="8" t="s">
        <v>10018</v>
      </c>
      <c r="E3953" s="8" t="s">
        <v>13225</v>
      </c>
      <c r="G3953" s="34" t="s">
        <v>15</v>
      </c>
      <c r="H3953" s="34" t="str">
        <f>IFERROR(VLOOKUP(Table2[[#This Row], [Ticket]],Okey!A:B,2,0),"")</f>
        <v/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>
      <c r="A3954" s="40">
        <f t="shared" si="66"/>
        <v>3953</v>
      </c>
      <c r="B3954" s="34" t="s">
        <v>8</v>
      </c>
      <c r="C3954" s="34" t="s">
        <v>13092</v>
      </c>
      <c r="D3954" s="8" t="s">
        <v>10020</v>
      </c>
      <c r="E3954" s="8" t="s">
        <v>13226</v>
      </c>
      <c r="G3954" s="34" t="s">
        <v>15</v>
      </c>
      <c r="H3954" s="34" t="str">
        <f>IFERROR(VLOOKUP(Table2[[#This Row], [Ticket]],Okey!A:B,2,0),"")</f>
        <v/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>
      <c r="A3955" s="40">
        <f t="shared" si="66"/>
        <v>3954</v>
      </c>
      <c r="B3955" s="34" t="s">
        <v>8</v>
      </c>
      <c r="C3955" s="34" t="s">
        <v>13092</v>
      </c>
      <c r="D3955" s="8" t="s">
        <v>8021</v>
      </c>
      <c r="E3955" s="8" t="s">
        <v>13227</v>
      </c>
      <c r="G3955" s="34" t="s">
        <v>15</v>
      </c>
      <c r="H3955" s="34" t="str">
        <f>IFERROR(VLOOKUP(Table2[[#This Row], [Ticket]],Okey!A:B,2,0),"")</f>
        <v/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>
      <c r="A3956" s="40">
        <f t="shared" si="66"/>
        <v>3955</v>
      </c>
      <c r="B3956" s="34" t="s">
        <v>8</v>
      </c>
      <c r="C3956" s="34" t="s">
        <v>13092</v>
      </c>
      <c r="D3956" s="8" t="s">
        <v>2732</v>
      </c>
      <c r="E3956" s="8" t="s">
        <v>13228</v>
      </c>
      <c r="G3956" s="34" t="s">
        <v>15</v>
      </c>
      <c r="H3956" s="34" t="str">
        <f>IFERROR(VLOOKUP(Table2[[#This Row], [Ticket]],Okey!A:B,2,0),"")</f>
        <v/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>
      <c r="A3957" s="40">
        <f t="shared" si="66"/>
        <v>3956</v>
      </c>
      <c r="B3957" s="34" t="s">
        <v>8</v>
      </c>
      <c r="C3957" s="34" t="s">
        <v>13092</v>
      </c>
      <c r="D3957" s="8" t="s">
        <v>8023</v>
      </c>
      <c r="E3957" s="8" t="s">
        <v>13229</v>
      </c>
      <c r="G3957" s="34" t="s">
        <v>15</v>
      </c>
      <c r="H3957" s="34" t="str">
        <f>IFERROR(VLOOKUP(Table2[[#This Row], [Ticket]],Okey!A:B,2,0),"")</f>
        <v/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>
      <c r="A3958" s="40">
        <f t="shared" si="66"/>
        <v>3957</v>
      </c>
      <c r="B3958" s="34" t="s">
        <v>8</v>
      </c>
      <c r="C3958" s="34" t="s">
        <v>13092</v>
      </c>
      <c r="D3958" s="8" t="s">
        <v>8022</v>
      </c>
      <c r="E3958" s="8" t="s">
        <v>13230</v>
      </c>
      <c r="G3958" s="34" t="s">
        <v>15</v>
      </c>
      <c r="H3958" s="34" t="str">
        <f>IFERROR(VLOOKUP(Table2[[#This Row], [Ticket]],Okey!A:B,2,0),"")</f>
        <v/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>
      <c r="A3959" s="40">
        <f t="shared" si="66"/>
        <v>3958</v>
      </c>
      <c r="B3959" s="34" t="s">
        <v>8</v>
      </c>
      <c r="C3959" s="34" t="s">
        <v>13092</v>
      </c>
      <c r="D3959" s="8" t="s">
        <v>8024</v>
      </c>
      <c r="E3959" s="8" t="s">
        <v>13231</v>
      </c>
      <c r="G3959" s="34" t="s">
        <v>15</v>
      </c>
      <c r="H3959" s="34" t="str">
        <f>IFERROR(VLOOKUP(Table2[[#This Row], [Ticket]],Okey!A:B,2,0),"")</f>
        <v/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>
      <c r="A3960" s="40">
        <f t="shared" si="66"/>
        <v>3959</v>
      </c>
      <c r="B3960" s="34" t="s">
        <v>8</v>
      </c>
      <c r="C3960" s="34" t="s">
        <v>13092</v>
      </c>
      <c r="D3960" s="8" t="s">
        <v>8025</v>
      </c>
      <c r="E3960" s="8" t="s">
        <v>13232</v>
      </c>
      <c r="G3960" s="34" t="s">
        <v>15</v>
      </c>
      <c r="H3960" s="34" t="str">
        <f>IFERROR(VLOOKUP(Table2[[#This Row], [Ticket]],Okey!A:B,2,0),"")</f>
        <v/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>
      <c r="A3961" s="40">
        <f t="shared" si="66"/>
        <v>3960</v>
      </c>
      <c r="B3961" s="34" t="s">
        <v>8</v>
      </c>
      <c r="C3961" s="34" t="s">
        <v>13092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/>
      </c>
      <c r="I3961" s="34" t="s">
        <v>13065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>
      <c r="A3962" s="40">
        <f t="shared" si="66"/>
        <v>3961</v>
      </c>
      <c r="B3962" s="34" t="s">
        <v>8</v>
      </c>
      <c r="C3962" s="34" t="s">
        <v>13252</v>
      </c>
      <c r="D3962" s="8" t="s">
        <v>13272</v>
      </c>
      <c r="F3962" s="8" t="s">
        <v>13271</v>
      </c>
      <c r="G3962" s="34" t="s">
        <v>13</v>
      </c>
      <c r="H3962" s="34" t="str">
        <f>IFERROR(VLOOKUP(Table2[[#This Row], [Ticket]],Okey!A:B,2,0),"")</f>
        <v/>
      </c>
      <c r="I3962" s="34" t="s">
        <v>13065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>
      <c r="A3963" s="40">
        <f t="shared" si="66"/>
        <v>3962</v>
      </c>
      <c r="B3963" s="34" t="s">
        <v>8</v>
      </c>
      <c r="C3963" s="34" t="s">
        <v>13252</v>
      </c>
      <c r="D3963" s="8" t="s">
        <v>13273</v>
      </c>
      <c r="F3963" s="8" t="s">
        <v>13271</v>
      </c>
      <c r="G3963" s="34" t="s">
        <v>13</v>
      </c>
      <c r="H3963" s="34" t="str">
        <f>IFERROR(VLOOKUP(Table2[[#This Row], [Ticket]],Okey!A:B,2,0),"")</f>
        <v/>
      </c>
      <c r="I3963" s="34" t="s">
        <v>13065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>
      <c r="A3964" s="40">
        <f t="shared" si="66"/>
        <v>3963</v>
      </c>
      <c r="B3964" s="34" t="s">
        <v>8</v>
      </c>
      <c r="C3964" s="34" t="s">
        <v>13252</v>
      </c>
      <c r="D3964" s="8" t="s">
        <v>13274</v>
      </c>
      <c r="F3964" s="8" t="s">
        <v>13271</v>
      </c>
      <c r="G3964" s="34" t="s">
        <v>13</v>
      </c>
      <c r="H3964" s="34" t="str">
        <f>IFERROR(VLOOKUP(Table2[[#This Row], [Ticket]],Okey!A:B,2,0),"")</f>
        <v/>
      </c>
      <c r="I3964" s="34" t="s">
        <v>13065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>
      <c r="A3965" s="40">
        <f t="shared" si="66"/>
        <v>3964</v>
      </c>
      <c r="B3965" s="34" t="s">
        <v>8</v>
      </c>
      <c r="C3965" s="34" t="s">
        <v>13252</v>
      </c>
      <c r="D3965" s="8" t="s">
        <v>13275</v>
      </c>
      <c r="F3965" s="8" t="s">
        <v>13271</v>
      </c>
      <c r="G3965" s="34" t="s">
        <v>13</v>
      </c>
      <c r="H3965" s="34" t="str">
        <f>IFERROR(VLOOKUP(Table2[[#This Row], [Ticket]],Okey!A:B,2,0),"")</f>
        <v/>
      </c>
      <c r="I3965" s="34" t="s">
        <v>13065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>
      <c r="A3966" s="40">
        <f t="shared" si="66"/>
        <v>3965</v>
      </c>
      <c r="B3966" s="34" t="s">
        <v>8</v>
      </c>
      <c r="C3966" s="34" t="s">
        <v>13252</v>
      </c>
      <c r="D3966" s="8" t="s">
        <v>13276</v>
      </c>
      <c r="F3966" s="8" t="s">
        <v>13271</v>
      </c>
      <c r="G3966" s="34" t="s">
        <v>13</v>
      </c>
      <c r="H3966" s="34" t="str">
        <f>IFERROR(VLOOKUP(Table2[[#This Row], [Ticket]],Okey!A:B,2,0),"")</f>
        <v/>
      </c>
      <c r="I3966" s="34" t="s">
        <v>13065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>
      <c r="A3967" s="40">
        <f t="shared" si="66"/>
        <v>3966</v>
      </c>
      <c r="B3967" s="34" t="s">
        <v>8</v>
      </c>
      <c r="C3967" s="8" t="s">
        <v>13252</v>
      </c>
      <c r="D3967" s="34" t="s">
        <v>13271</v>
      </c>
      <c r="E3967" s="8" t="s">
        <v>13253</v>
      </c>
      <c r="F3967" s="8" t="s">
        <v>9059</v>
      </c>
      <c r="G3967" s="8" t="s">
        <v>14</v>
      </c>
      <c r="H3967" s="34" t="str">
        <f>IFERROR(VLOOKUP(Table2[[#This Row], [Ticket]],Okey!A:B,2,0),"")</f>
        <v/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>
      <c r="A3968" s="40">
        <f t="shared" si="66"/>
        <v>3967</v>
      </c>
      <c r="B3968" s="34" t="s">
        <v>8</v>
      </c>
      <c r="C3968" s="34" t="s">
        <v>13070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/>
      </c>
      <c r="I3968" s="34" t="s">
        <v>13065</v>
      </c>
      <c r="J3968" s="34" t="str">
        <f>VLOOKUP(Table2[[#This Row],[Author]],People!A:B,2,0)</f>
        <v>MGF</v>
      </c>
      <c r="K3968" s="120" t="s">
        <v>13087</v>
      </c>
      <c r="L3968" s="34"/>
      <c r="M3968" s="34" t="s">
        <v>4778</v>
      </c>
    </row>
    <row r="3969" spans="1:13">
      <c r="A3969" s="40">
        <f t="shared" si="66"/>
        <v>3968</v>
      </c>
      <c r="B3969" s="34" t="s">
        <v>8</v>
      </c>
      <c r="C3969" s="34" t="s">
        <v>13092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/>
      </c>
      <c r="I3969" s="34" t="s">
        <v>13065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>
      <c r="A3970" s="40">
        <f t="shared" si="66"/>
        <v>3969</v>
      </c>
      <c r="B3970" s="34" t="s">
        <v>8</v>
      </c>
      <c r="C3970" s="34" t="s">
        <v>13092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/>
      </c>
      <c r="I3970" s="34" t="s">
        <v>13065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>
      <c r="A3971" s="40">
        <f t="shared" si="66"/>
        <v>3970</v>
      </c>
      <c r="B3971" s="34" t="s">
        <v>8</v>
      </c>
      <c r="C3971" s="34" t="s">
        <v>13092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/>
      </c>
      <c r="I3971" s="34" t="s">
        <v>13065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>
      <c r="A3972" s="40">
        <f t="shared" si="66"/>
        <v>3971</v>
      </c>
      <c r="B3972" s="34" t="s">
        <v>8</v>
      </c>
      <c r="C3972" s="34" t="s">
        <v>13092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/>
      </c>
      <c r="I3972" s="34" t="s">
        <v>13065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>
      <c r="A3973" s="40">
        <f t="shared" si="66"/>
        <v>3972</v>
      </c>
      <c r="B3973" s="34" t="s">
        <v>8</v>
      </c>
      <c r="C3973" s="34" t="s">
        <v>13092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/>
      </c>
      <c r="I3973" s="34" t="s">
        <v>13065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>
      <c r="A3974" s="40">
        <f t="shared" si="66"/>
        <v>3973</v>
      </c>
      <c r="B3974" s="34" t="s">
        <v>8</v>
      </c>
      <c r="C3974" s="34" t="s">
        <v>13092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/>
      </c>
      <c r="I3974" s="34" t="s">
        <v>13065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>
      <c r="A3975" s="40">
        <f t="shared" si="66"/>
        <v>3974</v>
      </c>
      <c r="B3975" s="34" t="s">
        <v>8</v>
      </c>
      <c r="C3975" s="34" t="s">
        <v>13092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/>
      </c>
      <c r="I3975" s="34" t="s">
        <v>13065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>
      <c r="A3976" s="40">
        <f t="shared" si="66"/>
        <v>3975</v>
      </c>
      <c r="B3976" s="34" t="s">
        <v>8</v>
      </c>
      <c r="C3976" s="34" t="s">
        <v>13092</v>
      </c>
      <c r="D3976" s="8" t="s">
        <v>13240</v>
      </c>
      <c r="F3976" s="8" t="s">
        <v>275</v>
      </c>
      <c r="G3976" s="34" t="s">
        <v>8537</v>
      </c>
      <c r="H3976" s="34" t="str">
        <f>IFERROR(VLOOKUP(Table2[[#This Row], [Ticket]],Okey!A:B,2,0),"")</f>
        <v/>
      </c>
      <c r="I3976" s="34" t="s">
        <v>13065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>
      <c r="A3977" s="40">
        <f t="shared" si="66"/>
        <v>3976</v>
      </c>
      <c r="B3977" s="34" t="s">
        <v>8</v>
      </c>
      <c r="C3977" s="34" t="s">
        <v>13092</v>
      </c>
      <c r="D3977" s="8" t="s">
        <v>13241</v>
      </c>
      <c r="F3977" s="8" t="s">
        <v>275</v>
      </c>
      <c r="G3977" s="34" t="s">
        <v>8537</v>
      </c>
      <c r="H3977" s="34" t="str">
        <f>IFERROR(VLOOKUP(Table2[[#This Row], [Ticket]],Okey!A:B,2,0),"")</f>
        <v/>
      </c>
      <c r="I3977" s="34" t="s">
        <v>13065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>
      <c r="A3978" s="40">
        <f t="shared" si="66"/>
        <v>3977</v>
      </c>
      <c r="B3978" s="34" t="s">
        <v>8</v>
      </c>
      <c r="C3978" s="34" t="s">
        <v>13092</v>
      </c>
      <c r="D3978" s="8" t="s">
        <v>13242</v>
      </c>
      <c r="F3978" s="8" t="s">
        <v>275</v>
      </c>
      <c r="G3978" s="34" t="s">
        <v>8537</v>
      </c>
      <c r="H3978" s="34" t="str">
        <f>IFERROR(VLOOKUP(Table2[[#This Row], [Ticket]],Okey!A:B,2,0),"")</f>
        <v/>
      </c>
      <c r="I3978" s="34" t="s">
        <v>13065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>
      <c r="A3979" s="40">
        <f t="shared" si="66"/>
        <v>3978</v>
      </c>
      <c r="B3979" s="34" t="s">
        <v>8</v>
      </c>
      <c r="C3979" s="34" t="s">
        <v>13092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/>
      </c>
      <c r="I3979" s="34" t="s">
        <v>13065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>
      <c r="A3980" s="40">
        <f t="shared" si="66"/>
        <v>3979</v>
      </c>
      <c r="B3980" s="34" t="s">
        <v>8</v>
      </c>
      <c r="C3980" s="34" t="s">
        <v>13092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/>
      </c>
      <c r="I3980" s="34" t="s">
        <v>13065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>
      <c r="A3981" s="40">
        <f t="shared" si="66"/>
        <v>3980</v>
      </c>
      <c r="B3981" s="34" t="s">
        <v>8</v>
      </c>
      <c r="C3981" s="34" t="s">
        <v>13092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/>
      </c>
      <c r="I3981" s="34" t="s">
        <v>13065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>
      <c r="A3982" s="40">
        <f t="shared" si="66"/>
        <v>3981</v>
      </c>
      <c r="B3982" s="34" t="s">
        <v>8</v>
      </c>
      <c r="C3982" s="34" t="s">
        <v>13092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/>
      </c>
      <c r="I3982" s="34" t="s">
        <v>13065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>
      <c r="A3983" s="40">
        <f t="shared" si="66"/>
        <v>3982</v>
      </c>
      <c r="B3983" s="34" t="s">
        <v>8</v>
      </c>
      <c r="C3983" s="34" t="s">
        <v>13092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/>
      </c>
      <c r="I3983" s="34" t="s">
        <v>13065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>
      <c r="A3984" s="40">
        <f t="shared" si="66"/>
        <v>3983</v>
      </c>
      <c r="B3984" s="34" t="s">
        <v>8</v>
      </c>
      <c r="C3984" s="34" t="s">
        <v>13092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/>
      </c>
      <c r="I3984" s="34" t="s">
        <v>13065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>
      <c r="A3985" s="40">
        <f t="shared" si="66"/>
        <v>3984</v>
      </c>
      <c r="B3985" s="34" t="s">
        <v>8</v>
      </c>
      <c r="C3985" s="34" t="s">
        <v>13092</v>
      </c>
      <c r="D3985" s="8" t="s">
        <v>13243</v>
      </c>
      <c r="F3985" s="8" t="s">
        <v>275</v>
      </c>
      <c r="G3985" s="34" t="s">
        <v>8537</v>
      </c>
      <c r="H3985" s="34" t="str">
        <f>IFERROR(VLOOKUP(Table2[[#This Row], [Ticket]],Okey!A:B,2,0),"")</f>
        <v/>
      </c>
      <c r="I3985" s="34" t="s">
        <v>13065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>
      <c r="A3986" s="40">
        <f t="shared" si="66"/>
        <v>3985</v>
      </c>
      <c r="B3986" s="34" t="s">
        <v>8</v>
      </c>
      <c r="C3986" s="34" t="s">
        <v>13092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/>
      </c>
      <c r="I3986" s="34" t="s">
        <v>13065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>
      <c r="A3987" s="40">
        <f t="shared" si="66"/>
        <v>3986</v>
      </c>
      <c r="B3987" s="34" t="s">
        <v>8</v>
      </c>
      <c r="C3987" s="34" t="s">
        <v>13092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/>
      </c>
      <c r="I3987" s="34" t="s">
        <v>13065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>
      <c r="A3988" s="40">
        <f t="shared" si="66"/>
        <v>3987</v>
      </c>
      <c r="B3988" s="34" t="s">
        <v>8</v>
      </c>
      <c r="C3988" s="34" t="s">
        <v>13092</v>
      </c>
      <c r="D3988" s="8" t="s">
        <v>13244</v>
      </c>
      <c r="F3988" s="8" t="s">
        <v>275</v>
      </c>
      <c r="G3988" s="34" t="s">
        <v>8537</v>
      </c>
      <c r="H3988" s="34" t="str">
        <f>IFERROR(VLOOKUP(Table2[[#This Row], [Ticket]],Okey!A:B,2,0),"")</f>
        <v/>
      </c>
      <c r="I3988" s="34" t="s">
        <v>13065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>
      <c r="A3989" s="40">
        <f t="shared" si="66"/>
        <v>3988</v>
      </c>
      <c r="B3989" s="34" t="s">
        <v>8</v>
      </c>
      <c r="C3989" s="34" t="s">
        <v>13092</v>
      </c>
      <c r="D3989" s="8" t="s">
        <v>13245</v>
      </c>
      <c r="F3989" s="8" t="s">
        <v>275</v>
      </c>
      <c r="G3989" s="34" t="s">
        <v>8537</v>
      </c>
      <c r="H3989" s="34" t="str">
        <f>IFERROR(VLOOKUP(Table2[[#This Row], [Ticket]],Okey!A:B,2,0),"")</f>
        <v/>
      </c>
      <c r="I3989" s="34" t="s">
        <v>13065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>
      <c r="A3990" s="40">
        <f t="shared" si="66"/>
        <v>3989</v>
      </c>
      <c r="B3990" s="34" t="s">
        <v>8</v>
      </c>
      <c r="C3990" s="34" t="s">
        <v>13092</v>
      </c>
      <c r="D3990" s="8" t="s">
        <v>13246</v>
      </c>
      <c r="F3990" s="8" t="s">
        <v>275</v>
      </c>
      <c r="G3990" s="34" t="s">
        <v>8537</v>
      </c>
      <c r="H3990" s="34" t="str">
        <f>IFERROR(VLOOKUP(Table2[[#This Row], [Ticket]],Okey!A:B,2,0),"")</f>
        <v/>
      </c>
      <c r="I3990" s="34" t="s">
        <v>13065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>
      <c r="A3991" s="40">
        <f t="shared" si="66"/>
        <v>3990</v>
      </c>
      <c r="B3991" s="34" t="s">
        <v>8</v>
      </c>
      <c r="C3991" s="34" t="s">
        <v>13092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/>
      </c>
      <c r="I3991" s="34" t="s">
        <v>13065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>
      <c r="A3992" s="40">
        <f t="shared" si="66"/>
        <v>3991</v>
      </c>
      <c r="B3992" s="34" t="s">
        <v>8</v>
      </c>
      <c r="C3992" s="34" t="s">
        <v>13092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/>
      </c>
      <c r="I3992" s="34" t="s">
        <v>13065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>
      <c r="A3993" s="40">
        <f t="shared" ref="A3993:A4056" si="67">1+A3992</f>
        <v>3992</v>
      </c>
      <c r="B3993" s="34" t="s">
        <v>8</v>
      </c>
      <c r="C3993" s="34" t="s">
        <v>13092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/>
      </c>
      <c r="I3993" s="34" t="s">
        <v>13065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>
      <c r="A3994" s="40">
        <f t="shared" si="67"/>
        <v>3993</v>
      </c>
      <c r="B3994" s="34" t="s">
        <v>8</v>
      </c>
      <c r="C3994" s="34" t="s">
        <v>13092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/>
      </c>
      <c r="I3994" s="34" t="s">
        <v>13065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>
      <c r="A3995" s="40">
        <f t="shared" si="67"/>
        <v>3994</v>
      </c>
      <c r="B3995" s="34" t="s">
        <v>8</v>
      </c>
      <c r="C3995" s="34" t="s">
        <v>13092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/>
      </c>
      <c r="I3995" s="34" t="s">
        <v>13065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>
      <c r="A3996" s="40">
        <f t="shared" si="67"/>
        <v>3995</v>
      </c>
      <c r="B3996" s="34" t="s">
        <v>8</v>
      </c>
      <c r="C3996" s="34" t="s">
        <v>13092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/>
      </c>
      <c r="I3996" s="34" t="s">
        <v>13065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>
      <c r="A3997" s="40">
        <f t="shared" si="67"/>
        <v>3996</v>
      </c>
      <c r="B3997" s="34" t="s">
        <v>8</v>
      </c>
      <c r="C3997" s="34" t="s">
        <v>13092</v>
      </c>
      <c r="D3997" s="8" t="s">
        <v>13247</v>
      </c>
      <c r="F3997" s="8" t="s">
        <v>275</v>
      </c>
      <c r="G3997" s="34" t="s">
        <v>8537</v>
      </c>
      <c r="H3997" s="34" t="str">
        <f>IFERROR(VLOOKUP(Table2[[#This Row], [Ticket]],Okey!A:B,2,0),"")</f>
        <v/>
      </c>
      <c r="I3997" s="34" t="s">
        <v>13065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>
      <c r="A3998" s="40">
        <f t="shared" si="67"/>
        <v>3997</v>
      </c>
      <c r="B3998" s="34" t="s">
        <v>8</v>
      </c>
      <c r="C3998" s="34" t="s">
        <v>13092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/>
      </c>
      <c r="I3998" s="34" t="s">
        <v>13065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>
      <c r="A3999" s="40">
        <f t="shared" si="67"/>
        <v>3998</v>
      </c>
      <c r="B3999" s="34" t="s">
        <v>8</v>
      </c>
      <c r="C3999" s="34" t="s">
        <v>13092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/>
      </c>
      <c r="I3999" s="34" t="s">
        <v>13065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>
      <c r="A4000" s="40">
        <f t="shared" si="67"/>
        <v>3999</v>
      </c>
      <c r="B4000" s="34" t="s">
        <v>8</v>
      </c>
      <c r="C4000" s="34" t="s">
        <v>13092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/>
      </c>
      <c r="I4000" s="34" t="s">
        <v>13065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>
      <c r="A4001" s="40">
        <f t="shared" si="67"/>
        <v>4000</v>
      </c>
      <c r="B4001" s="34" t="s">
        <v>8</v>
      </c>
      <c r="C4001" s="34" t="s">
        <v>13092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/>
      </c>
      <c r="I4001" s="34" t="s">
        <v>13065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>
      <c r="A4002" s="40">
        <f t="shared" si="67"/>
        <v>4001</v>
      </c>
      <c r="B4002" s="34" t="s">
        <v>8</v>
      </c>
      <c r="C4002" s="34" t="s">
        <v>13092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/>
      </c>
      <c r="I4002" s="34" t="s">
        <v>13065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>
      <c r="A4003" s="40">
        <f t="shared" si="67"/>
        <v>4002</v>
      </c>
      <c r="B4003" s="34" t="s">
        <v>8</v>
      </c>
      <c r="C4003" s="34" t="s">
        <v>13092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/>
      </c>
      <c r="I4003" s="34" t="s">
        <v>13065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>
      <c r="A4004" s="40">
        <f t="shared" si="67"/>
        <v>4003</v>
      </c>
      <c r="B4004" s="34" t="s">
        <v>8</v>
      </c>
      <c r="C4004" s="34" t="s">
        <v>13092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/>
      </c>
      <c r="I4004" s="34" t="s">
        <v>13065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>
      <c r="A4005" s="40">
        <f t="shared" si="67"/>
        <v>4004</v>
      </c>
      <c r="B4005" s="34" t="s">
        <v>8</v>
      </c>
      <c r="C4005" s="34" t="s">
        <v>13092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/>
      </c>
      <c r="I4005" s="34" t="s">
        <v>13065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>
      <c r="A4006" s="40">
        <f t="shared" si="67"/>
        <v>4005</v>
      </c>
      <c r="B4006" s="34" t="s">
        <v>8</v>
      </c>
      <c r="C4006" s="34" t="s">
        <v>13092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/>
      </c>
      <c r="I4006" s="34" t="s">
        <v>13065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>
      <c r="A4007" s="40">
        <f t="shared" si="67"/>
        <v>4006</v>
      </c>
      <c r="B4007" s="34" t="s">
        <v>8</v>
      </c>
      <c r="C4007" s="34" t="s">
        <v>13092</v>
      </c>
      <c r="D4007" s="8" t="s">
        <v>13248</v>
      </c>
      <c r="F4007" s="8" t="s">
        <v>275</v>
      </c>
      <c r="G4007" s="34" t="s">
        <v>8537</v>
      </c>
      <c r="H4007" s="34" t="str">
        <f>IFERROR(VLOOKUP(Table2[[#This Row], [Ticket]],Okey!A:B,2,0),"")</f>
        <v/>
      </c>
      <c r="I4007" s="34" t="s">
        <v>13065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>
      <c r="A4008" s="40">
        <f t="shared" si="67"/>
        <v>4007</v>
      </c>
      <c r="B4008" s="34" t="s">
        <v>8</v>
      </c>
      <c r="C4008" s="34" t="s">
        <v>13092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/>
      </c>
      <c r="I4008" s="34" t="s">
        <v>13065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>
      <c r="A4009" s="40">
        <f t="shared" si="67"/>
        <v>4008</v>
      </c>
      <c r="B4009" s="34" t="s">
        <v>8</v>
      </c>
      <c r="C4009" s="34" t="s">
        <v>13092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/>
      </c>
      <c r="I4009" s="34" t="s">
        <v>13065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>
      <c r="A4010" s="40">
        <f t="shared" si="67"/>
        <v>4009</v>
      </c>
      <c r="B4010" s="34" t="s">
        <v>8</v>
      </c>
      <c r="C4010" s="34" t="s">
        <v>13092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/>
      </c>
      <c r="I4010" s="34" t="s">
        <v>13065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>
      <c r="A4011" s="40">
        <f t="shared" si="67"/>
        <v>4010</v>
      </c>
      <c r="B4011" s="34" t="s">
        <v>8</v>
      </c>
      <c r="C4011" s="34" t="s">
        <v>13092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/>
      </c>
      <c r="I4011" s="34" t="s">
        <v>13065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>
      <c r="A4012" s="40">
        <f t="shared" si="67"/>
        <v>4011</v>
      </c>
      <c r="B4012" s="34" t="s">
        <v>8</v>
      </c>
      <c r="C4012" s="34" t="s">
        <v>13092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/>
      </c>
      <c r="I4012" s="34" t="s">
        <v>13065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>
      <c r="A4013" s="40">
        <f t="shared" si="67"/>
        <v>4012</v>
      </c>
      <c r="B4013" s="34" t="s">
        <v>8</v>
      </c>
      <c r="C4013" s="34" t="s">
        <v>13092</v>
      </c>
      <c r="D4013" s="8" t="s">
        <v>13249</v>
      </c>
      <c r="F4013" s="8" t="s">
        <v>275</v>
      </c>
      <c r="G4013" s="34" t="s">
        <v>8537</v>
      </c>
      <c r="H4013" s="34" t="str">
        <f>IFERROR(VLOOKUP(Table2[[#This Row], [Ticket]],Okey!A:B,2,0),"")</f>
        <v/>
      </c>
      <c r="I4013" s="34" t="s">
        <v>13065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>
      <c r="A4014" s="40">
        <f t="shared" si="67"/>
        <v>4013</v>
      </c>
      <c r="B4014" s="34" t="s">
        <v>8</v>
      </c>
      <c r="C4014" s="34" t="s">
        <v>13092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/>
      </c>
      <c r="I4014" s="34" t="s">
        <v>13065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>
      <c r="A4015" s="40">
        <f t="shared" si="67"/>
        <v>4014</v>
      </c>
      <c r="B4015" s="34" t="s">
        <v>8</v>
      </c>
      <c r="C4015" s="34" t="s">
        <v>13092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/>
      </c>
      <c r="I4015" s="34" t="s">
        <v>13065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>
      <c r="A4016" s="40">
        <f t="shared" si="67"/>
        <v>4015</v>
      </c>
      <c r="B4016" s="34" t="s">
        <v>8</v>
      </c>
      <c r="C4016" s="34" t="s">
        <v>13092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/>
      </c>
      <c r="I4016" s="34" t="s">
        <v>13065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>
      <c r="A4017" s="40">
        <f t="shared" si="67"/>
        <v>4016</v>
      </c>
      <c r="B4017" s="34" t="s">
        <v>8</v>
      </c>
      <c r="C4017" s="34" t="s">
        <v>13092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/>
      </c>
      <c r="I4017" s="34" t="s">
        <v>13065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>
      <c r="A4018" s="40">
        <f t="shared" si="67"/>
        <v>4017</v>
      </c>
      <c r="B4018" s="34" t="s">
        <v>8</v>
      </c>
      <c r="C4018" s="34" t="s">
        <v>13092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/>
      </c>
      <c r="I4018" s="34" t="s">
        <v>13065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>
      <c r="A4019" s="40">
        <f t="shared" si="67"/>
        <v>4018</v>
      </c>
      <c r="B4019" s="34" t="s">
        <v>8</v>
      </c>
      <c r="C4019" s="34" t="s">
        <v>13092</v>
      </c>
      <c r="D4019" s="8" t="s">
        <v>13250</v>
      </c>
      <c r="F4019" s="8" t="s">
        <v>275</v>
      </c>
      <c r="G4019" s="34" t="s">
        <v>8537</v>
      </c>
      <c r="H4019" s="34" t="str">
        <f>IFERROR(VLOOKUP(Table2[[#This Row], [Ticket]],Okey!A:B,2,0),"")</f>
        <v/>
      </c>
      <c r="I4019" s="34" t="s">
        <v>13065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>
      <c r="A4020" s="40">
        <f t="shared" si="67"/>
        <v>4019</v>
      </c>
      <c r="B4020" s="34" t="s">
        <v>8</v>
      </c>
      <c r="C4020" s="34" t="s">
        <v>13092</v>
      </c>
      <c r="D4020" s="8" t="s">
        <v>13251</v>
      </c>
      <c r="F4020" s="8" t="s">
        <v>275</v>
      </c>
      <c r="G4020" s="34" t="s">
        <v>8537</v>
      </c>
      <c r="H4020" s="34" t="str">
        <f>IFERROR(VLOOKUP(Table2[[#This Row], [Ticket]],Okey!A:B,2,0),"")</f>
        <v/>
      </c>
      <c r="I4020" s="34" t="s">
        <v>13065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>
      <c r="A4021" s="40">
        <f t="shared" si="67"/>
        <v>4020</v>
      </c>
      <c r="B4021" s="34" t="s">
        <v>8</v>
      </c>
      <c r="C4021" s="34" t="s">
        <v>13092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/>
      </c>
      <c r="I4021" s="34" t="s">
        <v>13065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>
      <c r="A4022" s="40">
        <f t="shared" si="67"/>
        <v>4021</v>
      </c>
      <c r="B4022" s="34" t="s">
        <v>8</v>
      </c>
      <c r="C4022" s="34" t="s">
        <v>13092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/>
      </c>
      <c r="I4022" s="34" t="s">
        <v>13065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>
      <c r="A4023" s="40">
        <f t="shared" si="67"/>
        <v>4022</v>
      </c>
      <c r="B4023" s="34" t="s">
        <v>8</v>
      </c>
      <c r="C4023" s="34" t="s">
        <v>13092</v>
      </c>
      <c r="D4023" s="8" t="s">
        <v>13251</v>
      </c>
      <c r="F4023" s="8" t="s">
        <v>275</v>
      </c>
      <c r="G4023" s="34" t="s">
        <v>8537</v>
      </c>
      <c r="H4023" s="34" t="str">
        <f>IFERROR(VLOOKUP(Table2[[#This Row], [Ticket]],Okey!A:B,2,0),"")</f>
        <v/>
      </c>
      <c r="I4023" s="34" t="s">
        <v>13065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>
      <c r="A4024" s="40">
        <f t="shared" si="67"/>
        <v>4023</v>
      </c>
      <c r="B4024" s="34" t="s">
        <v>8</v>
      </c>
      <c r="C4024" s="34" t="s">
        <v>13092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/>
      </c>
      <c r="I4024" s="34" t="s">
        <v>13065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>
      <c r="A4025" s="40">
        <f t="shared" si="67"/>
        <v>4024</v>
      </c>
      <c r="B4025" s="34" t="s">
        <v>8</v>
      </c>
      <c r="C4025" s="34" t="s">
        <v>13092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/>
      </c>
      <c r="I4025" s="34" t="s">
        <v>13065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>
      <c r="A4026" s="40">
        <f t="shared" si="67"/>
        <v>4025</v>
      </c>
      <c r="B4026" s="34" t="s">
        <v>8</v>
      </c>
      <c r="C4026" s="34" t="s">
        <v>13092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/>
      </c>
      <c r="I4026" s="34" t="s">
        <v>13065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>
      <c r="A4027" s="40">
        <f t="shared" si="67"/>
        <v>4026</v>
      </c>
      <c r="B4027" s="34" t="s">
        <v>8</v>
      </c>
      <c r="C4027" s="34" t="s">
        <v>13092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/>
      </c>
      <c r="I4027" s="34" t="s">
        <v>13065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>
      <c r="A4028" s="40">
        <f t="shared" si="67"/>
        <v>4027</v>
      </c>
      <c r="B4028" s="34" t="s">
        <v>8</v>
      </c>
      <c r="C4028" s="34" t="s">
        <v>13716</v>
      </c>
      <c r="D4028" s="118" t="s">
        <v>13714</v>
      </c>
      <c r="E4028" s="8" t="s">
        <v>13715</v>
      </c>
      <c r="G4028" s="34" t="s">
        <v>15</v>
      </c>
      <c r="H4028" s="34" t="str">
        <f>IFERROR(VLOOKUP(Table2[[#This Row], [Ticket]],Okey!A:B,2,0),"")</f>
        <v/>
      </c>
      <c r="I4028" s="34" t="s">
        <v>13065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>
      <c r="A4029" s="40">
        <f t="shared" si="67"/>
        <v>4028</v>
      </c>
      <c r="B4029" s="34" t="s">
        <v>8</v>
      </c>
      <c r="C4029" s="34" t="s">
        <v>13092</v>
      </c>
      <c r="D4029" s="8" t="s">
        <v>2427</v>
      </c>
      <c r="E4029" s="8" t="s">
        <v>13233</v>
      </c>
      <c r="F4029" t="s">
        <v>13279</v>
      </c>
      <c r="G4029" s="34" t="s">
        <v>16</v>
      </c>
      <c r="H4029" s="34" t="str">
        <f>IFERROR(VLOOKUP(Table2[[#This Row], [Ticket]],Okey!A:B,2,0),"")</f>
        <v/>
      </c>
      <c r="I4029" s="34" t="s">
        <v>13065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>
      <c r="A4030" s="40">
        <f t="shared" si="67"/>
        <v>4029</v>
      </c>
      <c r="B4030" s="34" t="s">
        <v>8</v>
      </c>
      <c r="C4030" s="34" t="s">
        <v>13092</v>
      </c>
      <c r="D4030" s="8" t="s">
        <v>8043</v>
      </c>
      <c r="E4030" s="8" t="s">
        <v>13234</v>
      </c>
      <c r="F4030" s="8" t="s">
        <v>2435</v>
      </c>
      <c r="G4030" s="34" t="s">
        <v>16</v>
      </c>
      <c r="H4030" s="34" t="str">
        <f>IFERROR(VLOOKUP(Table2[[#This Row], [Ticket]],Okey!A:B,2,0),"")</f>
        <v/>
      </c>
      <c r="I4030" s="34" t="s">
        <v>13065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>
      <c r="A4031" s="40">
        <f t="shared" si="67"/>
        <v>4030</v>
      </c>
      <c r="B4031" s="34" t="s">
        <v>8</v>
      </c>
      <c r="C4031" s="34" t="s">
        <v>13092</v>
      </c>
      <c r="D4031" s="8" t="s">
        <v>2234</v>
      </c>
      <c r="E4031" s="8" t="s">
        <v>13235</v>
      </c>
      <c r="F4031" s="8" t="s">
        <v>2435</v>
      </c>
      <c r="G4031" s="34" t="s">
        <v>16</v>
      </c>
      <c r="H4031" s="34" t="str">
        <f>IFERROR(VLOOKUP(Table2[[#This Row], [Ticket]],Okey!A:B,2,0),"")</f>
        <v/>
      </c>
      <c r="I4031" s="34" t="s">
        <v>13065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>
      <c r="A4032" s="40">
        <f t="shared" si="67"/>
        <v>4031</v>
      </c>
      <c r="B4032" s="34" t="s">
        <v>8</v>
      </c>
      <c r="C4032" s="34" t="s">
        <v>13092</v>
      </c>
      <c r="D4032" s="8" t="s">
        <v>2235</v>
      </c>
      <c r="E4032" s="8" t="s">
        <v>13236</v>
      </c>
      <c r="F4032" s="8" t="s">
        <v>2306</v>
      </c>
      <c r="G4032" s="34" t="s">
        <v>16</v>
      </c>
      <c r="H4032" s="34" t="str">
        <f>IFERROR(VLOOKUP(Table2[[#This Row], [Ticket]],Okey!A:B,2,0),"")</f>
        <v/>
      </c>
      <c r="I4032" s="34" t="s">
        <v>13065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>
      <c r="A4033" s="40">
        <f t="shared" si="67"/>
        <v>4032</v>
      </c>
      <c r="B4033" s="34" t="s">
        <v>8</v>
      </c>
      <c r="C4033" s="34" t="s">
        <v>13092</v>
      </c>
      <c r="D4033" s="8" t="s">
        <v>2237</v>
      </c>
      <c r="E4033" s="8" t="s">
        <v>13237</v>
      </c>
      <c r="F4033" s="8" t="s">
        <v>12177</v>
      </c>
      <c r="G4033" s="34" t="s">
        <v>16</v>
      </c>
      <c r="H4033" s="34" t="str">
        <f>IFERROR(VLOOKUP(Table2[[#This Row], [Ticket]],Okey!A:B,2,0),"")</f>
        <v/>
      </c>
      <c r="I4033" s="34" t="s">
        <v>13065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>
      <c r="A4034" s="40">
        <f t="shared" si="67"/>
        <v>4033</v>
      </c>
      <c r="B4034" s="34" t="s">
        <v>8</v>
      </c>
      <c r="C4034" s="34" t="s">
        <v>13092</v>
      </c>
      <c r="D4034" s="8" t="s">
        <v>2239</v>
      </c>
      <c r="E4034" s="8" t="s">
        <v>13238</v>
      </c>
      <c r="F4034" s="8" t="s">
        <v>12177</v>
      </c>
      <c r="G4034" s="34" t="s">
        <v>16</v>
      </c>
      <c r="H4034" s="34" t="str">
        <f>IFERROR(VLOOKUP(Table2[[#This Row], [Ticket]],Okey!A:B,2,0),"")</f>
        <v/>
      </c>
      <c r="I4034" s="34" t="s">
        <v>13065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>
      <c r="A4035" s="40">
        <f t="shared" si="67"/>
        <v>4034</v>
      </c>
      <c r="B4035" s="34" t="s">
        <v>8</v>
      </c>
      <c r="C4035" s="34" t="s">
        <v>13092</v>
      </c>
      <c r="D4035" s="8" t="s">
        <v>2241</v>
      </c>
      <c r="E4035" s="8" t="s">
        <v>13239</v>
      </c>
      <c r="F4035" s="8" t="s">
        <v>2306</v>
      </c>
      <c r="G4035" s="34" t="s">
        <v>16</v>
      </c>
      <c r="H4035" s="34" t="str">
        <f>IFERROR(VLOOKUP(Table2[[#This Row], [Ticket]],Okey!A:B,2,0),"")</f>
        <v/>
      </c>
      <c r="I4035" s="34" t="s">
        <v>13065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>
      <c r="A4036" s="40">
        <f t="shared" si="67"/>
        <v>4035</v>
      </c>
      <c r="B4036" s="34" t="s">
        <v>8</v>
      </c>
      <c r="C4036" s="34" t="s">
        <v>13092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/>
      </c>
      <c r="I4036" s="34" t="s">
        <v>13065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>
      <c r="A4037" s="40">
        <f t="shared" si="67"/>
        <v>4036</v>
      </c>
      <c r="B4037" s="34" t="s">
        <v>8</v>
      </c>
      <c r="C4037" s="34" t="s">
        <v>13289</v>
      </c>
      <c r="E4037" s="34" t="s">
        <v>13290</v>
      </c>
      <c r="F4037" s="34" t="s">
        <v>13291</v>
      </c>
      <c r="G4037" s="8" t="s">
        <v>14</v>
      </c>
      <c r="H4037" s="34" t="str">
        <f>IFERROR(VLOOKUP(Table2[[#This Row], [Ticket]],Okey!A:B,2,0),"")</f>
        <v/>
      </c>
      <c r="I4037" s="34"/>
      <c r="J4037" s="34" t="str">
        <f>VLOOKUP(Table2[[#This Row],[Author]],People!A:B,2,0)</f>
        <v>LS</v>
      </c>
      <c r="L4037" s="34"/>
      <c r="M4037" s="34" t="s">
        <v>4799</v>
      </c>
    </row>
    <row r="4038" spans="1:13">
      <c r="A4038" s="40">
        <f t="shared" si="67"/>
        <v>4037</v>
      </c>
      <c r="B4038" s="34" t="s">
        <v>8</v>
      </c>
      <c r="C4038" s="34" t="s">
        <v>13289</v>
      </c>
      <c r="E4038" s="34" t="s">
        <v>13292</v>
      </c>
      <c r="F4038" s="34" t="s">
        <v>13291</v>
      </c>
      <c r="G4038" s="34" t="s">
        <v>14</v>
      </c>
      <c r="H4038" s="34" t="str">
        <f>IFERROR(VLOOKUP(Table2[[#This Row], [Ticket]],Okey!A:B,2,0),"")</f>
        <v/>
      </c>
      <c r="I4038" s="34"/>
      <c r="J4038" s="34" t="str">
        <f>VLOOKUP(Table2[[#This Row],[Author]],People!A:B,2,0)</f>
        <v>LS</v>
      </c>
      <c r="L4038" s="34"/>
      <c r="M4038" s="34" t="s">
        <v>4799</v>
      </c>
    </row>
    <row r="4039" spans="1:13">
      <c r="A4039" s="40">
        <f t="shared" si="67"/>
        <v>4038</v>
      </c>
      <c r="B4039" s="34" t="s">
        <v>8</v>
      </c>
      <c r="C4039" s="34" t="s">
        <v>13289</v>
      </c>
      <c r="E4039" s="34" t="s">
        <v>13293</v>
      </c>
      <c r="F4039" s="34" t="s">
        <v>948</v>
      </c>
      <c r="G4039" s="34" t="s">
        <v>14</v>
      </c>
      <c r="H4039" s="34" t="str">
        <f>IFERROR(VLOOKUP(Table2[[#This Row], [Ticket]],Okey!A:B,2,0),"")</f>
        <v/>
      </c>
      <c r="I4039" s="34"/>
      <c r="J4039" s="34" t="str">
        <f>VLOOKUP(Table2[[#This Row],[Author]],People!A:B,2,0)</f>
        <v>LS</v>
      </c>
      <c r="L4039" s="34"/>
      <c r="M4039" s="34" t="s">
        <v>4799</v>
      </c>
    </row>
    <row r="4040" spans="1:13">
      <c r="A4040" s="40">
        <f t="shared" si="67"/>
        <v>4039</v>
      </c>
      <c r="B4040" s="34" t="s">
        <v>8</v>
      </c>
      <c r="C4040" s="34" t="s">
        <v>13289</v>
      </c>
      <c r="E4040" s="34" t="s">
        <v>13294</v>
      </c>
      <c r="F4040" s="34" t="s">
        <v>12186</v>
      </c>
      <c r="G4040" s="34" t="s">
        <v>14</v>
      </c>
      <c r="H4040" s="34" t="str">
        <f>IFERROR(VLOOKUP(Table2[[#This Row], [Ticket]],Okey!A:B,2,0),"")</f>
        <v/>
      </c>
      <c r="I4040" s="34"/>
      <c r="J4040" s="34" t="str">
        <f>VLOOKUP(Table2[[#This Row],[Author]],People!A:B,2,0)</f>
        <v>LS</v>
      </c>
      <c r="L4040" s="34"/>
      <c r="M4040" s="34" t="s">
        <v>4799</v>
      </c>
    </row>
    <row r="4041" spans="1:13">
      <c r="A4041" s="40">
        <f t="shared" si="67"/>
        <v>4040</v>
      </c>
      <c r="B4041" s="34" t="s">
        <v>8</v>
      </c>
      <c r="C4041" s="34" t="s">
        <v>13289</v>
      </c>
      <c r="E4041" s="34" t="s">
        <v>13295</v>
      </c>
      <c r="F4041" s="34" t="s">
        <v>8579</v>
      </c>
      <c r="G4041" s="34" t="s">
        <v>14</v>
      </c>
      <c r="H4041" s="34" t="str">
        <f>IFERROR(VLOOKUP(Table2[[#This Row], [Ticket]],Okey!A:B,2,0),"")</f>
        <v/>
      </c>
      <c r="I4041" s="34"/>
      <c r="J4041" s="34" t="str">
        <f>VLOOKUP(Table2[[#This Row],[Author]],People!A:B,2,0)</f>
        <v>LS</v>
      </c>
      <c r="L4041" s="34"/>
      <c r="M4041" s="34" t="s">
        <v>4799</v>
      </c>
    </row>
    <row r="4042" spans="1:13">
      <c r="A4042" s="40">
        <f t="shared" si="67"/>
        <v>4041</v>
      </c>
      <c r="B4042" s="34" t="s">
        <v>8</v>
      </c>
      <c r="C4042" s="34" t="s">
        <v>13289</v>
      </c>
      <c r="E4042" s="34" t="s">
        <v>13296</v>
      </c>
      <c r="F4042" s="34" t="s">
        <v>1352</v>
      </c>
      <c r="G4042" s="34" t="s">
        <v>14</v>
      </c>
      <c r="H4042" s="34" t="str">
        <f>IFERROR(VLOOKUP(Table2[[#This Row], [Ticket]],Okey!A:B,2,0),"")</f>
        <v/>
      </c>
      <c r="I4042" s="34"/>
      <c r="J4042" s="34" t="str">
        <f>VLOOKUP(Table2[[#This Row],[Author]],People!A:B,2,0)</f>
        <v>LS</v>
      </c>
      <c r="L4042" s="34"/>
      <c r="M4042" s="34" t="s">
        <v>4799</v>
      </c>
    </row>
    <row r="4043" spans="1:13">
      <c r="A4043" s="40">
        <f t="shared" si="67"/>
        <v>4042</v>
      </c>
      <c r="B4043" s="34" t="s">
        <v>8</v>
      </c>
      <c r="C4043" s="34" t="s">
        <v>13289</v>
      </c>
      <c r="E4043" s="34" t="s">
        <v>13297</v>
      </c>
      <c r="F4043" s="34" t="s">
        <v>3477</v>
      </c>
      <c r="G4043" s="34" t="s">
        <v>14</v>
      </c>
      <c r="H4043" s="34" t="str">
        <f>IFERROR(VLOOKUP(Table2[[#This Row], [Ticket]],Okey!A:B,2,0),"")</f>
        <v/>
      </c>
      <c r="I4043" s="34"/>
      <c r="J4043" s="34" t="str">
        <f>VLOOKUP(Table2[[#This Row],[Author]],People!A:B,2,0)</f>
        <v>LS</v>
      </c>
      <c r="L4043" s="34"/>
      <c r="M4043" s="34" t="s">
        <v>4799</v>
      </c>
    </row>
    <row r="4044" spans="1:13">
      <c r="A4044" s="40">
        <f t="shared" si="67"/>
        <v>4043</v>
      </c>
      <c r="B4044" s="34" t="s">
        <v>8</v>
      </c>
      <c r="C4044" s="34" t="s">
        <v>13289</v>
      </c>
      <c r="E4044" s="34" t="s">
        <v>13298</v>
      </c>
      <c r="F4044" s="34" t="s">
        <v>3477</v>
      </c>
      <c r="G4044" s="34" t="s">
        <v>14</v>
      </c>
      <c r="H4044" s="34" t="str">
        <f>IFERROR(VLOOKUP(Table2[[#This Row], [Ticket]],Okey!A:B,2,0),"")</f>
        <v/>
      </c>
      <c r="I4044" s="34"/>
      <c r="J4044" s="34" t="str">
        <f>VLOOKUP(Table2[[#This Row],[Author]],People!A:B,2,0)</f>
        <v>LS</v>
      </c>
      <c r="L4044" s="34"/>
      <c r="M4044" s="34" t="s">
        <v>4799</v>
      </c>
    </row>
    <row r="4045" spans="1:13">
      <c r="A4045" s="40">
        <f t="shared" si="67"/>
        <v>4044</v>
      </c>
      <c r="B4045" s="34" t="s">
        <v>8</v>
      </c>
      <c r="C4045" s="34" t="s">
        <v>13289</v>
      </c>
      <c r="E4045" s="34" t="s">
        <v>13299</v>
      </c>
      <c r="F4045" s="34" t="s">
        <v>3477</v>
      </c>
      <c r="G4045" s="34" t="s">
        <v>14</v>
      </c>
      <c r="H4045" s="34" t="str">
        <f>IFERROR(VLOOKUP(Table2[[#This Row], [Ticket]],Okey!A:B,2,0),"")</f>
        <v/>
      </c>
      <c r="I4045" s="34"/>
      <c r="J4045" s="34" t="str">
        <f>VLOOKUP(Table2[[#This Row],[Author]],People!A:B,2,0)</f>
        <v>LS</v>
      </c>
      <c r="L4045" s="34"/>
      <c r="M4045" s="34" t="s">
        <v>4799</v>
      </c>
    </row>
    <row r="4046" spans="1:13">
      <c r="A4046" s="40">
        <f t="shared" si="67"/>
        <v>4045</v>
      </c>
      <c r="B4046" s="34" t="s">
        <v>8</v>
      </c>
      <c r="C4046" s="34" t="s">
        <v>13289</v>
      </c>
      <c r="E4046" s="34" t="s">
        <v>13300</v>
      </c>
      <c r="F4046" s="34" t="s">
        <v>3477</v>
      </c>
      <c r="G4046" s="34" t="s">
        <v>14</v>
      </c>
      <c r="H4046" s="34" t="str">
        <f>IFERROR(VLOOKUP(Table2[[#This Row], [Ticket]],Okey!A:B,2,0),"")</f>
        <v/>
      </c>
      <c r="I4046" s="34"/>
      <c r="J4046" s="34" t="str">
        <f>VLOOKUP(Table2[[#This Row],[Author]],People!A:B,2,0)</f>
        <v>LS</v>
      </c>
      <c r="L4046" s="34"/>
      <c r="M4046" s="34" t="s">
        <v>4799</v>
      </c>
    </row>
    <row r="4047" spans="1:13">
      <c r="A4047" s="40">
        <f t="shared" si="67"/>
        <v>4046</v>
      </c>
      <c r="B4047" s="34" t="s">
        <v>8</v>
      </c>
      <c r="C4047" s="34" t="s">
        <v>13289</v>
      </c>
      <c r="E4047" s="34" t="s">
        <v>13301</v>
      </c>
      <c r="F4047" s="34" t="s">
        <v>3477</v>
      </c>
      <c r="G4047" s="34" t="s">
        <v>14</v>
      </c>
      <c r="H4047" s="34" t="str">
        <f>IFERROR(VLOOKUP(Table2[[#This Row], [Ticket]],Okey!A:B,2,0),"")</f>
        <v/>
      </c>
      <c r="I4047" s="34"/>
      <c r="J4047" s="34" t="str">
        <f>VLOOKUP(Table2[[#This Row],[Author]],People!A:B,2,0)</f>
        <v>LS</v>
      </c>
      <c r="L4047" s="34"/>
      <c r="M4047" s="34" t="s">
        <v>4799</v>
      </c>
    </row>
    <row r="4048" spans="1:13">
      <c r="A4048" s="40">
        <f t="shared" si="67"/>
        <v>4047</v>
      </c>
      <c r="B4048" s="34" t="s">
        <v>8</v>
      </c>
      <c r="C4048" s="34" t="s">
        <v>13289</v>
      </c>
      <c r="E4048" s="34" t="s">
        <v>13302</v>
      </c>
      <c r="F4048" s="34" t="s">
        <v>3477</v>
      </c>
      <c r="G4048" s="34" t="s">
        <v>14</v>
      </c>
      <c r="H4048" s="34" t="str">
        <f>IFERROR(VLOOKUP(Table2[[#This Row], [Ticket]],Okey!A:B,2,0),"")</f>
        <v/>
      </c>
      <c r="I4048" s="34"/>
      <c r="J4048" s="34" t="str">
        <f>VLOOKUP(Table2[[#This Row],[Author]],People!A:B,2,0)</f>
        <v>LS</v>
      </c>
      <c r="L4048" s="34"/>
      <c r="M4048" s="34" t="s">
        <v>4799</v>
      </c>
    </row>
    <row r="4049" spans="1:13">
      <c r="A4049" s="40">
        <f t="shared" si="67"/>
        <v>4048</v>
      </c>
      <c r="B4049" s="34" t="s">
        <v>8</v>
      </c>
      <c r="C4049" s="34" t="s">
        <v>13289</v>
      </c>
      <c r="E4049" s="34" t="s">
        <v>13303</v>
      </c>
      <c r="F4049" s="34" t="s">
        <v>3477</v>
      </c>
      <c r="G4049" s="34" t="s">
        <v>14</v>
      </c>
      <c r="H4049" s="34" t="str">
        <f>IFERROR(VLOOKUP(Table2[[#This Row], [Ticket]],Okey!A:B,2,0),"")</f>
        <v/>
      </c>
      <c r="I4049" s="34"/>
      <c r="J4049" s="34" t="str">
        <f>VLOOKUP(Table2[[#This Row],[Author]],People!A:B,2,0)</f>
        <v>LS</v>
      </c>
      <c r="L4049" s="34"/>
      <c r="M4049" s="34" t="s">
        <v>4799</v>
      </c>
    </row>
    <row r="4050" spans="1:13">
      <c r="A4050" s="40">
        <f t="shared" si="67"/>
        <v>4049</v>
      </c>
      <c r="B4050" s="34" t="s">
        <v>8</v>
      </c>
      <c r="C4050" s="34" t="s">
        <v>13289</v>
      </c>
      <c r="E4050" s="34" t="s">
        <v>13304</v>
      </c>
      <c r="F4050" s="34" t="s">
        <v>1441</v>
      </c>
      <c r="G4050" s="34" t="s">
        <v>14</v>
      </c>
      <c r="H4050" s="34" t="str">
        <f>IFERROR(VLOOKUP(Table2[[#This Row], [Ticket]],Okey!A:B,2,0),"")</f>
        <v/>
      </c>
      <c r="I4050" s="34"/>
      <c r="J4050" s="34" t="str">
        <f>VLOOKUP(Table2[[#This Row],[Author]],People!A:B,2,0)</f>
        <v>LS</v>
      </c>
      <c r="L4050" s="34"/>
      <c r="M4050" s="34" t="s">
        <v>4799</v>
      </c>
    </row>
    <row r="4051" spans="1:13">
      <c r="A4051" s="40">
        <f t="shared" si="67"/>
        <v>4050</v>
      </c>
      <c r="B4051" s="34" t="s">
        <v>8</v>
      </c>
      <c r="C4051" s="34" t="s">
        <v>13289</v>
      </c>
      <c r="E4051" s="34" t="s">
        <v>13305</v>
      </c>
      <c r="F4051" s="34" t="s">
        <v>1441</v>
      </c>
      <c r="G4051" s="34" t="s">
        <v>14</v>
      </c>
      <c r="H4051" s="34" t="str">
        <f>IFERROR(VLOOKUP(Table2[[#This Row], [Ticket]],Okey!A:B,2,0),"")</f>
        <v/>
      </c>
      <c r="I4051" s="34"/>
      <c r="J4051" s="34" t="str">
        <f>VLOOKUP(Table2[[#This Row],[Author]],People!A:B,2,0)</f>
        <v>LS</v>
      </c>
      <c r="L4051" s="34"/>
      <c r="M4051" s="34" t="s">
        <v>4799</v>
      </c>
    </row>
    <row r="4052" spans="1:13">
      <c r="A4052" s="40">
        <f t="shared" si="67"/>
        <v>4051</v>
      </c>
      <c r="B4052" s="34" t="s">
        <v>8</v>
      </c>
      <c r="C4052" s="34" t="s">
        <v>13289</v>
      </c>
      <c r="E4052" s="34" t="s">
        <v>13306</v>
      </c>
      <c r="F4052" s="34" t="s">
        <v>1441</v>
      </c>
      <c r="G4052" s="34" t="s">
        <v>14</v>
      </c>
      <c r="H4052" s="34" t="str">
        <f>IFERROR(VLOOKUP(Table2[[#This Row], [Ticket]],Okey!A:B,2,0),"")</f>
        <v/>
      </c>
      <c r="I4052" s="34"/>
      <c r="J4052" s="34" t="str">
        <f>VLOOKUP(Table2[[#This Row],[Author]],People!A:B,2,0)</f>
        <v>LS</v>
      </c>
      <c r="L4052" s="34"/>
      <c r="M4052" s="34" t="s">
        <v>4799</v>
      </c>
    </row>
    <row r="4053" spans="1:13">
      <c r="A4053" s="40">
        <f t="shared" si="67"/>
        <v>4052</v>
      </c>
      <c r="B4053" s="34" t="s">
        <v>8</v>
      </c>
      <c r="C4053" s="34" t="s">
        <v>13289</v>
      </c>
      <c r="E4053" s="34" t="s">
        <v>13307</v>
      </c>
      <c r="F4053" s="34" t="s">
        <v>1441</v>
      </c>
      <c r="G4053" s="34" t="s">
        <v>14</v>
      </c>
      <c r="H4053" s="34" t="str">
        <f>IFERROR(VLOOKUP(Table2[[#This Row], [Ticket]],Okey!A:B,2,0),"")</f>
        <v/>
      </c>
      <c r="I4053" s="34"/>
      <c r="J4053" s="34" t="str">
        <f>VLOOKUP(Table2[[#This Row],[Author]],People!A:B,2,0)</f>
        <v>LS</v>
      </c>
      <c r="L4053" s="34"/>
      <c r="M4053" s="34" t="s">
        <v>4799</v>
      </c>
    </row>
    <row r="4054" spans="1:13">
      <c r="A4054" s="40">
        <f t="shared" si="67"/>
        <v>4053</v>
      </c>
      <c r="B4054" s="34" t="s">
        <v>8</v>
      </c>
      <c r="C4054" s="34" t="s">
        <v>13289</v>
      </c>
      <c r="E4054" s="34" t="s">
        <v>13308</v>
      </c>
      <c r="F4054" s="34" t="s">
        <v>1441</v>
      </c>
      <c r="G4054" s="34" t="s">
        <v>14</v>
      </c>
      <c r="H4054" s="34" t="str">
        <f>IFERROR(VLOOKUP(Table2[[#This Row], [Ticket]],Okey!A:B,2,0),"")</f>
        <v/>
      </c>
      <c r="I4054" s="34"/>
      <c r="J4054" s="34" t="str">
        <f>VLOOKUP(Table2[[#This Row],[Author]],People!A:B,2,0)</f>
        <v>LS</v>
      </c>
      <c r="L4054" s="34"/>
      <c r="M4054" s="34" t="s">
        <v>4799</v>
      </c>
    </row>
    <row r="4055" spans="1:13">
      <c r="A4055" s="40">
        <f t="shared" si="67"/>
        <v>4054</v>
      </c>
      <c r="B4055" s="34" t="s">
        <v>8</v>
      </c>
      <c r="C4055" s="34" t="s">
        <v>13289</v>
      </c>
      <c r="E4055" s="34" t="s">
        <v>13309</v>
      </c>
      <c r="F4055" s="34" t="s">
        <v>1374</v>
      </c>
      <c r="G4055" s="34" t="s">
        <v>14</v>
      </c>
      <c r="H4055" s="34" t="str">
        <f>IFERROR(VLOOKUP(Table2[[#This Row], [Ticket]],Okey!A:B,2,0),"")</f>
        <v/>
      </c>
      <c r="I4055" s="34"/>
      <c r="J4055" s="34" t="str">
        <f>VLOOKUP(Table2[[#This Row],[Author]],People!A:B,2,0)</f>
        <v>LS</v>
      </c>
      <c r="L4055" s="34"/>
      <c r="M4055" s="34" t="s">
        <v>4799</v>
      </c>
    </row>
    <row r="4056" spans="1:13">
      <c r="A4056" s="40">
        <f t="shared" si="67"/>
        <v>4055</v>
      </c>
      <c r="B4056" s="34" t="s">
        <v>8</v>
      </c>
      <c r="C4056" s="34" t="s">
        <v>13289</v>
      </c>
      <c r="E4056" s="34" t="s">
        <v>13310</v>
      </c>
      <c r="F4056" s="34" t="s">
        <v>1374</v>
      </c>
      <c r="G4056" s="34" t="s">
        <v>14</v>
      </c>
      <c r="H4056" s="34" t="str">
        <f>IFERROR(VLOOKUP(Table2[[#This Row], [Ticket]],Okey!A:B,2,0),"")</f>
        <v/>
      </c>
      <c r="I4056" s="34"/>
      <c r="J4056" s="34" t="str">
        <f>VLOOKUP(Table2[[#This Row],[Author]],People!A:B,2,0)</f>
        <v>LS</v>
      </c>
      <c r="L4056" s="34"/>
      <c r="M4056" s="34" t="s">
        <v>4799</v>
      </c>
    </row>
    <row r="4057" spans="1:13">
      <c r="A4057" s="40">
        <f t="shared" ref="A4057:A4120" si="68">1+A4056</f>
        <v>4056</v>
      </c>
      <c r="B4057" s="34" t="s">
        <v>8</v>
      </c>
      <c r="C4057" s="34" t="s">
        <v>13289</v>
      </c>
      <c r="E4057" s="34" t="s">
        <v>13311</v>
      </c>
      <c r="F4057" s="34" t="s">
        <v>1374</v>
      </c>
      <c r="G4057" s="34" t="s">
        <v>14</v>
      </c>
      <c r="H4057" s="34" t="str">
        <f>IFERROR(VLOOKUP(Table2[[#This Row], [Ticket]],Okey!A:B,2,0),"")</f>
        <v/>
      </c>
      <c r="I4057" s="34"/>
      <c r="J4057" s="34" t="str">
        <f>VLOOKUP(Table2[[#This Row],[Author]],People!A:B,2,0)</f>
        <v>LS</v>
      </c>
      <c r="L4057" s="34"/>
      <c r="M4057" s="34" t="s">
        <v>4799</v>
      </c>
    </row>
    <row r="4058" spans="1:13">
      <c r="A4058" s="40">
        <f t="shared" si="68"/>
        <v>4057</v>
      </c>
      <c r="B4058" s="34" t="s">
        <v>8</v>
      </c>
      <c r="C4058" s="34" t="s">
        <v>13289</v>
      </c>
      <c r="E4058" s="34" t="s">
        <v>13312</v>
      </c>
      <c r="F4058" s="34" t="s">
        <v>1374</v>
      </c>
      <c r="G4058" s="34" t="s">
        <v>14</v>
      </c>
      <c r="H4058" s="34" t="str">
        <f>IFERROR(VLOOKUP(Table2[[#This Row], [Ticket]],Okey!A:B,2,0),"")</f>
        <v/>
      </c>
      <c r="I4058" s="34"/>
      <c r="J4058" s="34" t="str">
        <f>VLOOKUP(Table2[[#This Row],[Author]],People!A:B,2,0)</f>
        <v>LS</v>
      </c>
      <c r="L4058" s="34"/>
      <c r="M4058" s="34" t="s">
        <v>4799</v>
      </c>
    </row>
    <row r="4059" spans="1:13">
      <c r="A4059" s="40">
        <f t="shared" si="68"/>
        <v>4058</v>
      </c>
      <c r="B4059" s="34" t="s">
        <v>8</v>
      </c>
      <c r="C4059" s="34" t="s">
        <v>13289</v>
      </c>
      <c r="E4059" s="34" t="s">
        <v>13313</v>
      </c>
      <c r="F4059" s="34" t="s">
        <v>5518</v>
      </c>
      <c r="G4059" s="34" t="s">
        <v>14</v>
      </c>
      <c r="H4059" s="34" t="str">
        <f>IFERROR(VLOOKUP(Table2[[#This Row], [Ticket]],Okey!A:B,2,0),"")</f>
        <v/>
      </c>
      <c r="I4059" s="34"/>
      <c r="J4059" s="34" t="str">
        <f>VLOOKUP(Table2[[#This Row],[Author]],People!A:B,2,0)</f>
        <v>LS</v>
      </c>
      <c r="L4059" s="34"/>
      <c r="M4059" s="34" t="s">
        <v>4799</v>
      </c>
    </row>
    <row r="4060" spans="1:13">
      <c r="A4060" s="40">
        <f t="shared" si="68"/>
        <v>4059</v>
      </c>
      <c r="B4060" s="34" t="s">
        <v>8</v>
      </c>
      <c r="C4060" s="34" t="s">
        <v>13289</v>
      </c>
      <c r="E4060" s="34" t="s">
        <v>13314</v>
      </c>
      <c r="F4060" s="34" t="s">
        <v>1470</v>
      </c>
      <c r="G4060" s="34" t="s">
        <v>14</v>
      </c>
      <c r="H4060" s="34" t="str">
        <f>IFERROR(VLOOKUP(Table2[[#This Row], [Ticket]],Okey!A:B,2,0),"")</f>
        <v/>
      </c>
      <c r="I4060" s="34"/>
      <c r="J4060" s="34" t="str">
        <f>VLOOKUP(Table2[[#This Row],[Author]],People!A:B,2,0)</f>
        <v>LS</v>
      </c>
      <c r="L4060" s="34"/>
      <c r="M4060" s="34" t="s">
        <v>4799</v>
      </c>
    </row>
    <row r="4061" spans="1:13">
      <c r="A4061" s="40">
        <f t="shared" si="68"/>
        <v>4060</v>
      </c>
      <c r="B4061" s="34" t="s">
        <v>8</v>
      </c>
      <c r="C4061" s="34" t="s">
        <v>13289</v>
      </c>
      <c r="E4061" s="34" t="s">
        <v>13315</v>
      </c>
      <c r="F4061" s="34" t="s">
        <v>13314</v>
      </c>
      <c r="G4061" s="34" t="s">
        <v>14</v>
      </c>
      <c r="H4061" s="34" t="str">
        <f>IFERROR(VLOOKUP(Table2[[#This Row], [Ticket]],Okey!A:B,2,0),"")</f>
        <v/>
      </c>
      <c r="I4061" s="34"/>
      <c r="J4061" s="34" t="str">
        <f>VLOOKUP(Table2[[#This Row],[Author]],People!A:B,2,0)</f>
        <v>LS</v>
      </c>
      <c r="L4061" s="34"/>
      <c r="M4061" s="34" t="s">
        <v>4799</v>
      </c>
    </row>
    <row r="4062" spans="1:13">
      <c r="A4062" s="40">
        <f t="shared" si="68"/>
        <v>4061</v>
      </c>
      <c r="B4062" s="34" t="s">
        <v>8</v>
      </c>
      <c r="C4062" s="34" t="s">
        <v>13289</v>
      </c>
      <c r="E4062" s="34" t="s">
        <v>13316</v>
      </c>
      <c r="F4062" s="34" t="s">
        <v>13314</v>
      </c>
      <c r="G4062" s="34" t="s">
        <v>14</v>
      </c>
      <c r="H4062" s="34" t="str">
        <f>IFERROR(VLOOKUP(Table2[[#This Row], [Ticket]],Okey!A:B,2,0),"")</f>
        <v/>
      </c>
      <c r="I4062" s="34"/>
      <c r="J4062" s="34" t="str">
        <f>VLOOKUP(Table2[[#This Row],[Author]],People!A:B,2,0)</f>
        <v>LS</v>
      </c>
      <c r="L4062" s="34"/>
      <c r="M4062" s="34" t="s">
        <v>4799</v>
      </c>
    </row>
    <row r="4063" spans="1:13">
      <c r="A4063" s="40">
        <f t="shared" si="68"/>
        <v>4062</v>
      </c>
      <c r="B4063" s="34" t="s">
        <v>8</v>
      </c>
      <c r="C4063" s="34" t="s">
        <v>13289</v>
      </c>
      <c r="E4063" s="34" t="s">
        <v>13317</v>
      </c>
      <c r="F4063" s="34" t="s">
        <v>13314</v>
      </c>
      <c r="G4063" s="34" t="s">
        <v>14</v>
      </c>
      <c r="H4063" s="34" t="str">
        <f>IFERROR(VLOOKUP(Table2[[#This Row], [Ticket]],Okey!A:B,2,0),"")</f>
        <v/>
      </c>
      <c r="I4063" s="34"/>
      <c r="J4063" s="34" t="str">
        <f>VLOOKUP(Table2[[#This Row],[Author]],People!A:B,2,0)</f>
        <v>LS</v>
      </c>
      <c r="L4063" s="34"/>
      <c r="M4063" s="34" t="s">
        <v>4799</v>
      </c>
    </row>
    <row r="4064" spans="1:13">
      <c r="A4064" s="40">
        <f t="shared" si="68"/>
        <v>4063</v>
      </c>
      <c r="B4064" s="34" t="s">
        <v>8</v>
      </c>
      <c r="C4064" s="34" t="s">
        <v>13289</v>
      </c>
      <c r="E4064" s="34" t="s">
        <v>13318</v>
      </c>
      <c r="F4064" s="34" t="s">
        <v>13314</v>
      </c>
      <c r="G4064" s="34" t="s">
        <v>14</v>
      </c>
      <c r="H4064" s="34" t="str">
        <f>IFERROR(VLOOKUP(Table2[[#This Row], [Ticket]],Okey!A:B,2,0),"")</f>
        <v/>
      </c>
      <c r="I4064" s="34"/>
      <c r="J4064" s="34" t="str">
        <f>VLOOKUP(Table2[[#This Row],[Author]],People!A:B,2,0)</f>
        <v>LS</v>
      </c>
      <c r="L4064" s="34"/>
      <c r="M4064" s="34" t="s">
        <v>4799</v>
      </c>
    </row>
    <row r="4065" spans="1:13">
      <c r="A4065" s="40">
        <f t="shared" si="68"/>
        <v>4064</v>
      </c>
      <c r="B4065" s="34" t="s">
        <v>8</v>
      </c>
      <c r="C4065" s="34" t="s">
        <v>13289</v>
      </c>
      <c r="E4065" s="34" t="s">
        <v>13319</v>
      </c>
      <c r="F4065" s="34" t="s">
        <v>13314</v>
      </c>
      <c r="G4065" s="34" t="s">
        <v>14</v>
      </c>
      <c r="H4065" s="34" t="str">
        <f>IFERROR(VLOOKUP(Table2[[#This Row], [Ticket]],Okey!A:B,2,0),"")</f>
        <v/>
      </c>
      <c r="I4065" s="34"/>
      <c r="J4065" s="34" t="str">
        <f>VLOOKUP(Table2[[#This Row],[Author]],People!A:B,2,0)</f>
        <v>LS</v>
      </c>
      <c r="L4065" s="34"/>
      <c r="M4065" s="34" t="s">
        <v>4799</v>
      </c>
    </row>
    <row r="4066" spans="1:13">
      <c r="A4066" s="40">
        <f t="shared" si="68"/>
        <v>4065</v>
      </c>
      <c r="B4066" s="34" t="s">
        <v>8</v>
      </c>
      <c r="C4066" s="34" t="s">
        <v>13289</v>
      </c>
      <c r="E4066" s="34" t="s">
        <v>13320</v>
      </c>
      <c r="F4066" s="34" t="s">
        <v>13314</v>
      </c>
      <c r="G4066" s="34" t="s">
        <v>14</v>
      </c>
      <c r="H4066" s="34" t="str">
        <f>IFERROR(VLOOKUP(Table2[[#This Row], [Ticket]],Okey!A:B,2,0),"")</f>
        <v/>
      </c>
      <c r="I4066" s="34"/>
      <c r="J4066" s="34" t="str">
        <f>VLOOKUP(Table2[[#This Row],[Author]],People!A:B,2,0)</f>
        <v>LS</v>
      </c>
      <c r="L4066" s="34"/>
      <c r="M4066" s="34" t="s">
        <v>4799</v>
      </c>
    </row>
    <row r="4067" spans="1:13">
      <c r="A4067" s="40">
        <f t="shared" si="68"/>
        <v>4066</v>
      </c>
      <c r="B4067" s="34" t="s">
        <v>8</v>
      </c>
      <c r="C4067" s="34" t="s">
        <v>13289</v>
      </c>
      <c r="E4067" s="34" t="s">
        <v>13321</v>
      </c>
      <c r="F4067" s="34" t="s">
        <v>13314</v>
      </c>
      <c r="G4067" s="34" t="s">
        <v>14</v>
      </c>
      <c r="H4067" s="34" t="str">
        <f>IFERROR(VLOOKUP(Table2[[#This Row], [Ticket]],Okey!A:B,2,0),"")</f>
        <v/>
      </c>
      <c r="I4067" s="34"/>
      <c r="J4067" s="34" t="str">
        <f>VLOOKUP(Table2[[#This Row],[Author]],People!A:B,2,0)</f>
        <v>LS</v>
      </c>
      <c r="L4067" s="34"/>
      <c r="M4067" s="34" t="s">
        <v>4799</v>
      </c>
    </row>
    <row r="4068" spans="1:13">
      <c r="A4068" s="40">
        <f t="shared" si="68"/>
        <v>4067</v>
      </c>
      <c r="B4068" s="34" t="s">
        <v>8</v>
      </c>
      <c r="C4068" s="34" t="s">
        <v>13289</v>
      </c>
      <c r="E4068" s="34" t="s">
        <v>13322</v>
      </c>
      <c r="F4068" s="34" t="s">
        <v>13323</v>
      </c>
      <c r="G4068" s="34" t="s">
        <v>14</v>
      </c>
      <c r="H4068" s="34" t="str">
        <f>IFERROR(VLOOKUP(Table2[[#This Row], [Ticket]],Okey!A:B,2,0),"")</f>
        <v/>
      </c>
      <c r="I4068" s="34"/>
      <c r="J4068" s="34" t="str">
        <f>VLOOKUP(Table2[[#This Row],[Author]],People!A:B,2,0)</f>
        <v>LS</v>
      </c>
      <c r="L4068" s="34"/>
      <c r="M4068" s="34" t="s">
        <v>4799</v>
      </c>
    </row>
    <row r="4069" spans="1:13">
      <c r="A4069" s="40">
        <f t="shared" si="68"/>
        <v>4068</v>
      </c>
      <c r="B4069" s="34" t="s">
        <v>8</v>
      </c>
      <c r="C4069" s="34" t="s">
        <v>13289</v>
      </c>
      <c r="E4069" s="34" t="s">
        <v>13324</v>
      </c>
      <c r="F4069" s="34" t="s">
        <v>1470</v>
      </c>
      <c r="G4069" s="34" t="s">
        <v>14</v>
      </c>
      <c r="H4069" s="34" t="str">
        <f>IFERROR(VLOOKUP(Table2[[#This Row], [Ticket]],Okey!A:B,2,0),"")</f>
        <v/>
      </c>
      <c r="I4069" s="34"/>
      <c r="J4069" s="34" t="str">
        <f>VLOOKUP(Table2[[#This Row],[Author]],People!A:B,2,0)</f>
        <v>LS</v>
      </c>
      <c r="L4069" s="34"/>
      <c r="M4069" s="34" t="s">
        <v>4799</v>
      </c>
    </row>
    <row r="4070" spans="1:13">
      <c r="A4070" s="40">
        <f t="shared" si="68"/>
        <v>4069</v>
      </c>
      <c r="B4070" s="34" t="s">
        <v>8</v>
      </c>
      <c r="C4070" s="34" t="s">
        <v>13289</v>
      </c>
      <c r="E4070" s="34" t="s">
        <v>13325</v>
      </c>
      <c r="F4070" s="34" t="s">
        <v>13324</v>
      </c>
      <c r="G4070" s="34" t="s">
        <v>14</v>
      </c>
      <c r="H4070" s="34" t="str">
        <f>IFERROR(VLOOKUP(Table2[[#This Row], [Ticket]],Okey!A:B,2,0),"")</f>
        <v/>
      </c>
      <c r="I4070" s="34"/>
      <c r="J4070" s="34" t="str">
        <f>VLOOKUP(Table2[[#This Row],[Author]],People!A:B,2,0)</f>
        <v>LS</v>
      </c>
      <c r="L4070" s="34"/>
      <c r="M4070" s="34" t="s">
        <v>4799</v>
      </c>
    </row>
    <row r="4071" spans="1:13">
      <c r="A4071" s="40">
        <f t="shared" si="68"/>
        <v>4070</v>
      </c>
      <c r="B4071" s="34" t="s">
        <v>8</v>
      </c>
      <c r="C4071" s="34" t="s">
        <v>13289</v>
      </c>
      <c r="E4071" s="34" t="s">
        <v>13326</v>
      </c>
      <c r="F4071" s="34" t="s">
        <v>1470</v>
      </c>
      <c r="G4071" s="34" t="s">
        <v>14</v>
      </c>
      <c r="H4071" s="34" t="str">
        <f>IFERROR(VLOOKUP(Table2[[#This Row], [Ticket]],Okey!A:B,2,0),"")</f>
        <v/>
      </c>
      <c r="I4071" s="34"/>
      <c r="J4071" s="34" t="str">
        <f>VLOOKUP(Table2[[#This Row],[Author]],People!A:B,2,0)</f>
        <v>LS</v>
      </c>
      <c r="L4071" s="34"/>
      <c r="M4071" s="34" t="s">
        <v>4799</v>
      </c>
    </row>
    <row r="4072" spans="1:13">
      <c r="A4072" s="40">
        <f t="shared" si="68"/>
        <v>4071</v>
      </c>
      <c r="B4072" s="34" t="s">
        <v>8</v>
      </c>
      <c r="C4072" s="34" t="s">
        <v>13289</v>
      </c>
      <c r="E4072" s="34" t="s">
        <v>13327</v>
      </c>
      <c r="F4072" s="34" t="s">
        <v>13326</v>
      </c>
      <c r="G4072" s="34" t="s">
        <v>14</v>
      </c>
      <c r="H4072" s="34" t="str">
        <f>IFERROR(VLOOKUP(Table2[[#This Row], [Ticket]],Okey!A:B,2,0),"")</f>
        <v/>
      </c>
      <c r="I4072" s="34"/>
      <c r="J4072" s="34" t="str">
        <f>VLOOKUP(Table2[[#This Row],[Author]],People!A:B,2,0)</f>
        <v>LS</v>
      </c>
      <c r="L4072" s="34"/>
      <c r="M4072" s="34" t="s">
        <v>4799</v>
      </c>
    </row>
    <row r="4073" spans="1:13">
      <c r="A4073" s="40">
        <f t="shared" si="68"/>
        <v>4072</v>
      </c>
      <c r="B4073" s="34" t="s">
        <v>8</v>
      </c>
      <c r="C4073" s="34" t="s">
        <v>13289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/>
      </c>
      <c r="I4073" s="34"/>
      <c r="J4073" s="34" t="str">
        <f>VLOOKUP(Table2[[#This Row],[Author]],People!A:B,2,0)</f>
        <v>LS</v>
      </c>
      <c r="L4073" s="34"/>
      <c r="M4073" s="34" t="s">
        <v>4799</v>
      </c>
    </row>
    <row r="4074" spans="1:13">
      <c r="A4074" s="40">
        <f t="shared" si="68"/>
        <v>4073</v>
      </c>
      <c r="B4074" s="34" t="s">
        <v>8</v>
      </c>
      <c r="C4074" s="34" t="s">
        <v>13289</v>
      </c>
      <c r="E4074" s="34" t="s">
        <v>13328</v>
      </c>
      <c r="F4074" s="34" t="s">
        <v>8305</v>
      </c>
      <c r="G4074" s="34" t="s">
        <v>14</v>
      </c>
      <c r="H4074" s="34" t="str">
        <f>IFERROR(VLOOKUP(Table2[[#This Row], [Ticket]],Okey!A:B,2,0),"")</f>
        <v/>
      </c>
      <c r="I4074" s="34"/>
      <c r="J4074" s="34" t="str">
        <f>VLOOKUP(Table2[[#This Row],[Author]],People!A:B,2,0)</f>
        <v>LS</v>
      </c>
      <c r="L4074" s="34"/>
      <c r="M4074" s="34" t="s">
        <v>4799</v>
      </c>
    </row>
    <row r="4075" spans="1:13">
      <c r="A4075" s="40">
        <f t="shared" si="68"/>
        <v>4074</v>
      </c>
      <c r="B4075" s="34" t="s">
        <v>8</v>
      </c>
      <c r="C4075" s="34" t="s">
        <v>13289</v>
      </c>
      <c r="E4075" s="34" t="s">
        <v>13329</v>
      </c>
      <c r="F4075" s="34" t="s">
        <v>8305</v>
      </c>
      <c r="G4075" s="34" t="s">
        <v>14</v>
      </c>
      <c r="H4075" s="34" t="str">
        <f>IFERROR(VLOOKUP(Table2[[#This Row], [Ticket]],Okey!A:B,2,0),"")</f>
        <v/>
      </c>
      <c r="I4075" s="34"/>
      <c r="J4075" s="34" t="str">
        <f>VLOOKUP(Table2[[#This Row],[Author]],People!A:B,2,0)</f>
        <v>LS</v>
      </c>
      <c r="L4075" s="34"/>
      <c r="M4075" s="34" t="s">
        <v>4799</v>
      </c>
    </row>
    <row r="4076" spans="1:13">
      <c r="A4076" s="40">
        <f t="shared" si="68"/>
        <v>4075</v>
      </c>
      <c r="B4076" s="34" t="s">
        <v>8</v>
      </c>
      <c r="C4076" s="34" t="s">
        <v>13289</v>
      </c>
      <c r="E4076" s="34" t="s">
        <v>13330</v>
      </c>
      <c r="F4076" s="34" t="s">
        <v>8305</v>
      </c>
      <c r="G4076" s="34" t="s">
        <v>14</v>
      </c>
      <c r="H4076" s="34" t="str">
        <f>IFERROR(VLOOKUP(Table2[[#This Row], [Ticket]],Okey!A:B,2,0),"")</f>
        <v/>
      </c>
      <c r="I4076" s="34"/>
      <c r="J4076" s="34" t="str">
        <f>VLOOKUP(Table2[[#This Row],[Author]],People!A:B,2,0)</f>
        <v>LS</v>
      </c>
      <c r="L4076" s="34"/>
      <c r="M4076" s="34" t="s">
        <v>4799</v>
      </c>
    </row>
    <row r="4077" spans="1:13">
      <c r="A4077" s="40">
        <f t="shared" si="68"/>
        <v>4076</v>
      </c>
      <c r="B4077" s="34" t="s">
        <v>8</v>
      </c>
      <c r="C4077" s="34" t="s">
        <v>13289</v>
      </c>
      <c r="E4077" s="34" t="s">
        <v>13331</v>
      </c>
      <c r="F4077" s="34" t="s">
        <v>8305</v>
      </c>
      <c r="G4077" s="34" t="s">
        <v>14</v>
      </c>
      <c r="H4077" s="34" t="str">
        <f>IFERROR(VLOOKUP(Table2[[#This Row], [Ticket]],Okey!A:B,2,0),"")</f>
        <v/>
      </c>
      <c r="I4077" s="34"/>
      <c r="J4077" s="34" t="str">
        <f>VLOOKUP(Table2[[#This Row],[Author]],People!A:B,2,0)</f>
        <v>LS</v>
      </c>
      <c r="L4077" s="34"/>
      <c r="M4077" s="34" t="s">
        <v>4799</v>
      </c>
    </row>
    <row r="4078" spans="1:13">
      <c r="A4078" s="40">
        <f t="shared" si="68"/>
        <v>4077</v>
      </c>
      <c r="B4078" s="34" t="s">
        <v>8</v>
      </c>
      <c r="C4078" s="34" t="s">
        <v>13289</v>
      </c>
      <c r="E4078" s="34" t="s">
        <v>13332</v>
      </c>
      <c r="F4078" s="34" t="s">
        <v>13333</v>
      </c>
      <c r="G4078" s="34" t="s">
        <v>14</v>
      </c>
      <c r="H4078" s="34" t="str">
        <f>IFERROR(VLOOKUP(Table2[[#This Row], [Ticket]],Okey!A:B,2,0),"")</f>
        <v/>
      </c>
      <c r="I4078" s="34"/>
      <c r="J4078" s="34" t="str">
        <f>VLOOKUP(Table2[[#This Row],[Author]],People!A:B,2,0)</f>
        <v>LS</v>
      </c>
      <c r="L4078" s="34"/>
      <c r="M4078" s="34" t="s">
        <v>4799</v>
      </c>
    </row>
    <row r="4079" spans="1:13">
      <c r="A4079" s="40">
        <f t="shared" si="68"/>
        <v>4078</v>
      </c>
      <c r="B4079" s="34" t="s">
        <v>8</v>
      </c>
      <c r="C4079" s="34" t="s">
        <v>13289</v>
      </c>
      <c r="E4079" s="34" t="s">
        <v>13334</v>
      </c>
      <c r="F4079" s="34" t="s">
        <v>8966</v>
      </c>
      <c r="G4079" s="34" t="s">
        <v>14</v>
      </c>
      <c r="H4079" s="34" t="str">
        <f>IFERROR(VLOOKUP(Table2[[#This Row], [Ticket]],Okey!A:B,2,0),"")</f>
        <v/>
      </c>
      <c r="I4079" s="34"/>
      <c r="J4079" s="34" t="str">
        <f>VLOOKUP(Table2[[#This Row],[Author]],People!A:B,2,0)</f>
        <v>LS</v>
      </c>
      <c r="L4079" s="34"/>
      <c r="M4079" s="34" t="s">
        <v>4799</v>
      </c>
    </row>
    <row r="4080" spans="1:13">
      <c r="A4080" s="40">
        <f t="shared" si="68"/>
        <v>4079</v>
      </c>
      <c r="B4080" s="34" t="s">
        <v>8</v>
      </c>
      <c r="C4080" s="34" t="s">
        <v>13289</v>
      </c>
      <c r="E4080" s="34" t="s">
        <v>13335</v>
      </c>
      <c r="F4080" s="34" t="s">
        <v>6470</v>
      </c>
      <c r="G4080" s="34" t="s">
        <v>14</v>
      </c>
      <c r="H4080" s="34" t="str">
        <f>IFERROR(VLOOKUP(Table2[[#This Row], [Ticket]],Okey!A:B,2,0),"")</f>
        <v/>
      </c>
      <c r="I4080" s="34"/>
      <c r="J4080" s="34" t="str">
        <f>VLOOKUP(Table2[[#This Row],[Author]],People!A:B,2,0)</f>
        <v>LS</v>
      </c>
      <c r="L4080" s="34"/>
      <c r="M4080" s="34" t="s">
        <v>4799</v>
      </c>
    </row>
    <row r="4081" spans="1:13">
      <c r="A4081" s="40">
        <f t="shared" si="68"/>
        <v>4080</v>
      </c>
      <c r="B4081" s="34" t="s">
        <v>8</v>
      </c>
      <c r="C4081" s="34" t="s">
        <v>13289</v>
      </c>
      <c r="E4081" s="34" t="s">
        <v>13336</v>
      </c>
      <c r="F4081" s="34" t="s">
        <v>3486</v>
      </c>
      <c r="G4081" s="34" t="s">
        <v>14</v>
      </c>
      <c r="H4081" s="34" t="str">
        <f>IFERROR(VLOOKUP(Table2[[#This Row], [Ticket]],Okey!A:B,2,0),"")</f>
        <v/>
      </c>
      <c r="I4081" s="34"/>
      <c r="J4081" s="34" t="str">
        <f>VLOOKUP(Table2[[#This Row],[Author]],People!A:B,2,0)</f>
        <v>LS</v>
      </c>
      <c r="L4081" s="34"/>
      <c r="M4081" s="34" t="s">
        <v>4799</v>
      </c>
    </row>
    <row r="4082" spans="1:13">
      <c r="A4082" s="40">
        <f t="shared" si="68"/>
        <v>4081</v>
      </c>
      <c r="B4082" s="34" t="s">
        <v>8</v>
      </c>
      <c r="C4082" s="34" t="s">
        <v>13289</v>
      </c>
      <c r="E4082" s="34" t="s">
        <v>13337</v>
      </c>
      <c r="F4082" s="34" t="s">
        <v>3486</v>
      </c>
      <c r="G4082" s="34" t="s">
        <v>14</v>
      </c>
      <c r="H4082" s="34" t="str">
        <f>IFERROR(VLOOKUP(Table2[[#This Row], [Ticket]],Okey!A:B,2,0),"")</f>
        <v/>
      </c>
      <c r="I4082" s="34"/>
      <c r="J4082" s="34" t="str">
        <f>VLOOKUP(Table2[[#This Row],[Author]],People!A:B,2,0)</f>
        <v>LS</v>
      </c>
      <c r="L4082" s="34"/>
      <c r="M4082" s="34" t="s">
        <v>4799</v>
      </c>
    </row>
    <row r="4083" spans="1:13">
      <c r="A4083" s="40">
        <f t="shared" si="68"/>
        <v>4082</v>
      </c>
      <c r="B4083" s="34" t="s">
        <v>8</v>
      </c>
      <c r="C4083" s="34" t="s">
        <v>13289</v>
      </c>
      <c r="E4083" s="34" t="s">
        <v>13338</v>
      </c>
      <c r="F4083" s="34" t="s">
        <v>3486</v>
      </c>
      <c r="G4083" s="34" t="s">
        <v>14</v>
      </c>
      <c r="H4083" s="34" t="str">
        <f>IFERROR(VLOOKUP(Table2[[#This Row], [Ticket]],Okey!A:B,2,0),"")</f>
        <v/>
      </c>
      <c r="I4083" s="34"/>
      <c r="J4083" s="34" t="str">
        <f>VLOOKUP(Table2[[#This Row],[Author]],People!A:B,2,0)</f>
        <v>LS</v>
      </c>
      <c r="L4083" s="34"/>
      <c r="M4083" s="34" t="s">
        <v>4799</v>
      </c>
    </row>
    <row r="4084" spans="1:13">
      <c r="A4084" s="40">
        <f t="shared" si="68"/>
        <v>4083</v>
      </c>
      <c r="B4084" s="34" t="s">
        <v>8</v>
      </c>
      <c r="C4084" s="34" t="s">
        <v>13289</v>
      </c>
      <c r="E4084" s="34" t="s">
        <v>13339</v>
      </c>
      <c r="F4084" s="34" t="s">
        <v>3486</v>
      </c>
      <c r="G4084" s="34" t="s">
        <v>14</v>
      </c>
      <c r="H4084" s="34" t="str">
        <f>IFERROR(VLOOKUP(Table2[[#This Row], [Ticket]],Okey!A:B,2,0),"")</f>
        <v/>
      </c>
      <c r="I4084" s="34"/>
      <c r="J4084" s="34" t="str">
        <f>VLOOKUP(Table2[[#This Row],[Author]],People!A:B,2,0)</f>
        <v>LS</v>
      </c>
      <c r="L4084" s="34"/>
      <c r="M4084" s="34" t="s">
        <v>4799</v>
      </c>
    </row>
    <row r="4085" spans="1:13">
      <c r="A4085" s="40">
        <f t="shared" si="68"/>
        <v>4084</v>
      </c>
      <c r="B4085" s="34" t="s">
        <v>8</v>
      </c>
      <c r="C4085" s="34" t="s">
        <v>13289</v>
      </c>
      <c r="E4085" s="34" t="s">
        <v>13340</v>
      </c>
      <c r="F4085" s="34" t="s">
        <v>4106</v>
      </c>
      <c r="G4085" s="34" t="s">
        <v>14</v>
      </c>
      <c r="H4085" s="34" t="str">
        <f>IFERROR(VLOOKUP(Table2[[#This Row], [Ticket]],Okey!A:B,2,0),"")</f>
        <v/>
      </c>
      <c r="I4085" s="34"/>
      <c r="J4085" s="34" t="str">
        <f>VLOOKUP(Table2[[#This Row],[Author]],People!A:B,2,0)</f>
        <v>LS</v>
      </c>
      <c r="L4085" s="34"/>
      <c r="M4085" s="34" t="s">
        <v>4799</v>
      </c>
    </row>
    <row r="4086" spans="1:13">
      <c r="A4086" s="40">
        <f t="shared" si="68"/>
        <v>4085</v>
      </c>
      <c r="B4086" s="34" t="s">
        <v>8</v>
      </c>
      <c r="C4086" s="34" t="s">
        <v>13289</v>
      </c>
      <c r="E4086" s="34" t="s">
        <v>13341</v>
      </c>
      <c r="F4086" s="34" t="s">
        <v>4106</v>
      </c>
      <c r="G4086" s="34" t="s">
        <v>14</v>
      </c>
      <c r="H4086" s="34" t="str">
        <f>IFERROR(VLOOKUP(Table2[[#This Row], [Ticket]],Okey!A:B,2,0),"")</f>
        <v/>
      </c>
      <c r="I4086" s="34"/>
      <c r="J4086" s="34" t="str">
        <f>VLOOKUP(Table2[[#This Row],[Author]],People!A:B,2,0)</f>
        <v>LS</v>
      </c>
      <c r="L4086" s="34"/>
      <c r="M4086" s="34" t="s">
        <v>4799</v>
      </c>
    </row>
    <row r="4087" spans="1:13">
      <c r="A4087" s="40">
        <f t="shared" si="68"/>
        <v>4086</v>
      </c>
      <c r="B4087" s="34" t="s">
        <v>8</v>
      </c>
      <c r="C4087" s="34" t="s">
        <v>13289</v>
      </c>
      <c r="E4087" s="34" t="s">
        <v>13342</v>
      </c>
      <c r="F4087" s="34" t="s">
        <v>4106</v>
      </c>
      <c r="G4087" s="34" t="s">
        <v>14</v>
      </c>
      <c r="H4087" s="34" t="str">
        <f>IFERROR(VLOOKUP(Table2[[#This Row], [Ticket]],Okey!A:B,2,0),"")</f>
        <v/>
      </c>
      <c r="I4087" s="34"/>
      <c r="J4087" s="34" t="str">
        <f>VLOOKUP(Table2[[#This Row],[Author]],People!A:B,2,0)</f>
        <v>LS</v>
      </c>
      <c r="L4087" s="34"/>
      <c r="M4087" s="34" t="s">
        <v>4799</v>
      </c>
    </row>
    <row r="4088" spans="1:13">
      <c r="A4088" s="40">
        <f t="shared" si="68"/>
        <v>4087</v>
      </c>
      <c r="B4088" s="34" t="s">
        <v>8</v>
      </c>
      <c r="C4088" s="34" t="s">
        <v>13289</v>
      </c>
      <c r="E4088" s="34" t="s">
        <v>13343</v>
      </c>
      <c r="F4088" s="34" t="s">
        <v>4106</v>
      </c>
      <c r="G4088" s="34" t="s">
        <v>14</v>
      </c>
      <c r="H4088" s="34" t="str">
        <f>IFERROR(VLOOKUP(Table2[[#This Row], [Ticket]],Okey!A:B,2,0),"")</f>
        <v/>
      </c>
      <c r="I4088" s="34"/>
      <c r="J4088" s="34" t="str">
        <f>VLOOKUP(Table2[[#This Row],[Author]],People!A:B,2,0)</f>
        <v>LS</v>
      </c>
      <c r="L4088" s="34"/>
      <c r="M4088" s="34" t="s">
        <v>4799</v>
      </c>
    </row>
    <row r="4089" spans="1:13">
      <c r="A4089" s="40">
        <f t="shared" si="68"/>
        <v>4088</v>
      </c>
      <c r="B4089" s="34" t="s">
        <v>8</v>
      </c>
      <c r="C4089" s="34" t="s">
        <v>13289</v>
      </c>
      <c r="E4089" s="34" t="s">
        <v>13344</v>
      </c>
      <c r="F4089" s="34" t="s">
        <v>4106</v>
      </c>
      <c r="G4089" s="34" t="s">
        <v>14</v>
      </c>
      <c r="H4089" s="34" t="str">
        <f>IFERROR(VLOOKUP(Table2[[#This Row], [Ticket]],Okey!A:B,2,0),"")</f>
        <v/>
      </c>
      <c r="I4089" s="34"/>
      <c r="J4089" s="34" t="str">
        <f>VLOOKUP(Table2[[#This Row],[Author]],People!A:B,2,0)</f>
        <v>LS</v>
      </c>
      <c r="L4089" s="34"/>
      <c r="M4089" s="34" t="s">
        <v>4799</v>
      </c>
    </row>
    <row r="4090" spans="1:13">
      <c r="A4090" s="40">
        <f t="shared" si="68"/>
        <v>4089</v>
      </c>
      <c r="B4090" s="34" t="s">
        <v>8</v>
      </c>
      <c r="C4090" s="34" t="s">
        <v>13289</v>
      </c>
      <c r="E4090" s="34" t="s">
        <v>13345</v>
      </c>
      <c r="F4090" s="34" t="s">
        <v>4106</v>
      </c>
      <c r="G4090" s="34" t="s">
        <v>14</v>
      </c>
      <c r="H4090" s="34" t="str">
        <f>IFERROR(VLOOKUP(Table2[[#This Row], [Ticket]],Okey!A:B,2,0),"")</f>
        <v/>
      </c>
      <c r="I4090" s="34"/>
      <c r="J4090" s="34" t="str">
        <f>VLOOKUP(Table2[[#This Row],[Author]],People!A:B,2,0)</f>
        <v>LS</v>
      </c>
      <c r="L4090" s="34"/>
      <c r="M4090" s="34" t="s">
        <v>4799</v>
      </c>
    </row>
    <row r="4091" spans="1:13">
      <c r="A4091" s="40">
        <f t="shared" si="68"/>
        <v>4090</v>
      </c>
      <c r="B4091" s="34" t="s">
        <v>8</v>
      </c>
      <c r="C4091" s="34" t="s">
        <v>13289</v>
      </c>
      <c r="E4091" s="34" t="s">
        <v>13346</v>
      </c>
      <c r="F4091" s="34" t="s">
        <v>13347</v>
      </c>
      <c r="G4091" s="34" t="s">
        <v>14</v>
      </c>
      <c r="H4091" s="34" t="str">
        <f>IFERROR(VLOOKUP(Table2[[#This Row], [Ticket]],Okey!A:B,2,0),"")</f>
        <v/>
      </c>
      <c r="I4091" s="34"/>
      <c r="J4091" s="34" t="str">
        <f>VLOOKUP(Table2[[#This Row],[Author]],People!A:B,2,0)</f>
        <v>LS</v>
      </c>
      <c r="L4091" s="34"/>
      <c r="M4091" s="34" t="s">
        <v>4799</v>
      </c>
    </row>
    <row r="4092" spans="1:13">
      <c r="A4092" s="40">
        <f t="shared" si="68"/>
        <v>4091</v>
      </c>
      <c r="B4092" s="34" t="s">
        <v>8</v>
      </c>
      <c r="C4092" s="34" t="s">
        <v>13289</v>
      </c>
      <c r="E4092" s="34" t="s">
        <v>13348</v>
      </c>
      <c r="F4092" s="34" t="s">
        <v>13347</v>
      </c>
      <c r="G4092" s="34" t="s">
        <v>14</v>
      </c>
      <c r="H4092" s="34" t="str">
        <f>IFERROR(VLOOKUP(Table2[[#This Row], [Ticket]],Okey!A:B,2,0),"")</f>
        <v/>
      </c>
      <c r="I4092" s="34"/>
      <c r="J4092" s="34" t="str">
        <f>VLOOKUP(Table2[[#This Row],[Author]],People!A:B,2,0)</f>
        <v>LS</v>
      </c>
      <c r="L4092" s="34"/>
      <c r="M4092" s="34" t="s">
        <v>4799</v>
      </c>
    </row>
    <row r="4093" spans="1:13">
      <c r="A4093" s="40">
        <f t="shared" si="68"/>
        <v>4092</v>
      </c>
      <c r="B4093" s="34" t="s">
        <v>8</v>
      </c>
      <c r="C4093" s="34" t="s">
        <v>13289</v>
      </c>
      <c r="E4093" s="34" t="s">
        <v>13349</v>
      </c>
      <c r="F4093" s="34" t="s">
        <v>13347</v>
      </c>
      <c r="G4093" s="34" t="s">
        <v>14</v>
      </c>
      <c r="H4093" s="34" t="str">
        <f>IFERROR(VLOOKUP(Table2[[#This Row], [Ticket]],Okey!A:B,2,0),"")</f>
        <v/>
      </c>
      <c r="I4093" s="34"/>
      <c r="J4093" s="34" t="str">
        <f>VLOOKUP(Table2[[#This Row],[Author]],People!A:B,2,0)</f>
        <v>LS</v>
      </c>
      <c r="L4093" s="34"/>
      <c r="M4093" s="34" t="s">
        <v>4799</v>
      </c>
    </row>
    <row r="4094" spans="1:13">
      <c r="A4094" s="40">
        <f t="shared" si="68"/>
        <v>4093</v>
      </c>
      <c r="B4094" s="34" t="s">
        <v>8</v>
      </c>
      <c r="C4094" s="34" t="s">
        <v>13289</v>
      </c>
      <c r="E4094" s="34" t="s">
        <v>13350</v>
      </c>
      <c r="F4094" s="34" t="s">
        <v>13347</v>
      </c>
      <c r="G4094" s="34" t="s">
        <v>14</v>
      </c>
      <c r="H4094" s="34" t="str">
        <f>IFERROR(VLOOKUP(Table2[[#This Row], [Ticket]],Okey!A:B,2,0),"")</f>
        <v/>
      </c>
      <c r="I4094" s="34"/>
      <c r="J4094" s="34" t="str">
        <f>VLOOKUP(Table2[[#This Row],[Author]],People!A:B,2,0)</f>
        <v>LS</v>
      </c>
      <c r="L4094" s="34"/>
      <c r="M4094" s="34" t="s">
        <v>4799</v>
      </c>
    </row>
    <row r="4095" spans="1:13">
      <c r="A4095" s="40">
        <f t="shared" si="68"/>
        <v>4094</v>
      </c>
      <c r="B4095" s="34" t="s">
        <v>8</v>
      </c>
      <c r="C4095" s="34" t="s">
        <v>13289</v>
      </c>
      <c r="E4095" s="34" t="s">
        <v>13351</v>
      </c>
      <c r="F4095" s="34" t="s">
        <v>13347</v>
      </c>
      <c r="G4095" s="34" t="s">
        <v>14</v>
      </c>
      <c r="H4095" s="34" t="str">
        <f>IFERROR(VLOOKUP(Table2[[#This Row], [Ticket]],Okey!A:B,2,0),"")</f>
        <v/>
      </c>
      <c r="I4095" s="34"/>
      <c r="J4095" s="34" t="str">
        <f>VLOOKUP(Table2[[#This Row],[Author]],People!A:B,2,0)</f>
        <v>LS</v>
      </c>
      <c r="L4095" s="34"/>
      <c r="M4095" s="34" t="s">
        <v>4799</v>
      </c>
    </row>
    <row r="4096" spans="1:13">
      <c r="A4096" s="40">
        <f t="shared" si="68"/>
        <v>4095</v>
      </c>
      <c r="B4096" s="34" t="s">
        <v>8</v>
      </c>
      <c r="C4096" s="34" t="s">
        <v>13289</v>
      </c>
      <c r="E4096" s="34" t="s">
        <v>13352</v>
      </c>
      <c r="F4096" s="34" t="s">
        <v>13347</v>
      </c>
      <c r="G4096" s="34" t="s">
        <v>14</v>
      </c>
      <c r="H4096" s="34" t="str">
        <f>IFERROR(VLOOKUP(Table2[[#This Row], [Ticket]],Okey!A:B,2,0),"")</f>
        <v/>
      </c>
      <c r="I4096" s="34"/>
      <c r="J4096" s="34" t="str">
        <f>VLOOKUP(Table2[[#This Row],[Author]],People!A:B,2,0)</f>
        <v>LS</v>
      </c>
      <c r="L4096" s="34"/>
      <c r="M4096" s="34" t="s">
        <v>4799</v>
      </c>
    </row>
    <row r="4097" spans="1:13">
      <c r="A4097" s="40">
        <f t="shared" si="68"/>
        <v>4096</v>
      </c>
      <c r="B4097" s="34" t="s">
        <v>8</v>
      </c>
      <c r="C4097" s="34" t="s">
        <v>13289</v>
      </c>
      <c r="E4097" s="34" t="s">
        <v>13353</v>
      </c>
      <c r="F4097" s="34" t="s">
        <v>3501</v>
      </c>
      <c r="G4097" s="34" t="s">
        <v>14</v>
      </c>
      <c r="H4097" s="34" t="str">
        <f>IFERROR(VLOOKUP(Table2[[#This Row], [Ticket]],Okey!A:B,2,0),"")</f>
        <v/>
      </c>
      <c r="I4097" s="34"/>
      <c r="J4097" s="34" t="str">
        <f>VLOOKUP(Table2[[#This Row],[Author]],People!A:B,2,0)</f>
        <v>LS</v>
      </c>
      <c r="L4097" s="34"/>
      <c r="M4097" s="34" t="s">
        <v>4799</v>
      </c>
    </row>
    <row r="4098" spans="1:13">
      <c r="A4098" s="40">
        <f t="shared" si="68"/>
        <v>4097</v>
      </c>
      <c r="B4098" s="34" t="s">
        <v>8</v>
      </c>
      <c r="C4098" s="34" t="s">
        <v>13289</v>
      </c>
      <c r="E4098" s="34" t="s">
        <v>13354</v>
      </c>
      <c r="F4098" s="34" t="s">
        <v>3501</v>
      </c>
      <c r="G4098" s="34" t="s">
        <v>14</v>
      </c>
      <c r="H4098" s="34" t="str">
        <f>IFERROR(VLOOKUP(Table2[[#This Row], [Ticket]],Okey!A:B,2,0),"")</f>
        <v/>
      </c>
      <c r="I4098" s="34"/>
      <c r="J4098" s="34" t="str">
        <f>VLOOKUP(Table2[[#This Row],[Author]],People!A:B,2,0)</f>
        <v>LS</v>
      </c>
      <c r="L4098" s="34"/>
      <c r="M4098" s="34" t="s">
        <v>4799</v>
      </c>
    </row>
    <row r="4099" spans="1:13">
      <c r="A4099" s="40">
        <f t="shared" si="68"/>
        <v>4098</v>
      </c>
      <c r="B4099" s="34" t="s">
        <v>8</v>
      </c>
      <c r="C4099" s="34" t="s">
        <v>13289</v>
      </c>
      <c r="E4099" s="34" t="s">
        <v>13355</v>
      </c>
      <c r="F4099" s="34" t="s">
        <v>3504</v>
      </c>
      <c r="G4099" s="34" t="s">
        <v>14</v>
      </c>
      <c r="H4099" s="34" t="str">
        <f>IFERROR(VLOOKUP(Table2[[#This Row], [Ticket]],Okey!A:B,2,0),"")</f>
        <v/>
      </c>
      <c r="I4099" s="34"/>
      <c r="J4099" s="34" t="str">
        <f>VLOOKUP(Table2[[#This Row],[Author]],People!A:B,2,0)</f>
        <v>LS</v>
      </c>
      <c r="L4099" s="34"/>
      <c r="M4099" s="34" t="s">
        <v>4799</v>
      </c>
    </row>
    <row r="4100" spans="1:13">
      <c r="A4100" s="40">
        <f t="shared" si="68"/>
        <v>4099</v>
      </c>
      <c r="B4100" s="34" t="s">
        <v>8</v>
      </c>
      <c r="C4100" s="34" t="s">
        <v>13289</v>
      </c>
      <c r="E4100" s="34" t="s">
        <v>13356</v>
      </c>
      <c r="F4100" s="34" t="s">
        <v>3504</v>
      </c>
      <c r="G4100" s="34" t="s">
        <v>14</v>
      </c>
      <c r="H4100" s="34" t="str">
        <f>IFERROR(VLOOKUP(Table2[[#This Row], [Ticket]],Okey!A:B,2,0),"")</f>
        <v/>
      </c>
      <c r="I4100" s="34"/>
      <c r="J4100" s="34" t="str">
        <f>VLOOKUP(Table2[[#This Row],[Author]],People!A:B,2,0)</f>
        <v>LS</v>
      </c>
      <c r="L4100" s="34"/>
      <c r="M4100" s="34" t="s">
        <v>4799</v>
      </c>
    </row>
    <row r="4101" spans="1:13">
      <c r="A4101" s="40">
        <f t="shared" si="68"/>
        <v>4100</v>
      </c>
      <c r="B4101" s="34" t="s">
        <v>8</v>
      </c>
      <c r="C4101" s="34" t="s">
        <v>13289</v>
      </c>
      <c r="E4101" s="34" t="s">
        <v>13357</v>
      </c>
      <c r="F4101" s="34" t="s">
        <v>3504</v>
      </c>
      <c r="G4101" s="34" t="s">
        <v>14</v>
      </c>
      <c r="H4101" s="34" t="str">
        <f>IFERROR(VLOOKUP(Table2[[#This Row], [Ticket]],Okey!A:B,2,0),"")</f>
        <v/>
      </c>
      <c r="I4101" s="34"/>
      <c r="J4101" s="34" t="str">
        <f>VLOOKUP(Table2[[#This Row],[Author]],People!A:B,2,0)</f>
        <v>LS</v>
      </c>
      <c r="L4101" s="34"/>
      <c r="M4101" s="34" t="s">
        <v>4799</v>
      </c>
    </row>
    <row r="4102" spans="1:13">
      <c r="A4102" s="40">
        <f t="shared" si="68"/>
        <v>4101</v>
      </c>
      <c r="B4102" s="34" t="s">
        <v>8</v>
      </c>
      <c r="C4102" s="34" t="s">
        <v>13289</v>
      </c>
      <c r="E4102" s="34" t="s">
        <v>13358</v>
      </c>
      <c r="F4102" s="34" t="s">
        <v>3504</v>
      </c>
      <c r="G4102" s="34" t="s">
        <v>14</v>
      </c>
      <c r="H4102" s="34" t="str">
        <f>IFERROR(VLOOKUP(Table2[[#This Row], [Ticket]],Okey!A:B,2,0),"")</f>
        <v/>
      </c>
      <c r="I4102" s="34"/>
      <c r="J4102" s="34" t="str">
        <f>VLOOKUP(Table2[[#This Row],[Author]],People!A:B,2,0)</f>
        <v>LS</v>
      </c>
      <c r="L4102" s="34"/>
      <c r="M4102" s="34" t="s">
        <v>4799</v>
      </c>
    </row>
    <row r="4103" spans="1:13">
      <c r="A4103" s="40">
        <f t="shared" si="68"/>
        <v>4102</v>
      </c>
      <c r="B4103" s="34" t="s">
        <v>8</v>
      </c>
      <c r="C4103" s="34" t="s">
        <v>13289</v>
      </c>
      <c r="E4103" s="34" t="s">
        <v>13359</v>
      </c>
      <c r="F4103" s="34" t="s">
        <v>13358</v>
      </c>
      <c r="G4103" s="34" t="s">
        <v>14</v>
      </c>
      <c r="H4103" s="34" t="str">
        <f>IFERROR(VLOOKUP(Table2[[#This Row], [Ticket]],Okey!A:B,2,0),"")</f>
        <v/>
      </c>
      <c r="I4103" s="34"/>
      <c r="J4103" s="34" t="str">
        <f>VLOOKUP(Table2[[#This Row],[Author]],People!A:B,2,0)</f>
        <v>LS</v>
      </c>
      <c r="L4103" s="34"/>
      <c r="M4103" s="34" t="s">
        <v>4799</v>
      </c>
    </row>
    <row r="4104" spans="1:13">
      <c r="A4104" s="40">
        <f t="shared" si="68"/>
        <v>4103</v>
      </c>
      <c r="B4104" s="34" t="s">
        <v>8</v>
      </c>
      <c r="C4104" s="34" t="s">
        <v>13289</v>
      </c>
      <c r="E4104" s="34" t="s">
        <v>13360</v>
      </c>
      <c r="F4104" s="34" t="s">
        <v>13358</v>
      </c>
      <c r="G4104" s="34" t="s">
        <v>14</v>
      </c>
      <c r="H4104" s="34" t="str">
        <f>IFERROR(VLOOKUP(Table2[[#This Row], [Ticket]],Okey!A:B,2,0),"")</f>
        <v/>
      </c>
      <c r="I4104" s="34"/>
      <c r="J4104" s="34" t="str">
        <f>VLOOKUP(Table2[[#This Row],[Author]],People!A:B,2,0)</f>
        <v>LS</v>
      </c>
      <c r="L4104" s="34"/>
      <c r="M4104" s="34" t="s">
        <v>4799</v>
      </c>
    </row>
    <row r="4105" spans="1:13">
      <c r="A4105" s="40">
        <f t="shared" si="68"/>
        <v>4104</v>
      </c>
      <c r="B4105" s="34" t="s">
        <v>8</v>
      </c>
      <c r="C4105" s="34" t="s">
        <v>13289</v>
      </c>
      <c r="E4105" s="34" t="s">
        <v>13361</v>
      </c>
      <c r="F4105" s="34" t="s">
        <v>3541</v>
      </c>
      <c r="G4105" s="34" t="s">
        <v>14</v>
      </c>
      <c r="H4105" s="34" t="str">
        <f>IFERROR(VLOOKUP(Table2[[#This Row], [Ticket]],Okey!A:B,2,0),"")</f>
        <v/>
      </c>
      <c r="I4105" s="34"/>
      <c r="J4105" s="34" t="str">
        <f>VLOOKUP(Table2[[#This Row],[Author]],People!A:B,2,0)</f>
        <v>LS</v>
      </c>
      <c r="L4105" s="34"/>
      <c r="M4105" s="34" t="s">
        <v>4799</v>
      </c>
    </row>
    <row r="4106" spans="1:13">
      <c r="A4106" s="40">
        <f t="shared" si="68"/>
        <v>4105</v>
      </c>
      <c r="B4106" s="34" t="s">
        <v>8</v>
      </c>
      <c r="C4106" s="34" t="s">
        <v>13289</v>
      </c>
      <c r="E4106" s="34" t="s">
        <v>13362</v>
      </c>
      <c r="F4106" s="34" t="s">
        <v>3541</v>
      </c>
      <c r="G4106" s="34" t="s">
        <v>14</v>
      </c>
      <c r="H4106" s="34" t="str">
        <f>IFERROR(VLOOKUP(Table2[[#This Row], [Ticket]],Okey!A:B,2,0),"")</f>
        <v/>
      </c>
      <c r="I4106" s="34"/>
      <c r="J4106" s="34" t="str">
        <f>VLOOKUP(Table2[[#This Row],[Author]],People!A:B,2,0)</f>
        <v>LS</v>
      </c>
      <c r="L4106" s="34"/>
      <c r="M4106" s="34" t="s">
        <v>4799</v>
      </c>
    </row>
    <row r="4107" spans="1:13">
      <c r="A4107" s="40">
        <f t="shared" si="68"/>
        <v>4106</v>
      </c>
      <c r="B4107" s="34" t="s">
        <v>8</v>
      </c>
      <c r="C4107" s="34" t="s">
        <v>13289</v>
      </c>
      <c r="E4107" s="34" t="s">
        <v>13363</v>
      </c>
      <c r="F4107" s="34" t="s">
        <v>3541</v>
      </c>
      <c r="G4107" s="34" t="s">
        <v>14</v>
      </c>
      <c r="H4107" s="34" t="str">
        <f>IFERROR(VLOOKUP(Table2[[#This Row], [Ticket]],Okey!A:B,2,0),"")</f>
        <v/>
      </c>
      <c r="I4107" s="34"/>
      <c r="J4107" s="34" t="str">
        <f>VLOOKUP(Table2[[#This Row],[Author]],People!A:B,2,0)</f>
        <v>LS</v>
      </c>
      <c r="L4107" s="34"/>
      <c r="M4107" s="34" t="s">
        <v>4799</v>
      </c>
    </row>
    <row r="4108" spans="1:13">
      <c r="A4108" s="40">
        <f t="shared" si="68"/>
        <v>4107</v>
      </c>
      <c r="B4108" s="34" t="s">
        <v>8</v>
      </c>
      <c r="C4108" s="34" t="s">
        <v>13289</v>
      </c>
      <c r="E4108" s="34" t="s">
        <v>13364</v>
      </c>
      <c r="F4108" s="34" t="s">
        <v>3960</v>
      </c>
      <c r="G4108" s="34" t="s">
        <v>14</v>
      </c>
      <c r="H4108" s="34" t="str">
        <f>IFERROR(VLOOKUP(Table2[[#This Row], [Ticket]],Okey!A:B,2,0),"")</f>
        <v/>
      </c>
      <c r="I4108" s="34"/>
      <c r="J4108" s="34" t="str">
        <f>VLOOKUP(Table2[[#This Row],[Author]],People!A:B,2,0)</f>
        <v>LS</v>
      </c>
      <c r="L4108" s="34"/>
      <c r="M4108" s="34" t="s">
        <v>4799</v>
      </c>
    </row>
    <row r="4109" spans="1:13">
      <c r="A4109" s="40">
        <f t="shared" si="68"/>
        <v>4108</v>
      </c>
      <c r="B4109" s="34" t="s">
        <v>8</v>
      </c>
      <c r="C4109" s="34" t="s">
        <v>13289</v>
      </c>
      <c r="E4109" s="34" t="s">
        <v>13365</v>
      </c>
      <c r="F4109" s="34" t="s">
        <v>3960</v>
      </c>
      <c r="G4109" s="34" t="s">
        <v>14</v>
      </c>
      <c r="H4109" s="34" t="str">
        <f>IFERROR(VLOOKUP(Table2[[#This Row], [Ticket]],Okey!A:B,2,0),"")</f>
        <v/>
      </c>
      <c r="I4109" s="34"/>
      <c r="J4109" s="34" t="str">
        <f>VLOOKUP(Table2[[#This Row],[Author]],People!A:B,2,0)</f>
        <v>LS</v>
      </c>
      <c r="L4109" s="34"/>
      <c r="M4109" s="34" t="s">
        <v>4799</v>
      </c>
    </row>
    <row r="4110" spans="1:13">
      <c r="A4110" s="40">
        <f t="shared" si="68"/>
        <v>4109</v>
      </c>
      <c r="B4110" s="34" t="s">
        <v>8</v>
      </c>
      <c r="C4110" s="34" t="s">
        <v>13289</v>
      </c>
      <c r="E4110" s="34" t="s">
        <v>13366</v>
      </c>
      <c r="F4110" s="34" t="s">
        <v>3514</v>
      </c>
      <c r="G4110" s="34" t="s">
        <v>14</v>
      </c>
      <c r="H4110" s="34" t="str">
        <f>IFERROR(VLOOKUP(Table2[[#This Row], [Ticket]],Okey!A:B,2,0),"")</f>
        <v/>
      </c>
      <c r="I4110" s="34"/>
      <c r="J4110" s="34" t="str">
        <f>VLOOKUP(Table2[[#This Row],[Author]],People!A:B,2,0)</f>
        <v>LS</v>
      </c>
      <c r="L4110" s="34"/>
      <c r="M4110" s="34" t="s">
        <v>4799</v>
      </c>
    </row>
    <row r="4111" spans="1:13">
      <c r="A4111" s="40">
        <f t="shared" si="68"/>
        <v>4110</v>
      </c>
      <c r="B4111" s="34" t="s">
        <v>8</v>
      </c>
      <c r="C4111" s="34" t="s">
        <v>13289</v>
      </c>
      <c r="E4111" s="34" t="s">
        <v>13367</v>
      </c>
      <c r="F4111" s="34" t="s">
        <v>3518</v>
      </c>
      <c r="G4111" s="34" t="s">
        <v>14</v>
      </c>
      <c r="H4111" s="34" t="str">
        <f>IFERROR(VLOOKUP(Table2[[#This Row], [Ticket]],Okey!A:B,2,0),"")</f>
        <v/>
      </c>
      <c r="I4111" s="34"/>
      <c r="J4111" s="34" t="str">
        <f>VLOOKUP(Table2[[#This Row],[Author]],People!A:B,2,0)</f>
        <v>LS</v>
      </c>
      <c r="L4111" s="34"/>
      <c r="M4111" s="34" t="s">
        <v>4799</v>
      </c>
    </row>
    <row r="4112" spans="1:13">
      <c r="A4112" s="40">
        <f t="shared" si="68"/>
        <v>4111</v>
      </c>
      <c r="B4112" s="34" t="s">
        <v>8</v>
      </c>
      <c r="C4112" s="34" t="s">
        <v>13289</v>
      </c>
      <c r="E4112" s="34" t="s">
        <v>13368</v>
      </c>
      <c r="F4112" s="34" t="s">
        <v>3518</v>
      </c>
      <c r="G4112" s="34" t="s">
        <v>14</v>
      </c>
      <c r="H4112" s="34" t="str">
        <f>IFERROR(VLOOKUP(Table2[[#This Row], [Ticket]],Okey!A:B,2,0),"")</f>
        <v/>
      </c>
      <c r="I4112" s="34"/>
      <c r="J4112" s="34" t="str">
        <f>VLOOKUP(Table2[[#This Row],[Author]],People!A:B,2,0)</f>
        <v>LS</v>
      </c>
      <c r="L4112" s="34"/>
      <c r="M4112" s="34" t="s">
        <v>4799</v>
      </c>
    </row>
    <row r="4113" spans="1:13">
      <c r="A4113" s="40">
        <f t="shared" si="68"/>
        <v>4112</v>
      </c>
      <c r="B4113" s="34" t="s">
        <v>8</v>
      </c>
      <c r="C4113" s="34" t="s">
        <v>13289</v>
      </c>
      <c r="E4113" s="34" t="s">
        <v>13369</v>
      </c>
      <c r="F4113" s="34" t="s">
        <v>3518</v>
      </c>
      <c r="G4113" s="34" t="s">
        <v>14</v>
      </c>
      <c r="H4113" s="34" t="str">
        <f>IFERROR(VLOOKUP(Table2[[#This Row], [Ticket]],Okey!A:B,2,0),"")</f>
        <v/>
      </c>
      <c r="I4113" s="34"/>
      <c r="J4113" s="34" t="str">
        <f>VLOOKUP(Table2[[#This Row],[Author]],People!A:B,2,0)</f>
        <v>LS</v>
      </c>
      <c r="L4113" s="34"/>
      <c r="M4113" s="34" t="s">
        <v>4799</v>
      </c>
    </row>
    <row r="4114" spans="1:13">
      <c r="A4114" s="40">
        <f t="shared" si="68"/>
        <v>4113</v>
      </c>
      <c r="B4114" s="34" t="s">
        <v>8</v>
      </c>
      <c r="C4114" s="34" t="s">
        <v>13289</v>
      </c>
      <c r="E4114" s="34" t="s">
        <v>13370</v>
      </c>
      <c r="F4114" s="34" t="s">
        <v>3518</v>
      </c>
      <c r="G4114" s="34" t="s">
        <v>14</v>
      </c>
      <c r="H4114" s="34" t="str">
        <f>IFERROR(VLOOKUP(Table2[[#This Row], [Ticket]],Okey!A:B,2,0),"")</f>
        <v/>
      </c>
      <c r="I4114" s="34"/>
      <c r="J4114" s="34" t="str">
        <f>VLOOKUP(Table2[[#This Row],[Author]],People!A:B,2,0)</f>
        <v>LS</v>
      </c>
      <c r="L4114" s="34"/>
      <c r="M4114" s="34" t="s">
        <v>4799</v>
      </c>
    </row>
    <row r="4115" spans="1:13">
      <c r="A4115" s="40">
        <f t="shared" si="68"/>
        <v>4114</v>
      </c>
      <c r="B4115" s="34" t="s">
        <v>8</v>
      </c>
      <c r="C4115" s="34" t="s">
        <v>13289</v>
      </c>
      <c r="E4115" s="34" t="s">
        <v>13371</v>
      </c>
      <c r="F4115" s="34" t="s">
        <v>3524</v>
      </c>
      <c r="G4115" s="34" t="s">
        <v>14</v>
      </c>
      <c r="H4115" s="34" t="str">
        <f>IFERROR(VLOOKUP(Table2[[#This Row], [Ticket]],Okey!A:B,2,0),"")</f>
        <v/>
      </c>
      <c r="I4115" s="34"/>
      <c r="J4115" s="34" t="str">
        <f>VLOOKUP(Table2[[#This Row],[Author]],People!A:B,2,0)</f>
        <v>LS</v>
      </c>
      <c r="L4115" s="34"/>
      <c r="M4115" s="34" t="s">
        <v>4799</v>
      </c>
    </row>
    <row r="4116" spans="1:13">
      <c r="A4116" s="40">
        <f t="shared" si="68"/>
        <v>4115</v>
      </c>
      <c r="B4116" s="34" t="s">
        <v>8</v>
      </c>
      <c r="C4116" s="34" t="s">
        <v>13289</v>
      </c>
      <c r="E4116" s="34" t="s">
        <v>13372</v>
      </c>
      <c r="F4116" s="34" t="s">
        <v>3524</v>
      </c>
      <c r="G4116" s="34" t="s">
        <v>14</v>
      </c>
      <c r="H4116" s="34" t="str">
        <f>IFERROR(VLOOKUP(Table2[[#This Row], [Ticket]],Okey!A:B,2,0),"")</f>
        <v/>
      </c>
      <c r="I4116" s="34"/>
      <c r="J4116" s="34" t="str">
        <f>VLOOKUP(Table2[[#This Row],[Author]],People!A:B,2,0)</f>
        <v>LS</v>
      </c>
      <c r="L4116" s="34"/>
      <c r="M4116" s="34" t="s">
        <v>4799</v>
      </c>
    </row>
    <row r="4117" spans="1:13">
      <c r="A4117" s="40">
        <f t="shared" si="68"/>
        <v>4116</v>
      </c>
      <c r="B4117" s="34" t="s">
        <v>8</v>
      </c>
      <c r="C4117" s="34" t="s">
        <v>13289</v>
      </c>
      <c r="E4117" s="34" t="s">
        <v>13373</v>
      </c>
      <c r="F4117" s="34" t="s">
        <v>3524</v>
      </c>
      <c r="G4117" s="34" t="s">
        <v>14</v>
      </c>
      <c r="H4117" s="34" t="str">
        <f>IFERROR(VLOOKUP(Table2[[#This Row], [Ticket]],Okey!A:B,2,0),"")</f>
        <v/>
      </c>
      <c r="I4117" s="34"/>
      <c r="J4117" s="34" t="str">
        <f>VLOOKUP(Table2[[#This Row],[Author]],People!A:B,2,0)</f>
        <v>LS</v>
      </c>
      <c r="L4117" s="34"/>
      <c r="M4117" s="34" t="s">
        <v>4799</v>
      </c>
    </row>
    <row r="4118" spans="1:13">
      <c r="A4118" s="40">
        <f t="shared" si="68"/>
        <v>4117</v>
      </c>
      <c r="B4118" s="34" t="s">
        <v>8</v>
      </c>
      <c r="C4118" s="34" t="s">
        <v>13289</v>
      </c>
      <c r="E4118" s="34" t="s">
        <v>13374</v>
      </c>
      <c r="F4118" s="34" t="s">
        <v>3524</v>
      </c>
      <c r="G4118" s="34" t="s">
        <v>14</v>
      </c>
      <c r="H4118" s="34" t="str">
        <f>IFERROR(VLOOKUP(Table2[[#This Row], [Ticket]],Okey!A:B,2,0),"")</f>
        <v/>
      </c>
      <c r="I4118" s="34"/>
      <c r="J4118" s="34" t="str">
        <f>VLOOKUP(Table2[[#This Row],[Author]],People!A:B,2,0)</f>
        <v>LS</v>
      </c>
      <c r="L4118" s="34"/>
      <c r="M4118" s="34" t="s">
        <v>4799</v>
      </c>
    </row>
    <row r="4119" spans="1:13">
      <c r="A4119" s="40">
        <f t="shared" si="68"/>
        <v>4118</v>
      </c>
      <c r="B4119" s="34" t="s">
        <v>8</v>
      </c>
      <c r="C4119" s="34" t="s">
        <v>13289</v>
      </c>
      <c r="E4119" s="34" t="s">
        <v>13375</v>
      </c>
      <c r="F4119" s="34" t="s">
        <v>3527</v>
      </c>
      <c r="G4119" s="34" t="s">
        <v>14</v>
      </c>
      <c r="H4119" s="34" t="str">
        <f>IFERROR(VLOOKUP(Table2[[#This Row], [Ticket]],Okey!A:B,2,0),"")</f>
        <v/>
      </c>
      <c r="I4119" s="34"/>
      <c r="J4119" s="34" t="str">
        <f>VLOOKUP(Table2[[#This Row],[Author]],People!A:B,2,0)</f>
        <v>LS</v>
      </c>
      <c r="L4119" s="34"/>
      <c r="M4119" s="34" t="s">
        <v>4799</v>
      </c>
    </row>
    <row r="4120" spans="1:13">
      <c r="A4120" s="40">
        <f t="shared" si="68"/>
        <v>4119</v>
      </c>
      <c r="B4120" s="34" t="s">
        <v>8</v>
      </c>
      <c r="C4120" s="34" t="s">
        <v>13289</v>
      </c>
      <c r="E4120" s="34" t="s">
        <v>13376</v>
      </c>
      <c r="F4120" s="34" t="s">
        <v>3527</v>
      </c>
      <c r="G4120" s="34" t="s">
        <v>14</v>
      </c>
      <c r="H4120" s="34" t="str">
        <f>IFERROR(VLOOKUP(Table2[[#This Row], [Ticket]],Okey!A:B,2,0),"")</f>
        <v/>
      </c>
      <c r="I4120" s="34"/>
      <c r="J4120" s="34" t="str">
        <f>VLOOKUP(Table2[[#This Row],[Author]],People!A:B,2,0)</f>
        <v>LS</v>
      </c>
      <c r="L4120" s="34"/>
      <c r="M4120" s="34" t="s">
        <v>4799</v>
      </c>
    </row>
    <row r="4121" spans="1:13">
      <c r="A4121" s="40">
        <f t="shared" ref="A4121:A4155" si="69">1+A4120</f>
        <v>4120</v>
      </c>
      <c r="B4121" s="34" t="s">
        <v>8</v>
      </c>
      <c r="C4121" s="34" t="s">
        <v>13289</v>
      </c>
      <c r="E4121" s="34" t="s">
        <v>13377</v>
      </c>
      <c r="F4121" s="34" t="s">
        <v>3531</v>
      </c>
      <c r="G4121" s="34" t="s">
        <v>14</v>
      </c>
      <c r="H4121" s="34" t="str">
        <f>IFERROR(VLOOKUP(Table2[[#This Row], [Ticket]],Okey!A:B,2,0),"")</f>
        <v/>
      </c>
      <c r="I4121" s="34"/>
      <c r="J4121" s="34" t="str">
        <f>VLOOKUP(Table2[[#This Row],[Author]],People!A:B,2,0)</f>
        <v>LS</v>
      </c>
      <c r="L4121" s="34"/>
      <c r="M4121" s="34" t="s">
        <v>4799</v>
      </c>
    </row>
    <row r="4122" spans="1:13">
      <c r="A4122" s="40">
        <f t="shared" si="69"/>
        <v>4121</v>
      </c>
      <c r="B4122" s="34" t="s">
        <v>8</v>
      </c>
      <c r="C4122" s="34" t="s">
        <v>13289</v>
      </c>
      <c r="E4122" s="34" t="s">
        <v>13378</v>
      </c>
      <c r="F4122" s="34" t="s">
        <v>3531</v>
      </c>
      <c r="G4122" s="34" t="s">
        <v>14</v>
      </c>
      <c r="H4122" s="34" t="str">
        <f>IFERROR(VLOOKUP(Table2[[#This Row], [Ticket]],Okey!A:B,2,0),"")</f>
        <v/>
      </c>
      <c r="I4122" s="34"/>
      <c r="J4122" s="34" t="str">
        <f>VLOOKUP(Table2[[#This Row],[Author]],People!A:B,2,0)</f>
        <v>LS</v>
      </c>
      <c r="L4122" s="34"/>
      <c r="M4122" s="34" t="s">
        <v>4799</v>
      </c>
    </row>
    <row r="4123" spans="1:13">
      <c r="A4123" s="40">
        <f t="shared" si="69"/>
        <v>4122</v>
      </c>
      <c r="B4123" s="34" t="s">
        <v>8</v>
      </c>
      <c r="C4123" s="34" t="s">
        <v>13289</v>
      </c>
      <c r="E4123" s="34" t="s">
        <v>13379</v>
      </c>
      <c r="F4123" s="34" t="s">
        <v>3531</v>
      </c>
      <c r="G4123" s="34" t="s">
        <v>14</v>
      </c>
      <c r="H4123" s="34" t="str">
        <f>IFERROR(VLOOKUP(Table2[[#This Row], [Ticket]],Okey!A:B,2,0),"")</f>
        <v/>
      </c>
      <c r="I4123" s="34"/>
      <c r="J4123" s="34" t="str">
        <f>VLOOKUP(Table2[[#This Row],[Author]],People!A:B,2,0)</f>
        <v>LS</v>
      </c>
      <c r="L4123" s="34"/>
      <c r="M4123" s="34" t="s">
        <v>4799</v>
      </c>
    </row>
    <row r="4124" spans="1:13">
      <c r="A4124" s="40">
        <f t="shared" si="69"/>
        <v>4123</v>
      </c>
      <c r="B4124" s="34" t="s">
        <v>8</v>
      </c>
      <c r="C4124" s="34" t="s">
        <v>13289</v>
      </c>
      <c r="E4124" s="34" t="s">
        <v>13380</v>
      </c>
      <c r="F4124" s="34" t="s">
        <v>3531</v>
      </c>
      <c r="G4124" s="34" t="s">
        <v>14</v>
      </c>
      <c r="H4124" s="34" t="str">
        <f>IFERROR(VLOOKUP(Table2[[#This Row], [Ticket]],Okey!A:B,2,0),"")</f>
        <v/>
      </c>
      <c r="I4124" s="34"/>
      <c r="J4124" s="34" t="str">
        <f>VLOOKUP(Table2[[#This Row],[Author]],People!A:B,2,0)</f>
        <v>LS</v>
      </c>
      <c r="L4124" s="34"/>
      <c r="M4124" s="34" t="s">
        <v>4799</v>
      </c>
    </row>
    <row r="4125" spans="1:13">
      <c r="A4125" s="40">
        <f t="shared" si="69"/>
        <v>4124</v>
      </c>
      <c r="B4125" s="34" t="s">
        <v>8</v>
      </c>
      <c r="C4125" s="34" t="s">
        <v>13289</v>
      </c>
      <c r="E4125" s="34" t="s">
        <v>13381</v>
      </c>
      <c r="F4125" s="34" t="s">
        <v>3531</v>
      </c>
      <c r="G4125" s="34" t="s">
        <v>14</v>
      </c>
      <c r="H4125" s="34" t="str">
        <f>IFERROR(VLOOKUP(Table2[[#This Row], [Ticket]],Okey!A:B,2,0),"")</f>
        <v/>
      </c>
      <c r="I4125" s="34"/>
      <c r="J4125" s="34" t="str">
        <f>VLOOKUP(Table2[[#This Row],[Author]],People!A:B,2,0)</f>
        <v>LS</v>
      </c>
      <c r="L4125" s="34"/>
      <c r="M4125" s="34" t="s">
        <v>4799</v>
      </c>
    </row>
    <row r="4126" spans="1:13">
      <c r="A4126" s="40">
        <f t="shared" si="69"/>
        <v>4125</v>
      </c>
      <c r="B4126" s="34" t="s">
        <v>8</v>
      </c>
      <c r="C4126" s="34" t="s">
        <v>13289</v>
      </c>
      <c r="E4126" s="34" t="s">
        <v>13382</v>
      </c>
      <c r="F4126" s="34" t="s">
        <v>8685</v>
      </c>
      <c r="G4126" s="34" t="s">
        <v>14</v>
      </c>
      <c r="H4126" s="34" t="str">
        <f>IFERROR(VLOOKUP(Table2[[#This Row], [Ticket]],Okey!A:B,2,0),"")</f>
        <v/>
      </c>
      <c r="I4126" s="34"/>
      <c r="J4126" s="34" t="str">
        <f>VLOOKUP(Table2[[#This Row],[Author]],People!A:B,2,0)</f>
        <v>LS</v>
      </c>
      <c r="L4126" s="34"/>
      <c r="M4126" s="34" t="s">
        <v>4799</v>
      </c>
    </row>
    <row r="4127" spans="1:13">
      <c r="A4127" s="40">
        <f t="shared" si="69"/>
        <v>4126</v>
      </c>
      <c r="B4127" s="34" t="s">
        <v>8</v>
      </c>
      <c r="C4127" s="34" t="s">
        <v>13289</v>
      </c>
      <c r="E4127" s="34" t="s">
        <v>13383</v>
      </c>
      <c r="F4127" s="34" t="s">
        <v>8685</v>
      </c>
      <c r="G4127" s="34" t="s">
        <v>14</v>
      </c>
      <c r="H4127" s="34" t="str">
        <f>IFERROR(VLOOKUP(Table2[[#This Row], [Ticket]],Okey!A:B,2,0),"")</f>
        <v/>
      </c>
      <c r="I4127" s="34"/>
      <c r="J4127" s="34" t="str">
        <f>VLOOKUP(Table2[[#This Row],[Author]],People!A:B,2,0)</f>
        <v>LS</v>
      </c>
      <c r="L4127" s="34"/>
      <c r="M4127" s="34" t="s">
        <v>4799</v>
      </c>
    </row>
    <row r="4128" spans="1:13">
      <c r="A4128" s="40">
        <f t="shared" si="69"/>
        <v>4127</v>
      </c>
      <c r="B4128" s="34" t="s">
        <v>8</v>
      </c>
      <c r="C4128" s="34" t="s">
        <v>13289</v>
      </c>
      <c r="E4128" s="34" t="s">
        <v>13384</v>
      </c>
      <c r="F4128" s="34" t="s">
        <v>8685</v>
      </c>
      <c r="G4128" s="34" t="s">
        <v>14</v>
      </c>
      <c r="H4128" s="34" t="str">
        <f>IFERROR(VLOOKUP(Table2[[#This Row], [Ticket]],Okey!A:B,2,0),"")</f>
        <v/>
      </c>
      <c r="I4128" s="34"/>
      <c r="J4128" s="34" t="str">
        <f>VLOOKUP(Table2[[#This Row],[Author]],People!A:B,2,0)</f>
        <v>LS</v>
      </c>
      <c r="L4128" s="34"/>
      <c r="M4128" s="34" t="s">
        <v>4799</v>
      </c>
    </row>
    <row r="4129" spans="1:13">
      <c r="A4129" s="40">
        <f t="shared" si="69"/>
        <v>4128</v>
      </c>
      <c r="B4129" s="34" t="s">
        <v>8</v>
      </c>
      <c r="C4129" s="34" t="s">
        <v>13289</v>
      </c>
      <c r="E4129" s="34" t="s">
        <v>13385</v>
      </c>
      <c r="F4129" s="34" t="s">
        <v>8685</v>
      </c>
      <c r="G4129" s="34" t="s">
        <v>14</v>
      </c>
      <c r="H4129" s="34" t="str">
        <f>IFERROR(VLOOKUP(Table2[[#This Row], [Ticket]],Okey!A:B,2,0),"")</f>
        <v/>
      </c>
      <c r="I4129" s="34"/>
      <c r="J4129" s="34" t="str">
        <f>VLOOKUP(Table2[[#This Row],[Author]],People!A:B,2,0)</f>
        <v>LS</v>
      </c>
      <c r="L4129" s="34"/>
      <c r="M4129" s="34" t="s">
        <v>4799</v>
      </c>
    </row>
    <row r="4130" spans="1:13">
      <c r="A4130" s="40">
        <f t="shared" si="69"/>
        <v>4129</v>
      </c>
      <c r="B4130" s="34" t="s">
        <v>8</v>
      </c>
      <c r="C4130" s="34" t="s">
        <v>13289</v>
      </c>
      <c r="E4130" s="34" t="s">
        <v>13386</v>
      </c>
      <c r="F4130" s="34" t="s">
        <v>8685</v>
      </c>
      <c r="G4130" s="34" t="s">
        <v>14</v>
      </c>
      <c r="H4130" s="34" t="str">
        <f>IFERROR(VLOOKUP(Table2[[#This Row], [Ticket]],Okey!A:B,2,0),"")</f>
        <v/>
      </c>
      <c r="I4130" s="34"/>
      <c r="J4130" s="34" t="str">
        <f>VLOOKUP(Table2[[#This Row],[Author]],People!A:B,2,0)</f>
        <v>LS</v>
      </c>
      <c r="L4130" s="34"/>
      <c r="M4130" s="34" t="s">
        <v>4799</v>
      </c>
    </row>
    <row r="4131" spans="1:13">
      <c r="A4131" s="40">
        <f t="shared" si="69"/>
        <v>4130</v>
      </c>
      <c r="B4131" s="34" t="s">
        <v>8</v>
      </c>
      <c r="C4131" s="34" t="s">
        <v>13289</v>
      </c>
      <c r="E4131" s="34" t="s">
        <v>13387</v>
      </c>
      <c r="F4131" s="34" t="s">
        <v>8685</v>
      </c>
      <c r="G4131" s="34" t="s">
        <v>14</v>
      </c>
      <c r="H4131" s="34" t="str">
        <f>IFERROR(VLOOKUP(Table2[[#This Row], [Ticket]],Okey!A:B,2,0),"")</f>
        <v/>
      </c>
      <c r="I4131" s="34"/>
      <c r="J4131" s="34" t="str">
        <f>VLOOKUP(Table2[[#This Row],[Author]],People!A:B,2,0)</f>
        <v>LS</v>
      </c>
      <c r="L4131" s="34"/>
      <c r="M4131" s="34" t="s">
        <v>4799</v>
      </c>
    </row>
    <row r="4132" spans="1:13">
      <c r="A4132" s="40">
        <f t="shared" si="69"/>
        <v>4131</v>
      </c>
      <c r="B4132" s="34" t="s">
        <v>8</v>
      </c>
      <c r="C4132" s="34" t="s">
        <v>13289</v>
      </c>
      <c r="E4132" s="34" t="s">
        <v>13388</v>
      </c>
      <c r="F4132" s="34" t="s">
        <v>8685</v>
      </c>
      <c r="G4132" s="34" t="s">
        <v>14</v>
      </c>
      <c r="H4132" s="34" t="str">
        <f>IFERROR(VLOOKUP(Table2[[#This Row], [Ticket]],Okey!A:B,2,0),"")</f>
        <v/>
      </c>
      <c r="I4132" s="34"/>
      <c r="J4132" s="34" t="str">
        <f>VLOOKUP(Table2[[#This Row],[Author]],People!A:B,2,0)</f>
        <v>LS</v>
      </c>
      <c r="L4132" s="34"/>
      <c r="M4132" s="34" t="s">
        <v>4799</v>
      </c>
    </row>
    <row r="4133" spans="1:13">
      <c r="A4133" s="40">
        <f t="shared" si="69"/>
        <v>4132</v>
      </c>
      <c r="B4133" s="34" t="s">
        <v>8</v>
      </c>
      <c r="C4133" s="34" t="s">
        <v>13289</v>
      </c>
      <c r="E4133" s="34" t="s">
        <v>13389</v>
      </c>
      <c r="F4133" s="34" t="s">
        <v>8685</v>
      </c>
      <c r="G4133" s="34" t="s">
        <v>14</v>
      </c>
      <c r="H4133" s="34" t="str">
        <f>IFERROR(VLOOKUP(Table2[[#This Row], [Ticket]],Okey!A:B,2,0),"")</f>
        <v/>
      </c>
      <c r="I4133" s="34"/>
      <c r="J4133" s="34" t="str">
        <f>VLOOKUP(Table2[[#This Row],[Author]],People!A:B,2,0)</f>
        <v>LS</v>
      </c>
      <c r="L4133" s="34"/>
      <c r="M4133" s="34" t="s">
        <v>4799</v>
      </c>
    </row>
    <row r="4134" spans="1:13">
      <c r="A4134" s="40">
        <f t="shared" si="69"/>
        <v>4133</v>
      </c>
      <c r="B4134" s="34" t="s">
        <v>8</v>
      </c>
      <c r="C4134" s="34" t="s">
        <v>13289</v>
      </c>
      <c r="E4134" s="34" t="s">
        <v>13390</v>
      </c>
      <c r="F4134" s="34" t="s">
        <v>8685</v>
      </c>
      <c r="G4134" s="34" t="s">
        <v>14</v>
      </c>
      <c r="H4134" s="34" t="str">
        <f>IFERROR(VLOOKUP(Table2[[#This Row], [Ticket]],Okey!A:B,2,0),"")</f>
        <v/>
      </c>
      <c r="I4134" s="34"/>
      <c r="J4134" s="34" t="str">
        <f>VLOOKUP(Table2[[#This Row],[Author]],People!A:B,2,0)</f>
        <v>LS</v>
      </c>
      <c r="L4134" s="34"/>
      <c r="M4134" s="34" t="s">
        <v>4799</v>
      </c>
    </row>
    <row r="4135" spans="1:13">
      <c r="A4135" s="40">
        <f t="shared" si="69"/>
        <v>4134</v>
      </c>
      <c r="B4135" s="34" t="s">
        <v>8</v>
      </c>
      <c r="C4135" s="34" t="s">
        <v>13289</v>
      </c>
      <c r="E4135" s="34" t="s">
        <v>13391</v>
      </c>
      <c r="F4135" s="34" t="s">
        <v>4855</v>
      </c>
      <c r="G4135" s="34" t="s">
        <v>14</v>
      </c>
      <c r="H4135" s="34" t="str">
        <f>IFERROR(VLOOKUP(Table2[[#This Row], [Ticket]],Okey!A:B,2,0),"")</f>
        <v/>
      </c>
      <c r="I4135" s="34"/>
      <c r="J4135" s="34" t="str">
        <f>VLOOKUP(Table2[[#This Row],[Author]],People!A:B,2,0)</f>
        <v>LS</v>
      </c>
      <c r="L4135" s="34"/>
      <c r="M4135" s="34" t="s">
        <v>4799</v>
      </c>
    </row>
    <row r="4136" spans="1:13">
      <c r="A4136" s="40">
        <f t="shared" si="69"/>
        <v>4135</v>
      </c>
      <c r="B4136" s="34" t="s">
        <v>8</v>
      </c>
      <c r="C4136" s="34" t="s">
        <v>13289</v>
      </c>
      <c r="E4136" s="34" t="s">
        <v>13392</v>
      </c>
      <c r="F4136" s="34" t="s">
        <v>4855</v>
      </c>
      <c r="G4136" s="34" t="s">
        <v>14</v>
      </c>
      <c r="H4136" s="34" t="str">
        <f>IFERROR(VLOOKUP(Table2[[#This Row], [Ticket]],Okey!A:B,2,0),"")</f>
        <v/>
      </c>
      <c r="I4136" s="34"/>
      <c r="J4136" s="34" t="str">
        <f>VLOOKUP(Table2[[#This Row],[Author]],People!A:B,2,0)</f>
        <v>LS</v>
      </c>
      <c r="L4136" s="34"/>
      <c r="M4136" s="34" t="s">
        <v>4799</v>
      </c>
    </row>
    <row r="4137" spans="1:13">
      <c r="A4137" s="40">
        <f t="shared" si="69"/>
        <v>4136</v>
      </c>
      <c r="B4137" s="34" t="s">
        <v>8</v>
      </c>
      <c r="C4137" s="34" t="s">
        <v>13289</v>
      </c>
      <c r="E4137" s="34" t="s">
        <v>13393</v>
      </c>
      <c r="F4137" s="34" t="s">
        <v>4859</v>
      </c>
      <c r="G4137" s="34" t="s">
        <v>14</v>
      </c>
      <c r="H4137" s="34" t="str">
        <f>IFERROR(VLOOKUP(Table2[[#This Row], [Ticket]],Okey!A:B,2,0),"")</f>
        <v/>
      </c>
      <c r="I4137" s="34"/>
      <c r="J4137" s="34" t="str">
        <f>VLOOKUP(Table2[[#This Row],[Author]],People!A:B,2,0)</f>
        <v>LS</v>
      </c>
      <c r="L4137" s="34"/>
      <c r="M4137" s="34" t="s">
        <v>4799</v>
      </c>
    </row>
    <row r="4138" spans="1:13">
      <c r="A4138" s="40">
        <f t="shared" si="69"/>
        <v>4137</v>
      </c>
      <c r="B4138" s="34" t="s">
        <v>8</v>
      </c>
      <c r="C4138" s="34" t="s">
        <v>13289</v>
      </c>
      <c r="E4138" s="34" t="s">
        <v>13394</v>
      </c>
      <c r="F4138" s="34" t="s">
        <v>4859</v>
      </c>
      <c r="G4138" s="34" t="s">
        <v>14</v>
      </c>
      <c r="H4138" s="34" t="str">
        <f>IFERROR(VLOOKUP(Table2[[#This Row], [Ticket]],Okey!A:B,2,0),"")</f>
        <v/>
      </c>
      <c r="I4138" s="34"/>
      <c r="J4138" s="34" t="str">
        <f>VLOOKUP(Table2[[#This Row],[Author]],People!A:B,2,0)</f>
        <v>LS</v>
      </c>
      <c r="L4138" s="34"/>
      <c r="M4138" s="34" t="s">
        <v>4799</v>
      </c>
    </row>
    <row r="4139" spans="1:13">
      <c r="A4139" s="40">
        <f t="shared" si="69"/>
        <v>4138</v>
      </c>
      <c r="B4139" s="34" t="s">
        <v>8</v>
      </c>
      <c r="C4139" s="34" t="s">
        <v>13289</v>
      </c>
      <c r="E4139" s="34" t="s">
        <v>13395</v>
      </c>
      <c r="F4139" s="34" t="s">
        <v>4859</v>
      </c>
      <c r="G4139" s="34" t="s">
        <v>14</v>
      </c>
      <c r="H4139" s="34" t="str">
        <f>IFERROR(VLOOKUP(Table2[[#This Row], [Ticket]],Okey!A:B,2,0),"")</f>
        <v/>
      </c>
      <c r="I4139" s="34"/>
      <c r="J4139" s="34" t="str">
        <f>VLOOKUP(Table2[[#This Row],[Author]],People!A:B,2,0)</f>
        <v>LS</v>
      </c>
      <c r="L4139" s="34"/>
      <c r="M4139" s="34" t="s">
        <v>4799</v>
      </c>
    </row>
    <row r="4140" spans="1:13">
      <c r="A4140" s="40">
        <f t="shared" si="69"/>
        <v>4139</v>
      </c>
      <c r="B4140" s="34" t="s">
        <v>8</v>
      </c>
      <c r="C4140" s="34" t="s">
        <v>13289</v>
      </c>
      <c r="E4140" s="34" t="s">
        <v>13396</v>
      </c>
      <c r="F4140" s="34" t="s">
        <v>4877</v>
      </c>
      <c r="G4140" s="34" t="s">
        <v>14</v>
      </c>
      <c r="H4140" s="34" t="str">
        <f>IFERROR(VLOOKUP(Table2[[#This Row], [Ticket]],Okey!A:B,2,0),"")</f>
        <v/>
      </c>
      <c r="I4140" s="34"/>
      <c r="J4140" s="34" t="str">
        <f>VLOOKUP(Table2[[#This Row],[Author]],People!A:B,2,0)</f>
        <v>LS</v>
      </c>
      <c r="L4140" s="34"/>
      <c r="M4140" s="34" t="s">
        <v>4799</v>
      </c>
    </row>
    <row r="4141" spans="1:13">
      <c r="A4141" s="40">
        <f t="shared" si="69"/>
        <v>4140</v>
      </c>
      <c r="B4141" s="34" t="s">
        <v>8</v>
      </c>
      <c r="C4141" s="34" t="s">
        <v>13289</v>
      </c>
      <c r="E4141" s="34" t="s">
        <v>13397</v>
      </c>
      <c r="F4141" s="34" t="s">
        <v>4877</v>
      </c>
      <c r="G4141" s="34" t="s">
        <v>14</v>
      </c>
      <c r="H4141" s="34" t="str">
        <f>IFERROR(VLOOKUP(Table2[[#This Row], [Ticket]],Okey!A:B,2,0),"")</f>
        <v/>
      </c>
      <c r="I4141" s="34"/>
      <c r="J4141" s="34" t="str">
        <f>VLOOKUP(Table2[[#This Row],[Author]],People!A:B,2,0)</f>
        <v>LS</v>
      </c>
      <c r="L4141" s="34"/>
      <c r="M4141" s="34" t="s">
        <v>4799</v>
      </c>
    </row>
    <row r="4142" spans="1:13">
      <c r="A4142" s="40">
        <f t="shared" si="69"/>
        <v>4141</v>
      </c>
      <c r="B4142" s="34" t="s">
        <v>8</v>
      </c>
      <c r="C4142" s="34" t="s">
        <v>13289</v>
      </c>
      <c r="E4142" s="34" t="s">
        <v>13398</v>
      </c>
      <c r="F4142" s="34" t="s">
        <v>4877</v>
      </c>
      <c r="G4142" s="34" t="s">
        <v>14</v>
      </c>
      <c r="H4142" s="34" t="str">
        <f>IFERROR(VLOOKUP(Table2[[#This Row], [Ticket]],Okey!A:B,2,0),"")</f>
        <v/>
      </c>
      <c r="I4142" s="34"/>
      <c r="J4142" s="34" t="str">
        <f>VLOOKUP(Table2[[#This Row],[Author]],People!A:B,2,0)</f>
        <v>LS</v>
      </c>
      <c r="L4142" s="34"/>
      <c r="M4142" s="34" t="s">
        <v>4799</v>
      </c>
    </row>
    <row r="4143" spans="1:13">
      <c r="A4143" s="40">
        <f t="shared" si="69"/>
        <v>4142</v>
      </c>
      <c r="B4143" s="34" t="s">
        <v>8</v>
      </c>
      <c r="C4143" s="34" t="s">
        <v>13289</v>
      </c>
      <c r="E4143" s="34" t="s">
        <v>13399</v>
      </c>
      <c r="F4143" s="34" t="s">
        <v>4877</v>
      </c>
      <c r="G4143" s="34" t="s">
        <v>14</v>
      </c>
      <c r="H4143" s="34" t="str">
        <f>IFERROR(VLOOKUP(Table2[[#This Row], [Ticket]],Okey!A:B,2,0),"")</f>
        <v/>
      </c>
      <c r="I4143" s="34"/>
      <c r="J4143" s="34" t="str">
        <f>VLOOKUP(Table2[[#This Row],[Author]],People!A:B,2,0)</f>
        <v>LS</v>
      </c>
      <c r="L4143" s="34"/>
      <c r="M4143" s="34" t="s">
        <v>4799</v>
      </c>
    </row>
    <row r="4144" spans="1:13">
      <c r="A4144" s="40">
        <f t="shared" si="69"/>
        <v>4143</v>
      </c>
      <c r="B4144" s="34" t="s">
        <v>8</v>
      </c>
      <c r="C4144" s="34" t="s">
        <v>13289</v>
      </c>
      <c r="E4144" s="34" t="s">
        <v>13400</v>
      </c>
      <c r="F4144" s="34" t="s">
        <v>4877</v>
      </c>
      <c r="G4144" s="34" t="s">
        <v>14</v>
      </c>
      <c r="H4144" s="34" t="str">
        <f>IFERROR(VLOOKUP(Table2[[#This Row], [Ticket]],Okey!A:B,2,0),"")</f>
        <v/>
      </c>
      <c r="I4144" s="34"/>
      <c r="J4144" s="34" t="str">
        <f>VLOOKUP(Table2[[#This Row],[Author]],People!A:B,2,0)</f>
        <v>LS</v>
      </c>
      <c r="L4144" s="34"/>
      <c r="M4144" s="34" t="s">
        <v>4799</v>
      </c>
    </row>
    <row r="4145" spans="1:13">
      <c r="A4145" s="40">
        <f t="shared" si="69"/>
        <v>4144</v>
      </c>
      <c r="B4145" s="34" t="s">
        <v>8</v>
      </c>
      <c r="C4145" s="34" t="s">
        <v>13289</v>
      </c>
      <c r="E4145" s="34" t="s">
        <v>13401</v>
      </c>
      <c r="F4145" s="34" t="s">
        <v>4877</v>
      </c>
      <c r="G4145" s="34" t="s">
        <v>14</v>
      </c>
      <c r="H4145" s="34" t="str">
        <f>IFERROR(VLOOKUP(Table2[[#This Row], [Ticket]],Okey!A:B,2,0),"")</f>
        <v/>
      </c>
      <c r="I4145" s="34"/>
      <c r="J4145" s="34" t="str">
        <f>VLOOKUP(Table2[[#This Row],[Author]],People!A:B,2,0)</f>
        <v>LS</v>
      </c>
      <c r="L4145" s="34"/>
      <c r="M4145" s="34" t="s">
        <v>4799</v>
      </c>
    </row>
    <row r="4146" spans="1:13">
      <c r="A4146" s="40">
        <f t="shared" si="69"/>
        <v>4145</v>
      </c>
      <c r="B4146" s="34" t="s">
        <v>8</v>
      </c>
      <c r="C4146" s="34" t="s">
        <v>13289</v>
      </c>
      <c r="E4146" s="34" t="s">
        <v>13402</v>
      </c>
      <c r="F4146" s="34" t="s">
        <v>4877</v>
      </c>
      <c r="G4146" s="34" t="s">
        <v>14</v>
      </c>
      <c r="H4146" s="34" t="str">
        <f>IFERROR(VLOOKUP(Table2[[#This Row], [Ticket]],Okey!A:B,2,0),"")</f>
        <v/>
      </c>
      <c r="I4146" s="34"/>
      <c r="J4146" s="34" t="str">
        <f>VLOOKUP(Table2[[#This Row],[Author]],People!A:B,2,0)</f>
        <v>LS</v>
      </c>
      <c r="L4146" s="34"/>
      <c r="M4146" s="34" t="s">
        <v>4799</v>
      </c>
    </row>
    <row r="4147" spans="1:13">
      <c r="A4147" s="40">
        <f t="shared" si="69"/>
        <v>4146</v>
      </c>
      <c r="B4147" s="34" t="s">
        <v>8</v>
      </c>
      <c r="C4147" s="34" t="s">
        <v>13289</v>
      </c>
      <c r="E4147" s="34" t="s">
        <v>13403</v>
      </c>
      <c r="F4147" s="34" t="s">
        <v>12219</v>
      </c>
      <c r="G4147" s="34" t="s">
        <v>14</v>
      </c>
      <c r="H4147" s="34" t="str">
        <f>IFERROR(VLOOKUP(Table2[[#This Row], [Ticket]],Okey!A:B,2,0),"")</f>
        <v/>
      </c>
      <c r="I4147" s="34"/>
      <c r="J4147" s="34" t="str">
        <f>VLOOKUP(Table2[[#This Row],[Author]],People!A:B,2,0)</f>
        <v>LS</v>
      </c>
      <c r="L4147" s="34"/>
      <c r="M4147" s="34" t="s">
        <v>4799</v>
      </c>
    </row>
    <row r="4148" spans="1:13">
      <c r="A4148" s="40">
        <f t="shared" si="69"/>
        <v>4147</v>
      </c>
      <c r="B4148" s="34" t="s">
        <v>8</v>
      </c>
      <c r="C4148" s="34" t="s">
        <v>13289</v>
      </c>
      <c r="E4148" s="34" t="s">
        <v>13404</v>
      </c>
      <c r="F4148" s="34" t="s">
        <v>13403</v>
      </c>
      <c r="G4148" s="34" t="s">
        <v>14</v>
      </c>
      <c r="H4148" s="34" t="str">
        <f>IFERROR(VLOOKUP(Table2[[#This Row], [Ticket]],Okey!A:B,2,0),"")</f>
        <v/>
      </c>
      <c r="I4148" s="34"/>
      <c r="J4148" s="34" t="str">
        <f>VLOOKUP(Table2[[#This Row],[Author]],People!A:B,2,0)</f>
        <v>LS</v>
      </c>
      <c r="L4148" s="34"/>
      <c r="M4148" s="34" t="s">
        <v>4799</v>
      </c>
    </row>
    <row r="4149" spans="1:13">
      <c r="A4149" s="40">
        <f t="shared" si="69"/>
        <v>4148</v>
      </c>
      <c r="B4149" s="34" t="s">
        <v>8</v>
      </c>
      <c r="C4149" s="34" t="s">
        <v>13289</v>
      </c>
      <c r="E4149" s="34" t="s">
        <v>13405</v>
      </c>
      <c r="F4149" s="34" t="s">
        <v>13403</v>
      </c>
      <c r="G4149" s="34" t="s">
        <v>14</v>
      </c>
      <c r="H4149" s="34" t="str">
        <f>IFERROR(VLOOKUP(Table2[[#This Row], [Ticket]],Okey!A:B,2,0),"")</f>
        <v/>
      </c>
      <c r="I4149" s="34"/>
      <c r="J4149" s="34" t="str">
        <f>VLOOKUP(Table2[[#This Row],[Author]],People!A:B,2,0)</f>
        <v>LS</v>
      </c>
      <c r="L4149" s="34"/>
      <c r="M4149" s="34" t="s">
        <v>4799</v>
      </c>
    </row>
    <row r="4150" spans="1:13">
      <c r="A4150" s="40">
        <f t="shared" si="69"/>
        <v>4149</v>
      </c>
      <c r="B4150" s="34" t="s">
        <v>8</v>
      </c>
      <c r="C4150" s="34" t="s">
        <v>13289</v>
      </c>
      <c r="E4150" s="34" t="s">
        <v>13406</v>
      </c>
      <c r="F4150" s="34" t="s">
        <v>948</v>
      </c>
      <c r="G4150" s="34" t="s">
        <v>14</v>
      </c>
      <c r="H4150" s="34" t="str">
        <f>IFERROR(VLOOKUP(Table2[[#This Row], [Ticket]],Okey!A:B,2,0),"")</f>
        <v/>
      </c>
      <c r="I4150" s="34"/>
      <c r="J4150" s="34" t="str">
        <f>VLOOKUP(Table2[[#This Row],[Author]],People!A:B,2,0)</f>
        <v>LS</v>
      </c>
      <c r="L4150" s="34"/>
      <c r="M4150" s="34" t="s">
        <v>4799</v>
      </c>
    </row>
    <row r="4151" spans="1:13">
      <c r="A4151" s="40">
        <f t="shared" si="69"/>
        <v>4150</v>
      </c>
      <c r="B4151" s="34" t="s">
        <v>8</v>
      </c>
      <c r="C4151" s="34" t="s">
        <v>13289</v>
      </c>
      <c r="E4151" s="34" t="s">
        <v>13295</v>
      </c>
      <c r="F4151" s="34" t="s">
        <v>8579</v>
      </c>
      <c r="G4151" s="34" t="s">
        <v>14</v>
      </c>
      <c r="H4151" s="34" t="str">
        <f>IFERROR(VLOOKUP(Table2[[#This Row], [Ticket]],Okey!A:B,2,0),"")</f>
        <v/>
      </c>
      <c r="I4151" s="34"/>
      <c r="J4151" s="34" t="str">
        <f>VLOOKUP(Table2[[#This Row],[Author]],People!A:B,2,0)</f>
        <v>LS</v>
      </c>
      <c r="L4151" s="34"/>
      <c r="M4151" s="34" t="s">
        <v>4799</v>
      </c>
    </row>
    <row r="4152" spans="1:13">
      <c r="A4152" s="40">
        <f t="shared" si="69"/>
        <v>4151</v>
      </c>
      <c r="B4152" s="34" t="s">
        <v>8</v>
      </c>
      <c r="C4152" s="34" t="s">
        <v>13289</v>
      </c>
      <c r="E4152" s="34" t="s">
        <v>13407</v>
      </c>
      <c r="F4152" s="34" t="s">
        <v>13313</v>
      </c>
      <c r="G4152" s="34" t="s">
        <v>14</v>
      </c>
      <c r="H4152" s="34" t="str">
        <f>IFERROR(VLOOKUP(Table2[[#This Row], [Ticket]],Okey!A:B,2,0),"")</f>
        <v/>
      </c>
      <c r="I4152" s="34"/>
      <c r="J4152" s="34" t="str">
        <f>VLOOKUP(Table2[[#This Row],[Author]],People!A:B,2,0)</f>
        <v>LS</v>
      </c>
      <c r="L4152" s="34"/>
      <c r="M4152" s="34" t="s">
        <v>4799</v>
      </c>
    </row>
    <row r="4153" spans="1:13">
      <c r="A4153" s="40">
        <f t="shared" si="69"/>
        <v>4152</v>
      </c>
      <c r="B4153" s="34" t="s">
        <v>8</v>
      </c>
      <c r="C4153" s="34" t="s">
        <v>13289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/>
      </c>
      <c r="I4153" s="34"/>
      <c r="J4153" s="34" t="str">
        <f>VLOOKUP(Table2[[#This Row],[Author]],People!A:B,2,0)</f>
        <v>LS</v>
      </c>
      <c r="L4153" s="34"/>
      <c r="M4153" s="34" t="s">
        <v>4799</v>
      </c>
    </row>
    <row r="4154" spans="1:13">
      <c r="A4154" s="40">
        <f t="shared" si="69"/>
        <v>4153</v>
      </c>
      <c r="B4154" s="34" t="s">
        <v>8</v>
      </c>
      <c r="C4154" s="34" t="s">
        <v>13289</v>
      </c>
      <c r="E4154" s="34" t="s">
        <v>13333</v>
      </c>
      <c r="F4154" s="34" t="s">
        <v>1470</v>
      </c>
      <c r="G4154" s="34" t="s">
        <v>14</v>
      </c>
      <c r="H4154" s="34" t="str">
        <f>IFERROR(VLOOKUP(Table2[[#This Row], [Ticket]],Okey!A:B,2,0),"")</f>
        <v/>
      </c>
      <c r="I4154" s="34"/>
      <c r="J4154" s="34" t="str">
        <f>VLOOKUP(Table2[[#This Row],[Author]],People!A:B,2,0)</f>
        <v>LS</v>
      </c>
      <c r="L4154" s="34"/>
      <c r="M4154" s="34" t="s">
        <v>4799</v>
      </c>
    </row>
    <row r="4155" spans="1:13">
      <c r="A4155" s="40">
        <f t="shared" si="69"/>
        <v>4154</v>
      </c>
      <c r="B4155" s="34" t="s">
        <v>8</v>
      </c>
      <c r="C4155" s="34" t="s">
        <v>13289</v>
      </c>
      <c r="E4155" s="34" t="s">
        <v>13674</v>
      </c>
      <c r="F4155" s="34" t="s">
        <v>3514</v>
      </c>
      <c r="G4155" s="34" t="s">
        <v>14</v>
      </c>
      <c r="H4155" s="34" t="str">
        <f>IFERROR(VLOOKUP(Table2[[#This Row], [Ticket]],Okey!A:B,2,0),"")</f>
        <v/>
      </c>
      <c r="I4155" s="34"/>
      <c r="J4155" s="34" t="str">
        <f>VLOOKUP(Table2[[#This Row],[Author]],People!A:B,2,0)</f>
        <v>LS</v>
      </c>
      <c r="L4155" s="34"/>
      <c r="M4155" s="34" t="s">
        <v>4799</v>
      </c>
    </row>
    <row r="4156" spans="1:13">
      <c r="A4156" s="40">
        <f t="shared" ref="A4156:A4219" si="70">1+A4155</f>
        <v>4155</v>
      </c>
      <c r="B4156" s="34" t="s">
        <v>8</v>
      </c>
      <c r="C4156" s="34" t="s">
        <v>13289</v>
      </c>
      <c r="D4156" s="8" t="s">
        <v>3889</v>
      </c>
      <c r="E4156" s="8" t="s">
        <v>13408</v>
      </c>
      <c r="G4156" s="8" t="s">
        <v>15</v>
      </c>
      <c r="H4156" s="34" t="str">
        <f>IFERROR(VLOOKUP(Table2[[#This Row], [Ticket]],Okey!A:B,2,0),"")</f>
        <v/>
      </c>
      <c r="I4156" s="34"/>
      <c r="J4156" s="34" t="str">
        <f>VLOOKUP(Table2[[#This Row],[Author]],People!A:B,2,0)</f>
        <v>LS</v>
      </c>
      <c r="L4156" s="34"/>
      <c r="M4156" s="34" t="s">
        <v>4799</v>
      </c>
    </row>
    <row r="4157" spans="1:13">
      <c r="A4157" s="40">
        <f t="shared" si="70"/>
        <v>4156</v>
      </c>
      <c r="B4157" s="34" t="s">
        <v>8</v>
      </c>
      <c r="C4157" s="34" t="s">
        <v>13289</v>
      </c>
      <c r="D4157" s="8" t="s">
        <v>6555</v>
      </c>
      <c r="E4157" s="8" t="s">
        <v>13409</v>
      </c>
      <c r="G4157" s="34" t="s">
        <v>15</v>
      </c>
      <c r="H4157" s="34" t="str">
        <f>IFERROR(VLOOKUP(Table2[[#This Row], [Ticket]],Okey!A:B,2,0),"")</f>
        <v/>
      </c>
      <c r="I4157" s="34"/>
      <c r="J4157" s="34" t="str">
        <f>VLOOKUP(Table2[[#This Row],[Author]],People!A:B,2,0)</f>
        <v>LS</v>
      </c>
      <c r="L4157" s="34"/>
      <c r="M4157" s="34" t="s">
        <v>4799</v>
      </c>
    </row>
    <row r="4158" spans="1:13">
      <c r="A4158" s="40">
        <f t="shared" si="70"/>
        <v>4157</v>
      </c>
      <c r="B4158" s="34" t="s">
        <v>8</v>
      </c>
      <c r="C4158" s="34" t="s">
        <v>13289</v>
      </c>
      <c r="D4158" s="8" t="s">
        <v>6556</v>
      </c>
      <c r="E4158" s="8" t="s">
        <v>13410</v>
      </c>
      <c r="G4158" s="34" t="s">
        <v>15</v>
      </c>
      <c r="H4158" s="34" t="str">
        <f>IFERROR(VLOOKUP(Table2[[#This Row], [Ticket]],Okey!A:B,2,0),"")</f>
        <v/>
      </c>
      <c r="I4158" s="34"/>
      <c r="J4158" s="34" t="str">
        <f>VLOOKUP(Table2[[#This Row],[Author]],People!A:B,2,0)</f>
        <v>LS</v>
      </c>
      <c r="L4158" s="34"/>
      <c r="M4158" s="34" t="s">
        <v>4799</v>
      </c>
    </row>
    <row r="4159" spans="1:13">
      <c r="A4159" s="40">
        <f t="shared" si="70"/>
        <v>4158</v>
      </c>
      <c r="B4159" s="34" t="s">
        <v>8</v>
      </c>
      <c r="C4159" s="34" t="s">
        <v>13289</v>
      </c>
      <c r="D4159" s="8" t="s">
        <v>4879</v>
      </c>
      <c r="E4159" s="8" t="s">
        <v>13411</v>
      </c>
      <c r="G4159" s="34" t="s">
        <v>15</v>
      </c>
      <c r="H4159" s="34" t="str">
        <f>IFERROR(VLOOKUP(Table2[[#This Row], [Ticket]],Okey!A:B,2,0),"")</f>
        <v/>
      </c>
      <c r="I4159" s="34"/>
      <c r="J4159" s="34" t="str">
        <f>VLOOKUP(Table2[[#This Row],[Author]],People!A:B,2,0)</f>
        <v>LS</v>
      </c>
      <c r="L4159" s="34"/>
      <c r="M4159" s="34" t="s">
        <v>4799</v>
      </c>
    </row>
    <row r="4160" spans="1:13">
      <c r="A4160" s="40">
        <f t="shared" si="70"/>
        <v>4159</v>
      </c>
      <c r="B4160" s="34" t="s">
        <v>8</v>
      </c>
      <c r="C4160" s="34" t="s">
        <v>13289</v>
      </c>
      <c r="D4160" s="8" t="s">
        <v>13412</v>
      </c>
      <c r="E4160" s="8" t="s">
        <v>13413</v>
      </c>
      <c r="G4160" s="34" t="s">
        <v>15</v>
      </c>
      <c r="H4160" s="34" t="str">
        <f>IFERROR(VLOOKUP(Table2[[#This Row], [Ticket]],Okey!A:B,2,0),"")</f>
        <v/>
      </c>
      <c r="I4160" s="34"/>
      <c r="J4160" s="34" t="str">
        <f>VLOOKUP(Table2[[#This Row],[Author]],People!A:B,2,0)</f>
        <v>LS</v>
      </c>
      <c r="L4160" s="34"/>
      <c r="M4160" s="34" t="s">
        <v>4799</v>
      </c>
    </row>
    <row r="4161" spans="1:13">
      <c r="A4161" s="40">
        <f t="shared" si="70"/>
        <v>4160</v>
      </c>
      <c r="B4161" s="34" t="s">
        <v>8</v>
      </c>
      <c r="C4161" s="34" t="s">
        <v>13289</v>
      </c>
      <c r="D4161" s="8" t="s">
        <v>3904</v>
      </c>
      <c r="E4161" s="8" t="s">
        <v>13414</v>
      </c>
      <c r="G4161" s="34" t="s">
        <v>15</v>
      </c>
      <c r="H4161" s="34" t="str">
        <f>IFERROR(VLOOKUP(Table2[[#This Row], [Ticket]],Okey!A:B,2,0),"")</f>
        <v/>
      </c>
      <c r="I4161" s="34"/>
      <c r="J4161" s="34" t="str">
        <f>VLOOKUP(Table2[[#This Row],[Author]],People!A:B,2,0)</f>
        <v>LS</v>
      </c>
      <c r="L4161" s="34"/>
      <c r="M4161" s="34" t="s">
        <v>4799</v>
      </c>
    </row>
    <row r="4162" spans="1:13">
      <c r="A4162" s="40">
        <f t="shared" si="70"/>
        <v>4161</v>
      </c>
      <c r="B4162" s="34" t="s">
        <v>8</v>
      </c>
      <c r="C4162" s="34" t="s">
        <v>13289</v>
      </c>
      <c r="D4162" s="8" t="s">
        <v>13415</v>
      </c>
      <c r="E4162" s="8" t="s">
        <v>13416</v>
      </c>
      <c r="G4162" s="34" t="s">
        <v>15</v>
      </c>
      <c r="H4162" s="34" t="str">
        <f>IFERROR(VLOOKUP(Table2[[#This Row], [Ticket]],Okey!A:B,2,0),"")</f>
        <v/>
      </c>
      <c r="I4162" s="34"/>
      <c r="J4162" s="34" t="str">
        <f>VLOOKUP(Table2[[#This Row],[Author]],People!A:B,2,0)</f>
        <v>LS</v>
      </c>
      <c r="L4162" s="34"/>
      <c r="M4162" s="34" t="s">
        <v>4799</v>
      </c>
    </row>
    <row r="4163" spans="1:13">
      <c r="A4163" s="40">
        <f t="shared" si="70"/>
        <v>4162</v>
      </c>
      <c r="B4163" s="34" t="s">
        <v>8</v>
      </c>
      <c r="C4163" s="34" t="s">
        <v>13289</v>
      </c>
      <c r="D4163" s="8" t="s">
        <v>13417</v>
      </c>
      <c r="E4163" s="8" t="s">
        <v>13418</v>
      </c>
      <c r="G4163" s="34" t="s">
        <v>15</v>
      </c>
      <c r="H4163" s="34" t="str">
        <f>IFERROR(VLOOKUP(Table2[[#This Row], [Ticket]],Okey!A:B,2,0),"")</f>
        <v/>
      </c>
      <c r="I4163" s="34"/>
      <c r="J4163" s="34" t="str">
        <f>VLOOKUP(Table2[[#This Row],[Author]],People!A:B,2,0)</f>
        <v>LS</v>
      </c>
      <c r="L4163" s="34"/>
      <c r="M4163" s="34" t="s">
        <v>4799</v>
      </c>
    </row>
    <row r="4164" spans="1:13">
      <c r="A4164" s="40">
        <f t="shared" si="70"/>
        <v>4163</v>
      </c>
      <c r="B4164" s="34" t="s">
        <v>8</v>
      </c>
      <c r="C4164" s="34" t="s">
        <v>13289</v>
      </c>
      <c r="D4164" s="8" t="s">
        <v>13419</v>
      </c>
      <c r="E4164" s="8" t="s">
        <v>13420</v>
      </c>
      <c r="G4164" s="34" t="s">
        <v>15</v>
      </c>
      <c r="H4164" s="34" t="str">
        <f>IFERROR(VLOOKUP(Table2[[#This Row], [Ticket]],Okey!A:B,2,0),"")</f>
        <v/>
      </c>
      <c r="I4164" s="34"/>
      <c r="J4164" s="34" t="str">
        <f>VLOOKUP(Table2[[#This Row],[Author]],People!A:B,2,0)</f>
        <v>LS</v>
      </c>
      <c r="L4164" s="34"/>
      <c r="M4164" s="34" t="s">
        <v>4799</v>
      </c>
    </row>
    <row r="4165" spans="1:13">
      <c r="A4165" s="40">
        <f t="shared" si="70"/>
        <v>4164</v>
      </c>
      <c r="B4165" s="34" t="s">
        <v>8</v>
      </c>
      <c r="C4165" s="34" t="s">
        <v>13289</v>
      </c>
      <c r="D4165" s="8" t="s">
        <v>13421</v>
      </c>
      <c r="E4165" s="8" t="s">
        <v>13422</v>
      </c>
      <c r="G4165" s="34" t="s">
        <v>15</v>
      </c>
      <c r="H4165" s="34" t="str">
        <f>IFERROR(VLOOKUP(Table2[[#This Row], [Ticket]],Okey!A:B,2,0),"")</f>
        <v/>
      </c>
      <c r="I4165" s="34"/>
      <c r="J4165" s="34" t="str">
        <f>VLOOKUP(Table2[[#This Row],[Author]],People!A:B,2,0)</f>
        <v>LS</v>
      </c>
      <c r="L4165" s="34"/>
      <c r="M4165" s="34" t="s">
        <v>4799</v>
      </c>
    </row>
    <row r="4166" spans="1:13">
      <c r="A4166" s="40">
        <f t="shared" si="70"/>
        <v>4165</v>
      </c>
      <c r="B4166" s="34" t="s">
        <v>8</v>
      </c>
      <c r="C4166" s="34" t="s">
        <v>13289</v>
      </c>
      <c r="D4166" s="8" t="s">
        <v>13423</v>
      </c>
      <c r="E4166" s="8" t="s">
        <v>13424</v>
      </c>
      <c r="G4166" s="34" t="s">
        <v>15</v>
      </c>
      <c r="H4166" s="34" t="str">
        <f>IFERROR(VLOOKUP(Table2[[#This Row], [Ticket]],Okey!A:B,2,0),"")</f>
        <v/>
      </c>
      <c r="I4166" s="34"/>
      <c r="J4166" s="34" t="str">
        <f>VLOOKUP(Table2[[#This Row],[Author]],People!A:B,2,0)</f>
        <v>LS</v>
      </c>
      <c r="L4166" s="34"/>
      <c r="M4166" s="34" t="s">
        <v>4799</v>
      </c>
    </row>
    <row r="4167" spans="1:13">
      <c r="A4167" s="40">
        <f t="shared" si="70"/>
        <v>4166</v>
      </c>
      <c r="B4167" s="34" t="s">
        <v>8</v>
      </c>
      <c r="C4167" s="34" t="s">
        <v>13289</v>
      </c>
      <c r="D4167" s="8" t="s">
        <v>13425</v>
      </c>
      <c r="E4167" s="8" t="s">
        <v>13426</v>
      </c>
      <c r="G4167" s="34" t="s">
        <v>15</v>
      </c>
      <c r="H4167" s="34" t="str">
        <f>IFERROR(VLOOKUP(Table2[[#This Row], [Ticket]],Okey!A:B,2,0),"")</f>
        <v/>
      </c>
      <c r="I4167" s="34"/>
      <c r="J4167" s="34" t="str">
        <f>VLOOKUP(Table2[[#This Row],[Author]],People!A:B,2,0)</f>
        <v>LS</v>
      </c>
      <c r="L4167" s="34"/>
      <c r="M4167" s="34" t="s">
        <v>4799</v>
      </c>
    </row>
    <row r="4168" spans="1:13">
      <c r="A4168" s="40">
        <f t="shared" si="70"/>
        <v>4167</v>
      </c>
      <c r="B4168" s="34" t="s">
        <v>8</v>
      </c>
      <c r="C4168" s="34" t="s">
        <v>13289</v>
      </c>
      <c r="D4168" s="8" t="s">
        <v>13427</v>
      </c>
      <c r="E4168" s="8" t="s">
        <v>13428</v>
      </c>
      <c r="G4168" s="34" t="s">
        <v>15</v>
      </c>
      <c r="H4168" s="34" t="str">
        <f>IFERROR(VLOOKUP(Table2[[#This Row], [Ticket]],Okey!A:B,2,0),"")</f>
        <v/>
      </c>
      <c r="I4168" s="34"/>
      <c r="J4168" s="34" t="str">
        <f>VLOOKUP(Table2[[#This Row],[Author]],People!A:B,2,0)</f>
        <v>LS</v>
      </c>
      <c r="L4168" s="34"/>
      <c r="M4168" s="34" t="s">
        <v>4799</v>
      </c>
    </row>
    <row r="4169" spans="1:13">
      <c r="A4169" s="40">
        <f t="shared" si="70"/>
        <v>4168</v>
      </c>
      <c r="B4169" s="34" t="s">
        <v>8</v>
      </c>
      <c r="C4169" s="34" t="s">
        <v>13289</v>
      </c>
      <c r="D4169" s="8" t="s">
        <v>13429</v>
      </c>
      <c r="E4169" s="8" t="s">
        <v>13430</v>
      </c>
      <c r="G4169" s="34" t="s">
        <v>15</v>
      </c>
      <c r="H4169" s="34" t="str">
        <f>IFERROR(VLOOKUP(Table2[[#This Row], [Ticket]],Okey!A:B,2,0),"")</f>
        <v/>
      </c>
      <c r="I4169" s="34"/>
      <c r="J4169" s="34" t="str">
        <f>VLOOKUP(Table2[[#This Row],[Author]],People!A:B,2,0)</f>
        <v>LS</v>
      </c>
      <c r="L4169" s="34"/>
      <c r="M4169" s="34" t="s">
        <v>4799</v>
      </c>
    </row>
    <row r="4170" spans="1:13">
      <c r="A4170" s="40">
        <f t="shared" si="70"/>
        <v>4169</v>
      </c>
      <c r="B4170" s="34" t="s">
        <v>8</v>
      </c>
      <c r="C4170" s="34" t="s">
        <v>13289</v>
      </c>
      <c r="D4170" s="8" t="s">
        <v>13431</v>
      </c>
      <c r="E4170" s="8" t="s">
        <v>13432</v>
      </c>
      <c r="G4170" s="34" t="s">
        <v>15</v>
      </c>
      <c r="H4170" s="34" t="str">
        <f>IFERROR(VLOOKUP(Table2[[#This Row], [Ticket]],Okey!A:B,2,0),"")</f>
        <v/>
      </c>
      <c r="I4170" s="34"/>
      <c r="J4170" s="34" t="str">
        <f>VLOOKUP(Table2[[#This Row],[Author]],People!A:B,2,0)</f>
        <v>LS</v>
      </c>
      <c r="L4170" s="34"/>
      <c r="M4170" s="34" t="s">
        <v>4799</v>
      </c>
    </row>
    <row r="4171" spans="1:13">
      <c r="A4171" s="40">
        <f t="shared" si="70"/>
        <v>4170</v>
      </c>
      <c r="B4171" s="34" t="s">
        <v>8</v>
      </c>
      <c r="C4171" s="34" t="s">
        <v>13289</v>
      </c>
      <c r="D4171" s="8" t="s">
        <v>13433</v>
      </c>
      <c r="E4171" s="8" t="s">
        <v>13434</v>
      </c>
      <c r="G4171" s="34" t="s">
        <v>15</v>
      </c>
      <c r="H4171" s="34" t="str">
        <f>IFERROR(VLOOKUP(Table2[[#This Row], [Ticket]],Okey!A:B,2,0),"")</f>
        <v/>
      </c>
      <c r="I4171" s="34"/>
      <c r="J4171" s="34" t="str">
        <f>VLOOKUP(Table2[[#This Row],[Author]],People!A:B,2,0)</f>
        <v>LS</v>
      </c>
      <c r="L4171" s="34"/>
      <c r="M4171" s="34" t="s">
        <v>4799</v>
      </c>
    </row>
    <row r="4172" spans="1:13">
      <c r="A4172" s="40">
        <f t="shared" si="70"/>
        <v>4171</v>
      </c>
      <c r="B4172" s="34" t="s">
        <v>8</v>
      </c>
      <c r="C4172" s="34" t="s">
        <v>13289</v>
      </c>
      <c r="D4172" s="8" t="s">
        <v>13435</v>
      </c>
      <c r="E4172" s="8" t="s">
        <v>13434</v>
      </c>
      <c r="G4172" s="34" t="s">
        <v>15</v>
      </c>
      <c r="H4172" s="34" t="str">
        <f>IFERROR(VLOOKUP(Table2[[#This Row], [Ticket]],Okey!A:B,2,0),"")</f>
        <v/>
      </c>
      <c r="I4172" s="34"/>
      <c r="J4172" s="34" t="str">
        <f>VLOOKUP(Table2[[#This Row],[Author]],People!A:B,2,0)</f>
        <v>LS</v>
      </c>
      <c r="L4172" s="34"/>
      <c r="M4172" s="34" t="s">
        <v>4799</v>
      </c>
    </row>
    <row r="4173" spans="1:13">
      <c r="A4173" s="40">
        <f t="shared" si="70"/>
        <v>4172</v>
      </c>
      <c r="B4173" s="34" t="s">
        <v>8</v>
      </c>
      <c r="C4173" s="34" t="s">
        <v>13289</v>
      </c>
      <c r="D4173" s="8" t="s">
        <v>13436</v>
      </c>
      <c r="E4173" s="8" t="s">
        <v>13437</v>
      </c>
      <c r="G4173" s="34" t="s">
        <v>15</v>
      </c>
      <c r="H4173" s="34" t="str">
        <f>IFERROR(VLOOKUP(Table2[[#This Row], [Ticket]],Okey!A:B,2,0),"")</f>
        <v/>
      </c>
      <c r="I4173" s="34"/>
      <c r="J4173" s="34" t="str">
        <f>VLOOKUP(Table2[[#This Row],[Author]],People!A:B,2,0)</f>
        <v>LS</v>
      </c>
      <c r="L4173" s="34"/>
      <c r="M4173" s="34" t="s">
        <v>4799</v>
      </c>
    </row>
    <row r="4174" spans="1:13">
      <c r="A4174" s="40">
        <f t="shared" si="70"/>
        <v>4173</v>
      </c>
      <c r="B4174" s="34" t="s">
        <v>8</v>
      </c>
      <c r="C4174" s="34" t="s">
        <v>13289</v>
      </c>
      <c r="D4174" s="8" t="s">
        <v>13438</v>
      </c>
      <c r="E4174" s="8" t="s">
        <v>13439</v>
      </c>
      <c r="G4174" s="34" t="s">
        <v>15</v>
      </c>
      <c r="H4174" s="34" t="str">
        <f>IFERROR(VLOOKUP(Table2[[#This Row], [Ticket]],Okey!A:B,2,0),"")</f>
        <v/>
      </c>
      <c r="I4174" s="34"/>
      <c r="J4174" s="34" t="str">
        <f>VLOOKUP(Table2[[#This Row],[Author]],People!A:B,2,0)</f>
        <v>LS</v>
      </c>
      <c r="L4174" s="34"/>
      <c r="M4174" s="34" t="s">
        <v>4799</v>
      </c>
    </row>
    <row r="4175" spans="1:13">
      <c r="A4175" s="40">
        <f t="shared" si="70"/>
        <v>4174</v>
      </c>
      <c r="B4175" s="34" t="s">
        <v>8</v>
      </c>
      <c r="C4175" s="34" t="s">
        <v>13289</v>
      </c>
      <c r="D4175" s="8" t="s">
        <v>13440</v>
      </c>
      <c r="E4175" s="8" t="s">
        <v>13441</v>
      </c>
      <c r="G4175" s="34" t="s">
        <v>15</v>
      </c>
      <c r="H4175" s="34" t="str">
        <f>IFERROR(VLOOKUP(Table2[[#This Row], [Ticket]],Okey!A:B,2,0),"")</f>
        <v/>
      </c>
      <c r="I4175" s="34"/>
      <c r="J4175" s="34" t="str">
        <f>VLOOKUP(Table2[[#This Row],[Author]],People!A:B,2,0)</f>
        <v>LS</v>
      </c>
      <c r="L4175" s="34"/>
      <c r="M4175" s="34" t="s">
        <v>4799</v>
      </c>
    </row>
    <row r="4176" spans="1:13">
      <c r="A4176" s="40">
        <f t="shared" si="70"/>
        <v>4175</v>
      </c>
      <c r="B4176" s="34" t="s">
        <v>8</v>
      </c>
      <c r="C4176" s="34" t="s">
        <v>13289</v>
      </c>
      <c r="D4176" s="8" t="s">
        <v>13442</v>
      </c>
      <c r="E4176" s="8" t="s">
        <v>13443</v>
      </c>
      <c r="G4176" s="34" t="s">
        <v>15</v>
      </c>
      <c r="H4176" s="34" t="str">
        <f>IFERROR(VLOOKUP(Table2[[#This Row], [Ticket]],Okey!A:B,2,0),"")</f>
        <v/>
      </c>
      <c r="I4176" s="34"/>
      <c r="J4176" s="34" t="str">
        <f>VLOOKUP(Table2[[#This Row],[Author]],People!A:B,2,0)</f>
        <v>LS</v>
      </c>
      <c r="L4176" s="34"/>
      <c r="M4176" s="34" t="s">
        <v>4799</v>
      </c>
    </row>
    <row r="4177" spans="1:13">
      <c r="A4177" s="40">
        <f t="shared" si="70"/>
        <v>4176</v>
      </c>
      <c r="B4177" s="34" t="s">
        <v>8</v>
      </c>
      <c r="C4177" s="34" t="s">
        <v>13289</v>
      </c>
      <c r="D4177" s="8" t="s">
        <v>13444</v>
      </c>
      <c r="E4177" s="8" t="s">
        <v>13445</v>
      </c>
      <c r="G4177" s="34" t="s">
        <v>15</v>
      </c>
      <c r="H4177" s="34" t="str">
        <f>IFERROR(VLOOKUP(Table2[[#This Row], [Ticket]],Okey!A:B,2,0),"")</f>
        <v/>
      </c>
      <c r="I4177" s="34"/>
      <c r="J4177" s="34" t="str">
        <f>VLOOKUP(Table2[[#This Row],[Author]],People!A:B,2,0)</f>
        <v>LS</v>
      </c>
      <c r="L4177" s="34"/>
      <c r="M4177" s="34" t="s">
        <v>4799</v>
      </c>
    </row>
    <row r="4178" spans="1:13">
      <c r="A4178" s="40">
        <f t="shared" si="70"/>
        <v>4177</v>
      </c>
      <c r="B4178" s="34" t="s">
        <v>8</v>
      </c>
      <c r="C4178" s="34" t="s">
        <v>13289</v>
      </c>
      <c r="D4178" s="8" t="s">
        <v>13446</v>
      </c>
      <c r="E4178" s="8" t="s">
        <v>13447</v>
      </c>
      <c r="G4178" s="34" t="s">
        <v>15</v>
      </c>
      <c r="H4178" s="34" t="str">
        <f>IFERROR(VLOOKUP(Table2[[#This Row], [Ticket]],Okey!A:B,2,0),"")</f>
        <v/>
      </c>
      <c r="I4178" s="34"/>
      <c r="J4178" s="34" t="str">
        <f>VLOOKUP(Table2[[#This Row],[Author]],People!A:B,2,0)</f>
        <v>LS</v>
      </c>
      <c r="L4178" s="34"/>
      <c r="M4178" s="34" t="s">
        <v>4799</v>
      </c>
    </row>
    <row r="4179" spans="1:13">
      <c r="A4179" s="40">
        <f t="shared" si="70"/>
        <v>4178</v>
      </c>
      <c r="B4179" s="34" t="s">
        <v>8</v>
      </c>
      <c r="C4179" s="34" t="s">
        <v>13289</v>
      </c>
      <c r="D4179" s="8" t="s">
        <v>13448</v>
      </c>
      <c r="E4179" s="8" t="s">
        <v>13449</v>
      </c>
      <c r="G4179" s="34" t="s">
        <v>15</v>
      </c>
      <c r="H4179" s="34" t="str">
        <f>IFERROR(VLOOKUP(Table2[[#This Row], [Ticket]],Okey!A:B,2,0),"")</f>
        <v/>
      </c>
      <c r="I4179" s="34"/>
      <c r="J4179" s="34" t="str">
        <f>VLOOKUP(Table2[[#This Row],[Author]],People!A:B,2,0)</f>
        <v>LS</v>
      </c>
      <c r="L4179" s="34"/>
      <c r="M4179" s="34" t="s">
        <v>4799</v>
      </c>
    </row>
    <row r="4180" spans="1:13">
      <c r="A4180" s="40">
        <f t="shared" si="70"/>
        <v>4179</v>
      </c>
      <c r="B4180" s="34" t="s">
        <v>8</v>
      </c>
      <c r="C4180" s="34" t="s">
        <v>13289</v>
      </c>
      <c r="D4180" s="8" t="s">
        <v>13450</v>
      </c>
      <c r="E4180" s="8" t="s">
        <v>13451</v>
      </c>
      <c r="G4180" s="34" t="s">
        <v>15</v>
      </c>
      <c r="H4180" s="34" t="str">
        <f>IFERROR(VLOOKUP(Table2[[#This Row], [Ticket]],Okey!A:B,2,0),"")</f>
        <v/>
      </c>
      <c r="I4180" s="34"/>
      <c r="J4180" s="34" t="str">
        <f>VLOOKUP(Table2[[#This Row],[Author]],People!A:B,2,0)</f>
        <v>LS</v>
      </c>
      <c r="L4180" s="34"/>
      <c r="M4180" s="34" t="s">
        <v>4799</v>
      </c>
    </row>
    <row r="4181" spans="1:13">
      <c r="A4181" s="40">
        <f t="shared" si="70"/>
        <v>4180</v>
      </c>
      <c r="B4181" s="34" t="s">
        <v>8</v>
      </c>
      <c r="C4181" s="34" t="s">
        <v>13289</v>
      </c>
      <c r="D4181" s="8" t="s">
        <v>13452</v>
      </c>
      <c r="E4181" s="8" t="s">
        <v>13453</v>
      </c>
      <c r="G4181" s="34" t="s">
        <v>15</v>
      </c>
      <c r="H4181" s="34" t="str">
        <f>IFERROR(VLOOKUP(Table2[[#This Row], [Ticket]],Okey!A:B,2,0),"")</f>
        <v/>
      </c>
      <c r="I4181" s="34"/>
      <c r="J4181" s="34" t="str">
        <f>VLOOKUP(Table2[[#This Row],[Author]],People!A:B,2,0)</f>
        <v>LS</v>
      </c>
      <c r="L4181" s="34"/>
      <c r="M4181" s="34" t="s">
        <v>4799</v>
      </c>
    </row>
    <row r="4182" spans="1:13">
      <c r="A4182" s="40">
        <f t="shared" si="70"/>
        <v>4181</v>
      </c>
      <c r="B4182" s="34" t="s">
        <v>8</v>
      </c>
      <c r="C4182" s="34" t="s">
        <v>13289</v>
      </c>
      <c r="D4182" s="8" t="s">
        <v>13454</v>
      </c>
      <c r="E4182" s="8" t="s">
        <v>13455</v>
      </c>
      <c r="G4182" s="34" t="s">
        <v>15</v>
      </c>
      <c r="H4182" s="34" t="str">
        <f>IFERROR(VLOOKUP(Table2[[#This Row], [Ticket]],Okey!A:B,2,0),"")</f>
        <v/>
      </c>
      <c r="I4182" s="34"/>
      <c r="J4182" s="34" t="str">
        <f>VLOOKUP(Table2[[#This Row],[Author]],People!A:B,2,0)</f>
        <v>LS</v>
      </c>
      <c r="L4182" s="34"/>
      <c r="M4182" s="34" t="s">
        <v>4799</v>
      </c>
    </row>
    <row r="4183" spans="1:13">
      <c r="A4183" s="40">
        <f t="shared" si="70"/>
        <v>4182</v>
      </c>
      <c r="B4183" s="34" t="s">
        <v>8</v>
      </c>
      <c r="C4183" s="34" t="s">
        <v>13289</v>
      </c>
      <c r="D4183" s="8" t="s">
        <v>13456</v>
      </c>
      <c r="E4183" s="8" t="s">
        <v>13457</v>
      </c>
      <c r="G4183" s="34" t="s">
        <v>15</v>
      </c>
      <c r="H4183" s="34" t="str">
        <f>IFERROR(VLOOKUP(Table2[[#This Row], [Ticket]],Okey!A:B,2,0),"")</f>
        <v/>
      </c>
      <c r="I4183" s="34"/>
      <c r="J4183" s="34" t="str">
        <f>VLOOKUP(Table2[[#This Row],[Author]],People!A:B,2,0)</f>
        <v>LS</v>
      </c>
      <c r="L4183" s="34"/>
      <c r="M4183" s="34" t="s">
        <v>4799</v>
      </c>
    </row>
    <row r="4184" spans="1:13">
      <c r="A4184" s="40">
        <f t="shared" si="70"/>
        <v>4183</v>
      </c>
      <c r="B4184" s="34" t="s">
        <v>8</v>
      </c>
      <c r="C4184" s="34" t="s">
        <v>13289</v>
      </c>
      <c r="D4184" s="8" t="s">
        <v>13458</v>
      </c>
      <c r="E4184" s="8" t="s">
        <v>13459</v>
      </c>
      <c r="G4184" s="34" t="s">
        <v>15</v>
      </c>
      <c r="H4184" s="34" t="str">
        <f>IFERROR(VLOOKUP(Table2[[#This Row], [Ticket]],Okey!A:B,2,0),"")</f>
        <v/>
      </c>
      <c r="I4184" s="34"/>
      <c r="J4184" s="34" t="str">
        <f>VLOOKUP(Table2[[#This Row],[Author]],People!A:B,2,0)</f>
        <v>LS</v>
      </c>
      <c r="L4184" s="34"/>
      <c r="M4184" s="34" t="s">
        <v>4799</v>
      </c>
    </row>
    <row r="4185" spans="1:13">
      <c r="A4185" s="40">
        <f t="shared" si="70"/>
        <v>4184</v>
      </c>
      <c r="B4185" s="34" t="s">
        <v>8</v>
      </c>
      <c r="C4185" s="34" t="s">
        <v>13289</v>
      </c>
      <c r="D4185" s="8" t="s">
        <v>13460</v>
      </c>
      <c r="E4185" s="8" t="s">
        <v>13461</v>
      </c>
      <c r="G4185" s="34" t="s">
        <v>15</v>
      </c>
      <c r="H4185" s="34" t="str">
        <f>IFERROR(VLOOKUP(Table2[[#This Row], [Ticket]],Okey!A:B,2,0),"")</f>
        <v/>
      </c>
      <c r="I4185" s="34"/>
      <c r="J4185" s="34" t="str">
        <f>VLOOKUP(Table2[[#This Row],[Author]],People!A:B,2,0)</f>
        <v>LS</v>
      </c>
      <c r="L4185" s="34"/>
      <c r="M4185" s="34" t="s">
        <v>4799</v>
      </c>
    </row>
    <row r="4186" spans="1:13">
      <c r="A4186" s="40">
        <f t="shared" si="70"/>
        <v>4185</v>
      </c>
      <c r="B4186" s="34" t="s">
        <v>8</v>
      </c>
      <c r="C4186" s="34" t="s">
        <v>13289</v>
      </c>
      <c r="D4186" s="8" t="s">
        <v>13462</v>
      </c>
      <c r="E4186" s="8" t="s">
        <v>13463</v>
      </c>
      <c r="G4186" s="34" t="s">
        <v>15</v>
      </c>
      <c r="H4186" s="34" t="str">
        <f>IFERROR(VLOOKUP(Table2[[#This Row], [Ticket]],Okey!A:B,2,0),"")</f>
        <v/>
      </c>
      <c r="I4186" s="34"/>
      <c r="J4186" s="34" t="str">
        <f>VLOOKUP(Table2[[#This Row],[Author]],People!A:B,2,0)</f>
        <v>LS</v>
      </c>
      <c r="L4186" s="34"/>
      <c r="M4186" s="34" t="s">
        <v>4799</v>
      </c>
    </row>
    <row r="4187" spans="1:13">
      <c r="A4187" s="40">
        <f t="shared" si="70"/>
        <v>4186</v>
      </c>
      <c r="B4187" s="34" t="s">
        <v>8</v>
      </c>
      <c r="C4187" s="34" t="s">
        <v>13289</v>
      </c>
      <c r="D4187" s="8" t="s">
        <v>13464</v>
      </c>
      <c r="E4187" s="8" t="s">
        <v>13465</v>
      </c>
      <c r="G4187" s="34" t="s">
        <v>15</v>
      </c>
      <c r="H4187" s="34" t="str">
        <f>IFERROR(VLOOKUP(Table2[[#This Row], [Ticket]],Okey!A:B,2,0),"")</f>
        <v/>
      </c>
      <c r="I4187" s="34"/>
      <c r="J4187" s="34" t="str">
        <f>VLOOKUP(Table2[[#This Row],[Author]],People!A:B,2,0)</f>
        <v>LS</v>
      </c>
      <c r="L4187" s="34"/>
      <c r="M4187" s="34" t="s">
        <v>4799</v>
      </c>
    </row>
    <row r="4188" spans="1:13">
      <c r="A4188" s="40">
        <f t="shared" si="70"/>
        <v>4187</v>
      </c>
      <c r="B4188" s="34" t="s">
        <v>8</v>
      </c>
      <c r="C4188" s="34" t="s">
        <v>13289</v>
      </c>
      <c r="D4188" s="8" t="s">
        <v>13466</v>
      </c>
      <c r="E4188" s="8" t="s">
        <v>13467</v>
      </c>
      <c r="G4188" s="34" t="s">
        <v>15</v>
      </c>
      <c r="H4188" s="34" t="str">
        <f>IFERROR(VLOOKUP(Table2[[#This Row], [Ticket]],Okey!A:B,2,0),"")</f>
        <v/>
      </c>
      <c r="I4188" s="34"/>
      <c r="J4188" s="34" t="str">
        <f>VLOOKUP(Table2[[#This Row],[Author]],People!A:B,2,0)</f>
        <v>LS</v>
      </c>
      <c r="L4188" s="34"/>
      <c r="M4188" s="34" t="s">
        <v>4799</v>
      </c>
    </row>
    <row r="4189" spans="1:13">
      <c r="A4189" s="40">
        <f t="shared" si="70"/>
        <v>4188</v>
      </c>
      <c r="B4189" s="34" t="s">
        <v>8</v>
      </c>
      <c r="C4189" s="34" t="s">
        <v>13289</v>
      </c>
      <c r="D4189" s="8" t="s">
        <v>13468</v>
      </c>
      <c r="E4189" s="8" t="s">
        <v>13467</v>
      </c>
      <c r="G4189" s="34" t="s">
        <v>15</v>
      </c>
      <c r="H4189" s="34" t="str">
        <f>IFERROR(VLOOKUP(Table2[[#This Row], [Ticket]],Okey!A:B,2,0),"")</f>
        <v/>
      </c>
      <c r="I4189" s="34"/>
      <c r="J4189" s="34" t="str">
        <f>VLOOKUP(Table2[[#This Row],[Author]],People!A:B,2,0)</f>
        <v>LS</v>
      </c>
      <c r="L4189" s="34"/>
      <c r="M4189" s="34" t="s">
        <v>4799</v>
      </c>
    </row>
    <row r="4190" spans="1:13">
      <c r="A4190" s="40">
        <f t="shared" si="70"/>
        <v>4189</v>
      </c>
      <c r="B4190" s="34" t="s">
        <v>8</v>
      </c>
      <c r="C4190" s="34" t="s">
        <v>13289</v>
      </c>
      <c r="D4190" s="8" t="s">
        <v>13469</v>
      </c>
      <c r="E4190" s="8" t="s">
        <v>13467</v>
      </c>
      <c r="G4190" s="34" t="s">
        <v>15</v>
      </c>
      <c r="H4190" s="34" t="str">
        <f>IFERROR(VLOOKUP(Table2[[#This Row], [Ticket]],Okey!A:B,2,0),"")</f>
        <v/>
      </c>
      <c r="I4190" s="34"/>
      <c r="J4190" s="34" t="str">
        <f>VLOOKUP(Table2[[#This Row],[Author]],People!A:B,2,0)</f>
        <v>LS</v>
      </c>
      <c r="L4190" s="34"/>
      <c r="M4190" s="34" t="s">
        <v>4799</v>
      </c>
    </row>
    <row r="4191" spans="1:13">
      <c r="A4191" s="40">
        <f t="shared" si="70"/>
        <v>4190</v>
      </c>
      <c r="B4191" s="34" t="s">
        <v>8</v>
      </c>
      <c r="C4191" s="34" t="s">
        <v>13289</v>
      </c>
      <c r="D4191" s="8" t="s">
        <v>13470</v>
      </c>
      <c r="E4191" s="8" t="s">
        <v>13471</v>
      </c>
      <c r="G4191" s="34" t="s">
        <v>15</v>
      </c>
      <c r="H4191" s="34" t="str">
        <f>IFERROR(VLOOKUP(Table2[[#This Row], [Ticket]],Okey!A:B,2,0),"")</f>
        <v/>
      </c>
      <c r="I4191" s="34"/>
      <c r="J4191" s="34" t="str">
        <f>VLOOKUP(Table2[[#This Row],[Author]],People!A:B,2,0)</f>
        <v>LS</v>
      </c>
      <c r="L4191" s="34"/>
      <c r="M4191" s="34" t="s">
        <v>4799</v>
      </c>
    </row>
    <row r="4192" spans="1:13">
      <c r="A4192" s="40">
        <f t="shared" si="70"/>
        <v>4191</v>
      </c>
      <c r="B4192" s="34" t="s">
        <v>8</v>
      </c>
      <c r="C4192" s="34" t="s">
        <v>13289</v>
      </c>
      <c r="D4192" s="8" t="s">
        <v>13472</v>
      </c>
      <c r="E4192" s="8" t="s">
        <v>13473</v>
      </c>
      <c r="G4192" s="34" t="s">
        <v>15</v>
      </c>
      <c r="H4192" s="34" t="str">
        <f>IFERROR(VLOOKUP(Table2[[#This Row], [Ticket]],Okey!A:B,2,0),"")</f>
        <v/>
      </c>
      <c r="I4192" s="34"/>
      <c r="J4192" s="34" t="str">
        <f>VLOOKUP(Table2[[#This Row],[Author]],People!A:B,2,0)</f>
        <v>LS</v>
      </c>
      <c r="L4192" s="34"/>
      <c r="M4192" s="34" t="s">
        <v>4799</v>
      </c>
    </row>
    <row r="4193" spans="1:13">
      <c r="A4193" s="40">
        <f t="shared" si="70"/>
        <v>4192</v>
      </c>
      <c r="B4193" s="34" t="s">
        <v>8</v>
      </c>
      <c r="C4193" s="34" t="s">
        <v>13289</v>
      </c>
      <c r="D4193" s="8" t="s">
        <v>13474</v>
      </c>
      <c r="E4193" s="8" t="s">
        <v>13475</v>
      </c>
      <c r="G4193" s="34" t="s">
        <v>15</v>
      </c>
      <c r="H4193" s="34" t="str">
        <f>IFERROR(VLOOKUP(Table2[[#This Row], [Ticket]],Okey!A:B,2,0),"")</f>
        <v/>
      </c>
      <c r="I4193" s="34"/>
      <c r="J4193" s="34" t="str">
        <f>VLOOKUP(Table2[[#This Row],[Author]],People!A:B,2,0)</f>
        <v>LS</v>
      </c>
      <c r="L4193" s="34"/>
      <c r="M4193" s="34" t="s">
        <v>4799</v>
      </c>
    </row>
    <row r="4194" spans="1:13">
      <c r="A4194" s="40">
        <f t="shared" si="70"/>
        <v>4193</v>
      </c>
      <c r="B4194" s="34" t="s">
        <v>8</v>
      </c>
      <c r="C4194" s="34" t="s">
        <v>13289</v>
      </c>
      <c r="D4194" s="8" t="s">
        <v>13476</v>
      </c>
      <c r="E4194" s="8" t="s">
        <v>13477</v>
      </c>
      <c r="G4194" s="34" t="s">
        <v>15</v>
      </c>
      <c r="H4194" s="34" t="str">
        <f>IFERROR(VLOOKUP(Table2[[#This Row], [Ticket]],Okey!A:B,2,0),"")</f>
        <v/>
      </c>
      <c r="I4194" s="34"/>
      <c r="J4194" s="34" t="str">
        <f>VLOOKUP(Table2[[#This Row],[Author]],People!A:B,2,0)</f>
        <v>LS</v>
      </c>
      <c r="L4194" s="34"/>
      <c r="M4194" s="34" t="s">
        <v>4799</v>
      </c>
    </row>
    <row r="4195" spans="1:13">
      <c r="A4195" s="40">
        <f t="shared" si="70"/>
        <v>4194</v>
      </c>
      <c r="B4195" s="34" t="s">
        <v>8</v>
      </c>
      <c r="C4195" s="34" t="s">
        <v>13289</v>
      </c>
      <c r="D4195" s="8" t="s">
        <v>13478</v>
      </c>
      <c r="E4195" s="8" t="s">
        <v>13479</v>
      </c>
      <c r="G4195" s="34" t="s">
        <v>15</v>
      </c>
      <c r="H4195" s="34" t="str">
        <f>IFERROR(VLOOKUP(Table2[[#This Row], [Ticket]],Okey!A:B,2,0),"")</f>
        <v/>
      </c>
      <c r="I4195" s="34"/>
      <c r="J4195" s="34" t="str">
        <f>VLOOKUP(Table2[[#This Row],[Author]],People!A:B,2,0)</f>
        <v>LS</v>
      </c>
      <c r="L4195" s="34"/>
      <c r="M4195" s="34" t="s">
        <v>4799</v>
      </c>
    </row>
    <row r="4196" spans="1:13">
      <c r="A4196" s="40">
        <f t="shared" si="70"/>
        <v>4195</v>
      </c>
      <c r="B4196" s="34" t="s">
        <v>8</v>
      </c>
      <c r="C4196" s="34" t="s">
        <v>13289</v>
      </c>
      <c r="D4196" s="8" t="s">
        <v>13480</v>
      </c>
      <c r="E4196" s="8" t="s">
        <v>13481</v>
      </c>
      <c r="G4196" s="34" t="s">
        <v>15</v>
      </c>
      <c r="H4196" s="34" t="str">
        <f>IFERROR(VLOOKUP(Table2[[#This Row], [Ticket]],Okey!A:B,2,0),"")</f>
        <v/>
      </c>
      <c r="I4196" s="34"/>
      <c r="J4196" s="34" t="str">
        <f>VLOOKUP(Table2[[#This Row],[Author]],People!A:B,2,0)</f>
        <v>LS</v>
      </c>
      <c r="L4196" s="34"/>
      <c r="M4196" s="34" t="s">
        <v>4799</v>
      </c>
    </row>
    <row r="4197" spans="1:13">
      <c r="A4197" s="40">
        <f t="shared" si="70"/>
        <v>4196</v>
      </c>
      <c r="B4197" s="34" t="s">
        <v>8</v>
      </c>
      <c r="C4197" s="34" t="s">
        <v>13289</v>
      </c>
      <c r="D4197" s="8" t="s">
        <v>13482</v>
      </c>
      <c r="E4197" s="8" t="s">
        <v>13483</v>
      </c>
      <c r="G4197" s="34" t="s">
        <v>15</v>
      </c>
      <c r="H4197" s="34" t="str">
        <f>IFERROR(VLOOKUP(Table2[[#This Row], [Ticket]],Okey!A:B,2,0),"")</f>
        <v/>
      </c>
      <c r="I4197" s="34"/>
      <c r="J4197" s="34" t="str">
        <f>VLOOKUP(Table2[[#This Row],[Author]],People!A:B,2,0)</f>
        <v>LS</v>
      </c>
      <c r="L4197" s="34"/>
      <c r="M4197" s="34" t="s">
        <v>4799</v>
      </c>
    </row>
    <row r="4198" spans="1:13">
      <c r="A4198" s="40">
        <f t="shared" si="70"/>
        <v>4197</v>
      </c>
      <c r="B4198" s="34" t="s">
        <v>8</v>
      </c>
      <c r="C4198" s="34" t="s">
        <v>13289</v>
      </c>
      <c r="D4198" s="8" t="s">
        <v>13484</v>
      </c>
      <c r="E4198" s="8" t="s">
        <v>13333</v>
      </c>
      <c r="G4198" s="34" t="s">
        <v>15</v>
      </c>
      <c r="H4198" s="34" t="str">
        <f>IFERROR(VLOOKUP(Table2[[#This Row], [Ticket]],Okey!A:B,2,0),"")</f>
        <v/>
      </c>
      <c r="I4198" s="34"/>
      <c r="J4198" s="34" t="str">
        <f>VLOOKUP(Table2[[#This Row],[Author]],People!A:B,2,0)</f>
        <v>LS</v>
      </c>
      <c r="L4198" s="34"/>
      <c r="M4198" s="34" t="s">
        <v>4799</v>
      </c>
    </row>
    <row r="4199" spans="1:13">
      <c r="A4199" s="40">
        <f t="shared" si="70"/>
        <v>4198</v>
      </c>
      <c r="B4199" s="34" t="s">
        <v>8</v>
      </c>
      <c r="C4199" s="34" t="s">
        <v>13289</v>
      </c>
      <c r="D4199" s="8" t="s">
        <v>13485</v>
      </c>
      <c r="E4199" s="8" t="s">
        <v>13486</v>
      </c>
      <c r="G4199" s="34" t="s">
        <v>15</v>
      </c>
      <c r="H4199" s="34" t="str">
        <f>IFERROR(VLOOKUP(Table2[[#This Row], [Ticket]],Okey!A:B,2,0),"")</f>
        <v/>
      </c>
      <c r="I4199" s="34"/>
      <c r="J4199" s="34" t="str">
        <f>VLOOKUP(Table2[[#This Row],[Author]],People!A:B,2,0)</f>
        <v>LS</v>
      </c>
      <c r="L4199" s="34"/>
      <c r="M4199" s="34" t="s">
        <v>4799</v>
      </c>
    </row>
    <row r="4200" spans="1:13">
      <c r="A4200" s="40">
        <f t="shared" si="70"/>
        <v>4199</v>
      </c>
      <c r="B4200" s="34" t="s">
        <v>8</v>
      </c>
      <c r="C4200" s="34" t="s">
        <v>13289</v>
      </c>
      <c r="D4200" s="8" t="s">
        <v>13487</v>
      </c>
      <c r="E4200" s="8" t="s">
        <v>13488</v>
      </c>
      <c r="G4200" s="34" t="s">
        <v>15</v>
      </c>
      <c r="H4200" s="34" t="str">
        <f>IFERROR(VLOOKUP(Table2[[#This Row], [Ticket]],Okey!A:B,2,0),"")</f>
        <v/>
      </c>
      <c r="I4200" s="34"/>
      <c r="J4200" s="34" t="str">
        <f>VLOOKUP(Table2[[#This Row],[Author]],People!A:B,2,0)</f>
        <v>LS</v>
      </c>
      <c r="L4200" s="34"/>
      <c r="M4200" s="34" t="s">
        <v>4799</v>
      </c>
    </row>
    <row r="4201" spans="1:13">
      <c r="A4201" s="40">
        <f t="shared" si="70"/>
        <v>4200</v>
      </c>
      <c r="B4201" s="34" t="s">
        <v>8</v>
      </c>
      <c r="C4201" s="34" t="s">
        <v>13289</v>
      </c>
      <c r="D4201" s="8" t="s">
        <v>13489</v>
      </c>
      <c r="E4201" s="8" t="s">
        <v>13490</v>
      </c>
      <c r="G4201" s="34" t="s">
        <v>15</v>
      </c>
      <c r="H4201" s="34" t="str">
        <f>IFERROR(VLOOKUP(Table2[[#This Row], [Ticket]],Okey!A:B,2,0),"")</f>
        <v/>
      </c>
      <c r="I4201" s="34"/>
      <c r="J4201" s="34" t="str">
        <f>VLOOKUP(Table2[[#This Row],[Author]],People!A:B,2,0)</f>
        <v>LS</v>
      </c>
      <c r="L4201" s="34"/>
      <c r="M4201" s="34" t="s">
        <v>4799</v>
      </c>
    </row>
    <row r="4202" spans="1:13">
      <c r="A4202" s="40">
        <f t="shared" si="70"/>
        <v>4201</v>
      </c>
      <c r="B4202" s="34" t="s">
        <v>8</v>
      </c>
      <c r="C4202" s="34" t="s">
        <v>13289</v>
      </c>
      <c r="D4202" s="8" t="s">
        <v>13491</v>
      </c>
      <c r="E4202" s="8" t="s">
        <v>13492</v>
      </c>
      <c r="G4202" s="34" t="s">
        <v>15</v>
      </c>
      <c r="H4202" s="34" t="str">
        <f>IFERROR(VLOOKUP(Table2[[#This Row], [Ticket]],Okey!A:B,2,0),"")</f>
        <v/>
      </c>
      <c r="I4202" s="34"/>
      <c r="J4202" s="34" t="str">
        <f>VLOOKUP(Table2[[#This Row],[Author]],People!A:B,2,0)</f>
        <v>LS</v>
      </c>
      <c r="L4202" s="34"/>
      <c r="M4202" s="34" t="s">
        <v>4799</v>
      </c>
    </row>
    <row r="4203" spans="1:13">
      <c r="A4203" s="40">
        <f t="shared" si="70"/>
        <v>4202</v>
      </c>
      <c r="B4203" s="34" t="s">
        <v>8</v>
      </c>
      <c r="C4203" s="34" t="s">
        <v>13289</v>
      </c>
      <c r="D4203" s="8" t="s">
        <v>13493</v>
      </c>
      <c r="E4203" s="8" t="s">
        <v>13494</v>
      </c>
      <c r="G4203" s="34" t="s">
        <v>15</v>
      </c>
      <c r="H4203" s="34" t="str">
        <f>IFERROR(VLOOKUP(Table2[[#This Row], [Ticket]],Okey!A:B,2,0),"")</f>
        <v/>
      </c>
      <c r="I4203" s="34"/>
      <c r="J4203" s="34" t="str">
        <f>VLOOKUP(Table2[[#This Row],[Author]],People!A:B,2,0)</f>
        <v>LS</v>
      </c>
      <c r="L4203" s="34"/>
      <c r="M4203" s="34" t="s">
        <v>4799</v>
      </c>
    </row>
    <row r="4204" spans="1:13">
      <c r="A4204" s="40">
        <f t="shared" si="70"/>
        <v>4203</v>
      </c>
      <c r="B4204" s="34" t="s">
        <v>8</v>
      </c>
      <c r="C4204" s="34" t="s">
        <v>13289</v>
      </c>
      <c r="D4204" s="8" t="s">
        <v>13495</v>
      </c>
      <c r="E4204" s="8" t="s">
        <v>13496</v>
      </c>
      <c r="G4204" s="34" t="s">
        <v>15</v>
      </c>
      <c r="H4204" s="34" t="str">
        <f>IFERROR(VLOOKUP(Table2[[#This Row], [Ticket]],Okey!A:B,2,0),"")</f>
        <v/>
      </c>
      <c r="I4204" s="34"/>
      <c r="J4204" s="34" t="str">
        <f>VLOOKUP(Table2[[#This Row],[Author]],People!A:B,2,0)</f>
        <v>LS</v>
      </c>
      <c r="L4204" s="34"/>
      <c r="M4204" s="34" t="s">
        <v>4799</v>
      </c>
    </row>
    <row r="4205" spans="1:13">
      <c r="A4205" s="40">
        <f t="shared" si="70"/>
        <v>4204</v>
      </c>
      <c r="B4205" s="34" t="s">
        <v>8</v>
      </c>
      <c r="C4205" s="34" t="s">
        <v>13289</v>
      </c>
      <c r="D4205" s="8" t="s">
        <v>13497</v>
      </c>
      <c r="E4205" s="8" t="s">
        <v>13498</v>
      </c>
      <c r="G4205" s="34" t="s">
        <v>15</v>
      </c>
      <c r="H4205" s="34" t="str">
        <f>IFERROR(VLOOKUP(Table2[[#This Row], [Ticket]],Okey!A:B,2,0),"")</f>
        <v/>
      </c>
      <c r="I4205" s="34"/>
      <c r="J4205" s="34" t="str">
        <f>VLOOKUP(Table2[[#This Row],[Author]],People!A:B,2,0)</f>
        <v>LS</v>
      </c>
      <c r="L4205" s="34"/>
      <c r="M4205" s="34" t="s">
        <v>4799</v>
      </c>
    </row>
    <row r="4206" spans="1:13">
      <c r="A4206" s="40">
        <f t="shared" si="70"/>
        <v>4205</v>
      </c>
      <c r="B4206" s="34" t="s">
        <v>8</v>
      </c>
      <c r="C4206" s="34" t="s">
        <v>13289</v>
      </c>
      <c r="D4206" s="8" t="s">
        <v>13499</v>
      </c>
      <c r="E4206" s="8" t="s">
        <v>13500</v>
      </c>
      <c r="G4206" s="34" t="s">
        <v>15</v>
      </c>
      <c r="H4206" s="34" t="str">
        <f>IFERROR(VLOOKUP(Table2[[#This Row], [Ticket]],Okey!A:B,2,0),"")</f>
        <v/>
      </c>
      <c r="I4206" s="34"/>
      <c r="J4206" s="34" t="str">
        <f>VLOOKUP(Table2[[#This Row],[Author]],People!A:B,2,0)</f>
        <v>LS</v>
      </c>
      <c r="L4206" s="34"/>
      <c r="M4206" s="34" t="s">
        <v>4799</v>
      </c>
    </row>
    <row r="4207" spans="1:13">
      <c r="A4207" s="40">
        <f t="shared" si="70"/>
        <v>4206</v>
      </c>
      <c r="B4207" s="34" t="s">
        <v>8</v>
      </c>
      <c r="C4207" s="34" t="s">
        <v>13289</v>
      </c>
      <c r="D4207" s="8" t="s">
        <v>13501</v>
      </c>
      <c r="E4207" s="8" t="s">
        <v>13502</v>
      </c>
      <c r="G4207" s="34" t="s">
        <v>15</v>
      </c>
      <c r="H4207" s="34" t="str">
        <f>IFERROR(VLOOKUP(Table2[[#This Row], [Ticket]],Okey!A:B,2,0),"")</f>
        <v/>
      </c>
      <c r="I4207" s="34"/>
      <c r="J4207" s="34" t="str">
        <f>VLOOKUP(Table2[[#This Row],[Author]],People!A:B,2,0)</f>
        <v>LS</v>
      </c>
      <c r="L4207" s="34"/>
      <c r="M4207" s="34" t="s">
        <v>4799</v>
      </c>
    </row>
    <row r="4208" spans="1:13">
      <c r="A4208" s="40">
        <f t="shared" si="70"/>
        <v>4207</v>
      </c>
      <c r="B4208" s="34" t="s">
        <v>8</v>
      </c>
      <c r="C4208" s="34" t="s">
        <v>13289</v>
      </c>
      <c r="D4208" s="8" t="s">
        <v>13503</v>
      </c>
      <c r="E4208" s="8" t="s">
        <v>13504</v>
      </c>
      <c r="G4208" s="34" t="s">
        <v>15</v>
      </c>
      <c r="H4208" s="34" t="str">
        <f>IFERROR(VLOOKUP(Table2[[#This Row], [Ticket]],Okey!A:B,2,0),"")</f>
        <v/>
      </c>
      <c r="I4208" s="34"/>
      <c r="J4208" s="34" t="str">
        <f>VLOOKUP(Table2[[#This Row],[Author]],People!A:B,2,0)</f>
        <v>LS</v>
      </c>
      <c r="L4208" s="34"/>
      <c r="M4208" s="34" t="s">
        <v>4799</v>
      </c>
    </row>
    <row r="4209" spans="1:13">
      <c r="A4209" s="40">
        <f t="shared" si="70"/>
        <v>4208</v>
      </c>
      <c r="B4209" s="34" t="s">
        <v>8</v>
      </c>
      <c r="C4209" s="34" t="s">
        <v>13289</v>
      </c>
      <c r="D4209" s="8" t="s">
        <v>13505</v>
      </c>
      <c r="E4209" s="8" t="s">
        <v>13506</v>
      </c>
      <c r="G4209" s="34" t="s">
        <v>15</v>
      </c>
      <c r="H4209" s="34" t="str">
        <f>IFERROR(VLOOKUP(Table2[[#This Row], [Ticket]],Okey!A:B,2,0),"")</f>
        <v/>
      </c>
      <c r="I4209" s="34"/>
      <c r="J4209" s="34" t="str">
        <f>VLOOKUP(Table2[[#This Row],[Author]],People!A:B,2,0)</f>
        <v>LS</v>
      </c>
      <c r="L4209" s="34"/>
      <c r="M4209" s="34" t="s">
        <v>4799</v>
      </c>
    </row>
    <row r="4210" spans="1:13">
      <c r="A4210" s="40">
        <f t="shared" si="70"/>
        <v>4209</v>
      </c>
      <c r="B4210" s="34" t="s">
        <v>8</v>
      </c>
      <c r="C4210" s="34" t="s">
        <v>13289</v>
      </c>
      <c r="D4210" s="8" t="s">
        <v>13507</v>
      </c>
      <c r="E4210" s="8" t="s">
        <v>13508</v>
      </c>
      <c r="G4210" s="34" t="s">
        <v>15</v>
      </c>
      <c r="H4210" s="34" t="str">
        <f>IFERROR(VLOOKUP(Table2[[#This Row], [Ticket]],Okey!A:B,2,0),"")</f>
        <v/>
      </c>
      <c r="I4210" s="34"/>
      <c r="J4210" s="34" t="str">
        <f>VLOOKUP(Table2[[#This Row],[Author]],People!A:B,2,0)</f>
        <v>LS</v>
      </c>
      <c r="L4210" s="34"/>
      <c r="M4210" s="34" t="s">
        <v>4799</v>
      </c>
    </row>
    <row r="4211" spans="1:13">
      <c r="A4211" s="40">
        <f t="shared" si="70"/>
        <v>4210</v>
      </c>
      <c r="B4211" s="34" t="s">
        <v>8</v>
      </c>
      <c r="C4211" s="34" t="s">
        <v>13289</v>
      </c>
      <c r="D4211" s="8" t="s">
        <v>13509</v>
      </c>
      <c r="E4211" s="8" t="s">
        <v>13510</v>
      </c>
      <c r="G4211" s="34" t="s">
        <v>15</v>
      </c>
      <c r="H4211" s="34" t="str">
        <f>IFERROR(VLOOKUP(Table2[[#This Row], [Ticket]],Okey!A:B,2,0),"")</f>
        <v/>
      </c>
      <c r="I4211" s="34"/>
      <c r="J4211" s="34" t="str">
        <f>VLOOKUP(Table2[[#This Row],[Author]],People!A:B,2,0)</f>
        <v>LS</v>
      </c>
      <c r="L4211" s="34"/>
      <c r="M4211" s="34" t="s">
        <v>4799</v>
      </c>
    </row>
    <row r="4212" spans="1:13">
      <c r="A4212" s="40">
        <f t="shared" si="70"/>
        <v>4211</v>
      </c>
      <c r="B4212" s="34" t="s">
        <v>8</v>
      </c>
      <c r="C4212" s="34" t="s">
        <v>13289</v>
      </c>
      <c r="D4212" s="8" t="s">
        <v>13511</v>
      </c>
      <c r="E4212" s="8" t="s">
        <v>13512</v>
      </c>
      <c r="G4212" s="34" t="s">
        <v>15</v>
      </c>
      <c r="H4212" s="34" t="str">
        <f>IFERROR(VLOOKUP(Table2[[#This Row], [Ticket]],Okey!A:B,2,0),"")</f>
        <v/>
      </c>
      <c r="I4212" s="34"/>
      <c r="J4212" s="34" t="str">
        <f>VLOOKUP(Table2[[#This Row],[Author]],People!A:B,2,0)</f>
        <v>LS</v>
      </c>
      <c r="L4212" s="34"/>
      <c r="M4212" s="34" t="s">
        <v>4799</v>
      </c>
    </row>
    <row r="4213" spans="1:13">
      <c r="A4213" s="40">
        <f t="shared" si="70"/>
        <v>4212</v>
      </c>
      <c r="B4213" s="34" t="s">
        <v>8</v>
      </c>
      <c r="C4213" s="34" t="s">
        <v>13289</v>
      </c>
      <c r="D4213" s="8" t="s">
        <v>13513</v>
      </c>
      <c r="E4213" s="8" t="s">
        <v>13514</v>
      </c>
      <c r="G4213" s="34" t="s">
        <v>15</v>
      </c>
      <c r="H4213" s="34" t="str">
        <f>IFERROR(VLOOKUP(Table2[[#This Row], [Ticket]],Okey!A:B,2,0),"")</f>
        <v/>
      </c>
      <c r="I4213" s="34"/>
      <c r="J4213" s="34" t="str">
        <f>VLOOKUP(Table2[[#This Row],[Author]],People!A:B,2,0)</f>
        <v>LS</v>
      </c>
      <c r="L4213" s="34"/>
      <c r="M4213" s="34" t="s">
        <v>4799</v>
      </c>
    </row>
    <row r="4214" spans="1:13">
      <c r="A4214" s="40">
        <f t="shared" si="70"/>
        <v>4213</v>
      </c>
      <c r="B4214" s="34" t="s">
        <v>8</v>
      </c>
      <c r="C4214" s="34" t="s">
        <v>13289</v>
      </c>
      <c r="D4214" s="8" t="s">
        <v>13515</v>
      </c>
      <c r="E4214" s="8" t="s">
        <v>13516</v>
      </c>
      <c r="G4214" s="34" t="s">
        <v>15</v>
      </c>
      <c r="H4214" s="34" t="str">
        <f>IFERROR(VLOOKUP(Table2[[#This Row], [Ticket]],Okey!A:B,2,0),"")</f>
        <v/>
      </c>
      <c r="I4214" s="34"/>
      <c r="J4214" s="34" t="str">
        <f>VLOOKUP(Table2[[#This Row],[Author]],People!A:B,2,0)</f>
        <v>LS</v>
      </c>
      <c r="L4214" s="34"/>
      <c r="M4214" s="34" t="s">
        <v>4799</v>
      </c>
    </row>
    <row r="4215" spans="1:13">
      <c r="A4215" s="40">
        <f t="shared" si="70"/>
        <v>4214</v>
      </c>
      <c r="B4215" s="34" t="s">
        <v>8</v>
      </c>
      <c r="C4215" s="34" t="s">
        <v>13289</v>
      </c>
      <c r="D4215" s="8" t="s">
        <v>13517</v>
      </c>
      <c r="E4215" s="8" t="s">
        <v>13518</v>
      </c>
      <c r="G4215" s="34" t="s">
        <v>15</v>
      </c>
      <c r="H4215" s="34" t="str">
        <f>IFERROR(VLOOKUP(Table2[[#This Row], [Ticket]],Okey!A:B,2,0),"")</f>
        <v/>
      </c>
      <c r="I4215" s="34"/>
      <c r="J4215" s="34" t="str">
        <f>VLOOKUP(Table2[[#This Row],[Author]],People!A:B,2,0)</f>
        <v>LS</v>
      </c>
      <c r="L4215" s="34"/>
      <c r="M4215" s="34" t="s">
        <v>4799</v>
      </c>
    </row>
    <row r="4216" spans="1:13">
      <c r="A4216" s="40">
        <f t="shared" si="70"/>
        <v>4215</v>
      </c>
      <c r="B4216" s="34" t="s">
        <v>8</v>
      </c>
      <c r="C4216" s="34" t="s">
        <v>13289</v>
      </c>
      <c r="D4216" s="8" t="s">
        <v>13519</v>
      </c>
      <c r="E4216" s="8" t="s">
        <v>13520</v>
      </c>
      <c r="G4216" s="34" t="s">
        <v>15</v>
      </c>
      <c r="H4216" s="34" t="str">
        <f>IFERROR(VLOOKUP(Table2[[#This Row], [Ticket]],Okey!A:B,2,0),"")</f>
        <v/>
      </c>
      <c r="I4216" s="34"/>
      <c r="J4216" s="34" t="str">
        <f>VLOOKUP(Table2[[#This Row],[Author]],People!A:B,2,0)</f>
        <v>LS</v>
      </c>
      <c r="L4216" s="34"/>
      <c r="M4216" s="34" t="s">
        <v>4799</v>
      </c>
    </row>
    <row r="4217" spans="1:13">
      <c r="A4217" s="40">
        <f t="shared" si="70"/>
        <v>4216</v>
      </c>
      <c r="B4217" s="34" t="s">
        <v>8</v>
      </c>
      <c r="C4217" s="34" t="s">
        <v>13289</v>
      </c>
      <c r="D4217" s="8" t="s">
        <v>13521</v>
      </c>
      <c r="E4217" s="8" t="s">
        <v>13522</v>
      </c>
      <c r="G4217" s="34" t="s">
        <v>15</v>
      </c>
      <c r="H4217" s="34" t="str">
        <f>IFERROR(VLOOKUP(Table2[[#This Row], [Ticket]],Okey!A:B,2,0),"")</f>
        <v/>
      </c>
      <c r="I4217" s="34"/>
      <c r="J4217" s="34" t="str">
        <f>VLOOKUP(Table2[[#This Row],[Author]],People!A:B,2,0)</f>
        <v>LS</v>
      </c>
      <c r="L4217" s="34"/>
      <c r="M4217" s="34" t="s">
        <v>4799</v>
      </c>
    </row>
    <row r="4218" spans="1:13">
      <c r="A4218" s="40">
        <f t="shared" si="70"/>
        <v>4217</v>
      </c>
      <c r="B4218" s="34" t="s">
        <v>8</v>
      </c>
      <c r="C4218" s="34" t="s">
        <v>13289</v>
      </c>
      <c r="D4218" s="8" t="s">
        <v>13523</v>
      </c>
      <c r="E4218" s="8" t="s">
        <v>13524</v>
      </c>
      <c r="G4218" s="34" t="s">
        <v>15</v>
      </c>
      <c r="H4218" s="34" t="str">
        <f>IFERROR(VLOOKUP(Table2[[#This Row], [Ticket]],Okey!A:B,2,0),"")</f>
        <v/>
      </c>
      <c r="I4218" s="34"/>
      <c r="J4218" s="34" t="str">
        <f>VLOOKUP(Table2[[#This Row],[Author]],People!A:B,2,0)</f>
        <v>LS</v>
      </c>
      <c r="L4218" s="34"/>
      <c r="M4218" s="34" t="s">
        <v>4799</v>
      </c>
    </row>
    <row r="4219" spans="1:13">
      <c r="A4219" s="40">
        <f t="shared" si="70"/>
        <v>4218</v>
      </c>
      <c r="B4219" s="34" t="s">
        <v>8</v>
      </c>
      <c r="C4219" s="34" t="s">
        <v>13289</v>
      </c>
      <c r="D4219" s="8" t="s">
        <v>13525</v>
      </c>
      <c r="E4219" s="8" t="s">
        <v>13526</v>
      </c>
      <c r="G4219" s="34" t="s">
        <v>15</v>
      </c>
      <c r="H4219" s="34" t="str">
        <f>IFERROR(VLOOKUP(Table2[[#This Row], [Ticket]],Okey!A:B,2,0),"")</f>
        <v/>
      </c>
      <c r="I4219" s="34"/>
      <c r="J4219" s="34" t="str">
        <f>VLOOKUP(Table2[[#This Row],[Author]],People!A:B,2,0)</f>
        <v>LS</v>
      </c>
      <c r="L4219" s="34"/>
      <c r="M4219" s="34" t="s">
        <v>4799</v>
      </c>
    </row>
    <row r="4220" spans="1:13">
      <c r="A4220" s="40">
        <f t="shared" ref="A4220:A4258" si="71">1+A4219</f>
        <v>4219</v>
      </c>
      <c r="B4220" s="34" t="s">
        <v>8</v>
      </c>
      <c r="C4220" s="34" t="s">
        <v>13289</v>
      </c>
      <c r="D4220" s="8" t="s">
        <v>1919</v>
      </c>
      <c r="E4220" s="8" t="s">
        <v>13527</v>
      </c>
      <c r="G4220" s="34" t="s">
        <v>15</v>
      </c>
      <c r="H4220" s="34" t="str">
        <f>IFERROR(VLOOKUP(Table2[[#This Row], [Ticket]],Okey!A:B,2,0),"")</f>
        <v/>
      </c>
      <c r="I4220" s="34"/>
      <c r="J4220" s="34" t="str">
        <f>VLOOKUP(Table2[[#This Row],[Author]],People!A:B,2,0)</f>
        <v>LS</v>
      </c>
      <c r="L4220" s="34"/>
      <c r="M4220" s="34" t="s">
        <v>4799</v>
      </c>
    </row>
    <row r="4221" spans="1:13">
      <c r="A4221" s="40">
        <f t="shared" si="71"/>
        <v>4220</v>
      </c>
      <c r="B4221" s="34" t="s">
        <v>8</v>
      </c>
      <c r="C4221" s="34" t="s">
        <v>13289</v>
      </c>
      <c r="D4221" s="8" t="s">
        <v>13528</v>
      </c>
      <c r="E4221" s="8" t="s">
        <v>13529</v>
      </c>
      <c r="G4221" s="34" t="s">
        <v>15</v>
      </c>
      <c r="H4221" s="34" t="str">
        <f>IFERROR(VLOOKUP(Table2[[#This Row], [Ticket]],Okey!A:B,2,0),"")</f>
        <v/>
      </c>
      <c r="I4221" s="34"/>
      <c r="J4221" s="34" t="str">
        <f>VLOOKUP(Table2[[#This Row],[Author]],People!A:B,2,0)</f>
        <v>LS</v>
      </c>
      <c r="L4221" s="34"/>
      <c r="M4221" s="34" t="s">
        <v>4799</v>
      </c>
    </row>
    <row r="4222" spans="1:13">
      <c r="A4222" s="40">
        <f t="shared" si="71"/>
        <v>4221</v>
      </c>
      <c r="B4222" s="34" t="s">
        <v>8</v>
      </c>
      <c r="C4222" s="34" t="s">
        <v>13289</v>
      </c>
      <c r="D4222" s="8" t="s">
        <v>13530</v>
      </c>
      <c r="E4222" s="8" t="s">
        <v>13531</v>
      </c>
      <c r="G4222" s="34" t="s">
        <v>15</v>
      </c>
      <c r="H4222" s="34" t="str">
        <f>IFERROR(VLOOKUP(Table2[[#This Row], [Ticket]],Okey!A:B,2,0),"")</f>
        <v/>
      </c>
      <c r="I4222" s="34"/>
      <c r="J4222" s="34" t="str">
        <f>VLOOKUP(Table2[[#This Row],[Author]],People!A:B,2,0)</f>
        <v>LS</v>
      </c>
      <c r="L4222" s="34"/>
      <c r="M4222" s="34" t="s">
        <v>4799</v>
      </c>
    </row>
    <row r="4223" spans="1:13">
      <c r="A4223" s="40">
        <f t="shared" si="71"/>
        <v>4222</v>
      </c>
      <c r="B4223" s="34" t="s">
        <v>8</v>
      </c>
      <c r="C4223" s="34" t="s">
        <v>13289</v>
      </c>
      <c r="D4223" s="8" t="s">
        <v>13532</v>
      </c>
      <c r="E4223" s="8" t="s">
        <v>13533</v>
      </c>
      <c r="G4223" s="34" t="s">
        <v>15</v>
      </c>
      <c r="H4223" s="34" t="str">
        <f>IFERROR(VLOOKUP(Table2[[#This Row], [Ticket]],Okey!A:B,2,0),"")</f>
        <v/>
      </c>
      <c r="I4223" s="34"/>
      <c r="J4223" s="34" t="str">
        <f>VLOOKUP(Table2[[#This Row],[Author]],People!A:B,2,0)</f>
        <v>LS</v>
      </c>
      <c r="L4223" s="34"/>
      <c r="M4223" s="34" t="s">
        <v>4799</v>
      </c>
    </row>
    <row r="4224" spans="1:13">
      <c r="A4224" s="40">
        <f t="shared" si="71"/>
        <v>4223</v>
      </c>
      <c r="B4224" s="34" t="s">
        <v>8</v>
      </c>
      <c r="C4224" s="34" t="s">
        <v>13289</v>
      </c>
      <c r="D4224" s="8" t="s">
        <v>13534</v>
      </c>
      <c r="E4224" s="8" t="s">
        <v>13535</v>
      </c>
      <c r="G4224" s="34" t="s">
        <v>15</v>
      </c>
      <c r="H4224" s="34" t="str">
        <f>IFERROR(VLOOKUP(Table2[[#This Row], [Ticket]],Okey!A:B,2,0),"")</f>
        <v/>
      </c>
      <c r="I4224" s="34"/>
      <c r="J4224" s="34" t="str">
        <f>VLOOKUP(Table2[[#This Row],[Author]],People!A:B,2,0)</f>
        <v>LS</v>
      </c>
      <c r="L4224" s="34"/>
      <c r="M4224" s="34" t="s">
        <v>4799</v>
      </c>
    </row>
    <row r="4225" spans="1:13">
      <c r="A4225" s="40">
        <f t="shared" si="71"/>
        <v>4224</v>
      </c>
      <c r="B4225" s="34" t="s">
        <v>8</v>
      </c>
      <c r="C4225" s="34" t="s">
        <v>13289</v>
      </c>
      <c r="D4225" s="8" t="s">
        <v>13536</v>
      </c>
      <c r="E4225" s="8" t="s">
        <v>13537</v>
      </c>
      <c r="G4225" s="34" t="s">
        <v>15</v>
      </c>
      <c r="H4225" s="34" t="str">
        <f>IFERROR(VLOOKUP(Table2[[#This Row], [Ticket]],Okey!A:B,2,0),"")</f>
        <v/>
      </c>
      <c r="I4225" s="34"/>
      <c r="J4225" s="34" t="str">
        <f>VLOOKUP(Table2[[#This Row],[Author]],People!A:B,2,0)</f>
        <v>LS</v>
      </c>
      <c r="L4225" s="34"/>
      <c r="M4225" s="34" t="s">
        <v>4799</v>
      </c>
    </row>
    <row r="4226" spans="1:13">
      <c r="A4226" s="40">
        <f t="shared" si="71"/>
        <v>4225</v>
      </c>
      <c r="B4226" s="34" t="s">
        <v>8</v>
      </c>
      <c r="C4226" s="34" t="s">
        <v>13289</v>
      </c>
      <c r="D4226" s="8" t="s">
        <v>13538</v>
      </c>
      <c r="E4226" s="8" t="s">
        <v>13539</v>
      </c>
      <c r="G4226" s="34" t="s">
        <v>15</v>
      </c>
      <c r="H4226" s="34" t="str">
        <f>IFERROR(VLOOKUP(Table2[[#This Row], [Ticket]],Okey!A:B,2,0),"")</f>
        <v/>
      </c>
      <c r="I4226" s="34"/>
      <c r="J4226" s="34" t="str">
        <f>VLOOKUP(Table2[[#This Row],[Author]],People!A:B,2,0)</f>
        <v>LS</v>
      </c>
      <c r="L4226" s="34"/>
      <c r="M4226" s="34" t="s">
        <v>4799</v>
      </c>
    </row>
    <row r="4227" spans="1:13">
      <c r="A4227" s="40">
        <f t="shared" si="71"/>
        <v>4226</v>
      </c>
      <c r="B4227" s="34" t="s">
        <v>8</v>
      </c>
      <c r="C4227" s="34" t="s">
        <v>13289</v>
      </c>
      <c r="D4227" s="8" t="s">
        <v>1918</v>
      </c>
      <c r="E4227" s="8" t="s">
        <v>13540</v>
      </c>
      <c r="G4227" s="34" t="s">
        <v>15</v>
      </c>
      <c r="H4227" s="34" t="str">
        <f>IFERROR(VLOOKUP(Table2[[#This Row], [Ticket]],Okey!A:B,2,0),"")</f>
        <v/>
      </c>
      <c r="I4227" s="34"/>
      <c r="J4227" s="34" t="str">
        <f>VLOOKUP(Table2[[#This Row],[Author]],People!A:B,2,0)</f>
        <v>LS</v>
      </c>
      <c r="L4227" s="34"/>
      <c r="M4227" s="34" t="s">
        <v>4799</v>
      </c>
    </row>
    <row r="4228" spans="1:13">
      <c r="A4228" s="40">
        <f t="shared" si="71"/>
        <v>4227</v>
      </c>
      <c r="B4228" s="34" t="s">
        <v>8</v>
      </c>
      <c r="C4228" s="34" t="s">
        <v>13289</v>
      </c>
      <c r="D4228" s="8" t="s">
        <v>3960</v>
      </c>
      <c r="E4228" s="8" t="s">
        <v>13541</v>
      </c>
      <c r="G4228" s="34" t="s">
        <v>15</v>
      </c>
      <c r="H4228" s="34" t="str">
        <f>IFERROR(VLOOKUP(Table2[[#This Row], [Ticket]],Okey!A:B,2,0),"")</f>
        <v/>
      </c>
      <c r="I4228" s="34"/>
      <c r="J4228" s="34" t="str">
        <f>VLOOKUP(Table2[[#This Row],[Author]],People!A:B,2,0)</f>
        <v>LS</v>
      </c>
      <c r="L4228" s="34"/>
      <c r="M4228" s="34" t="s">
        <v>4799</v>
      </c>
    </row>
    <row r="4229" spans="1:13">
      <c r="A4229" s="40">
        <f t="shared" si="71"/>
        <v>4228</v>
      </c>
      <c r="B4229" s="34" t="s">
        <v>8</v>
      </c>
      <c r="C4229" s="34" t="s">
        <v>13289</v>
      </c>
      <c r="D4229" s="8" t="s">
        <v>13542</v>
      </c>
      <c r="E4229" s="8" t="s">
        <v>13543</v>
      </c>
      <c r="G4229" s="34" t="s">
        <v>15</v>
      </c>
      <c r="H4229" s="34" t="str">
        <f>IFERROR(VLOOKUP(Table2[[#This Row], [Ticket]],Okey!A:B,2,0),"")</f>
        <v/>
      </c>
      <c r="I4229" s="34"/>
      <c r="J4229" s="34" t="str">
        <f>VLOOKUP(Table2[[#This Row],[Author]],People!A:B,2,0)</f>
        <v>LS</v>
      </c>
      <c r="L4229" s="34"/>
      <c r="M4229" s="34" t="s">
        <v>4799</v>
      </c>
    </row>
    <row r="4230" spans="1:13">
      <c r="A4230" s="40">
        <f t="shared" si="71"/>
        <v>4229</v>
      </c>
      <c r="B4230" s="34" t="s">
        <v>8</v>
      </c>
      <c r="C4230" s="34" t="s">
        <v>13289</v>
      </c>
      <c r="D4230" s="8" t="s">
        <v>13347</v>
      </c>
      <c r="E4230" s="8" t="s">
        <v>13544</v>
      </c>
      <c r="G4230" s="34" t="s">
        <v>15</v>
      </c>
      <c r="H4230" s="34" t="str">
        <f>IFERROR(VLOOKUP(Table2[[#This Row], [Ticket]],Okey!A:B,2,0),"")</f>
        <v/>
      </c>
      <c r="I4230" s="34"/>
      <c r="J4230" s="34" t="str">
        <f>VLOOKUP(Table2[[#This Row],[Author]],People!A:B,2,0)</f>
        <v>LS</v>
      </c>
      <c r="L4230" s="34"/>
      <c r="M4230" s="34" t="s">
        <v>4799</v>
      </c>
    </row>
    <row r="4231" spans="1:13">
      <c r="A4231" s="40">
        <f t="shared" si="71"/>
        <v>4230</v>
      </c>
      <c r="B4231" s="34" t="s">
        <v>8</v>
      </c>
      <c r="C4231" s="34" t="s">
        <v>13289</v>
      </c>
      <c r="D4231" s="8" t="s">
        <v>3500</v>
      </c>
      <c r="E4231" s="8" t="s">
        <v>13545</v>
      </c>
      <c r="G4231" s="34" t="s">
        <v>15</v>
      </c>
      <c r="H4231" s="34" t="str">
        <f>IFERROR(VLOOKUP(Table2[[#This Row], [Ticket]],Okey!A:B,2,0),"")</f>
        <v/>
      </c>
      <c r="I4231" s="34"/>
      <c r="J4231" s="34" t="str">
        <f>VLOOKUP(Table2[[#This Row],[Author]],People!A:B,2,0)</f>
        <v>LS</v>
      </c>
      <c r="L4231" s="34"/>
      <c r="M4231" s="34" t="s">
        <v>4799</v>
      </c>
    </row>
    <row r="4232" spans="1:13">
      <c r="A4232" s="40">
        <f t="shared" si="71"/>
        <v>4231</v>
      </c>
      <c r="B4232" s="34" t="s">
        <v>8</v>
      </c>
      <c r="C4232" s="34" t="s">
        <v>13289</v>
      </c>
      <c r="D4232" s="8" t="s">
        <v>3502</v>
      </c>
      <c r="E4232" s="8" t="s">
        <v>13546</v>
      </c>
      <c r="G4232" s="34" t="s">
        <v>15</v>
      </c>
      <c r="H4232" s="34" t="str">
        <f>IFERROR(VLOOKUP(Table2[[#This Row], [Ticket]],Okey!A:B,2,0),"")</f>
        <v/>
      </c>
      <c r="I4232" s="34"/>
      <c r="J4232" s="34" t="str">
        <f>VLOOKUP(Table2[[#This Row],[Author]],People!A:B,2,0)</f>
        <v>LS</v>
      </c>
      <c r="L4232" s="34"/>
      <c r="M4232" s="34" t="s">
        <v>4799</v>
      </c>
    </row>
    <row r="4233" spans="1:13">
      <c r="A4233" s="40">
        <f t="shared" si="71"/>
        <v>4232</v>
      </c>
      <c r="B4233" s="34" t="s">
        <v>8</v>
      </c>
      <c r="C4233" s="34" t="s">
        <v>13289</v>
      </c>
      <c r="D4233" s="8" t="s">
        <v>13547</v>
      </c>
      <c r="E4233" s="8" t="s">
        <v>13548</v>
      </c>
      <c r="G4233" s="34" t="s">
        <v>15</v>
      </c>
      <c r="H4233" s="34" t="str">
        <f>IFERROR(VLOOKUP(Table2[[#This Row], [Ticket]],Okey!A:B,2,0),"")</f>
        <v/>
      </c>
      <c r="I4233" s="34"/>
      <c r="J4233" s="34" t="str">
        <f>VLOOKUP(Table2[[#This Row],[Author]],People!A:B,2,0)</f>
        <v>LS</v>
      </c>
      <c r="L4233" s="34"/>
      <c r="M4233" s="34" t="s">
        <v>4799</v>
      </c>
    </row>
    <row r="4234" spans="1:13">
      <c r="A4234" s="40">
        <f t="shared" si="71"/>
        <v>4233</v>
      </c>
      <c r="B4234" s="34" t="s">
        <v>8</v>
      </c>
      <c r="C4234" s="34" t="s">
        <v>13289</v>
      </c>
      <c r="D4234" s="8" t="s">
        <v>13549</v>
      </c>
      <c r="E4234" s="8" t="s">
        <v>13550</v>
      </c>
      <c r="G4234" s="34" t="s">
        <v>15</v>
      </c>
      <c r="H4234" s="34" t="str">
        <f>IFERROR(VLOOKUP(Table2[[#This Row], [Ticket]],Okey!A:B,2,0),"")</f>
        <v/>
      </c>
      <c r="I4234" s="34"/>
      <c r="J4234" s="34" t="str">
        <f>VLOOKUP(Table2[[#This Row],[Author]],People!A:B,2,0)</f>
        <v>LS</v>
      </c>
      <c r="L4234" s="34"/>
      <c r="M4234" s="34" t="s">
        <v>4799</v>
      </c>
    </row>
    <row r="4235" spans="1:13">
      <c r="A4235" s="40">
        <f t="shared" si="71"/>
        <v>4234</v>
      </c>
      <c r="B4235" s="34" t="s">
        <v>8</v>
      </c>
      <c r="C4235" s="34" t="s">
        <v>13289</v>
      </c>
      <c r="D4235" s="8" t="s">
        <v>3504</v>
      </c>
      <c r="E4235" s="8" t="s">
        <v>13551</v>
      </c>
      <c r="G4235" s="34" t="s">
        <v>15</v>
      </c>
      <c r="H4235" s="34" t="str">
        <f>IFERROR(VLOOKUP(Table2[[#This Row], [Ticket]],Okey!A:B,2,0),"")</f>
        <v/>
      </c>
      <c r="I4235" s="34"/>
      <c r="J4235" s="34" t="str">
        <f>VLOOKUP(Table2[[#This Row],[Author]],People!A:B,2,0)</f>
        <v>LS</v>
      </c>
      <c r="L4235" s="34"/>
      <c r="M4235" s="34" t="s">
        <v>4799</v>
      </c>
    </row>
    <row r="4236" spans="1:13">
      <c r="A4236" s="40">
        <f t="shared" si="71"/>
        <v>4235</v>
      </c>
      <c r="B4236" s="34" t="s">
        <v>8</v>
      </c>
      <c r="C4236" s="34" t="s">
        <v>13289</v>
      </c>
      <c r="D4236" s="8" t="s">
        <v>8474</v>
      </c>
      <c r="E4236" s="8" t="s">
        <v>13552</v>
      </c>
      <c r="G4236" s="34" t="s">
        <v>15</v>
      </c>
      <c r="H4236" s="34" t="str">
        <f>IFERROR(VLOOKUP(Table2[[#This Row], [Ticket]],Okey!A:B,2,0),"")</f>
        <v/>
      </c>
      <c r="I4236" s="34"/>
      <c r="J4236" s="34" t="str">
        <f>VLOOKUP(Table2[[#This Row],[Author]],People!A:B,2,0)</f>
        <v>LS</v>
      </c>
      <c r="L4236" s="34"/>
      <c r="M4236" s="34" t="s">
        <v>4799</v>
      </c>
    </row>
    <row r="4237" spans="1:13">
      <c r="A4237" s="40">
        <f t="shared" si="71"/>
        <v>4236</v>
      </c>
      <c r="B4237" s="34" t="s">
        <v>8</v>
      </c>
      <c r="C4237" s="34" t="s">
        <v>13289</v>
      </c>
      <c r="D4237" s="8" t="s">
        <v>8475</v>
      </c>
      <c r="E4237" s="8" t="s">
        <v>13553</v>
      </c>
      <c r="G4237" s="34" t="s">
        <v>15</v>
      </c>
      <c r="H4237" s="34" t="str">
        <f>IFERROR(VLOOKUP(Table2[[#This Row], [Ticket]],Okey!A:B,2,0),"")</f>
        <v/>
      </c>
      <c r="I4237" s="34"/>
      <c r="J4237" s="34" t="str">
        <f>VLOOKUP(Table2[[#This Row],[Author]],People!A:B,2,0)</f>
        <v>LS</v>
      </c>
      <c r="L4237" s="34"/>
      <c r="M4237" s="34" t="s">
        <v>4799</v>
      </c>
    </row>
    <row r="4238" spans="1:13">
      <c r="A4238" s="40">
        <f t="shared" si="71"/>
        <v>4237</v>
      </c>
      <c r="B4238" s="34" t="s">
        <v>8</v>
      </c>
      <c r="C4238" s="34" t="s">
        <v>13289</v>
      </c>
      <c r="D4238" s="8" t="s">
        <v>3527</v>
      </c>
      <c r="E4238" s="8" t="s">
        <v>13554</v>
      </c>
      <c r="G4238" s="34" t="s">
        <v>15</v>
      </c>
      <c r="H4238" s="34" t="str">
        <f>IFERROR(VLOOKUP(Table2[[#This Row], [Ticket]],Okey!A:B,2,0),"")</f>
        <v/>
      </c>
      <c r="I4238" s="34"/>
      <c r="J4238" s="34" t="str">
        <f>VLOOKUP(Table2[[#This Row],[Author]],People!A:B,2,0)</f>
        <v>LS</v>
      </c>
      <c r="L4238" s="34"/>
      <c r="M4238" s="34" t="s">
        <v>4799</v>
      </c>
    </row>
    <row r="4239" spans="1:13">
      <c r="A4239" s="40">
        <f t="shared" si="71"/>
        <v>4238</v>
      </c>
      <c r="B4239" s="34" t="s">
        <v>8</v>
      </c>
      <c r="C4239" s="34" t="s">
        <v>13289</v>
      </c>
      <c r="D4239" s="8" t="s">
        <v>8486</v>
      </c>
      <c r="E4239" s="8" t="s">
        <v>13555</v>
      </c>
      <c r="G4239" s="34" t="s">
        <v>15</v>
      </c>
      <c r="H4239" s="34" t="str">
        <f>IFERROR(VLOOKUP(Table2[[#This Row], [Ticket]],Okey!A:B,2,0),"")</f>
        <v/>
      </c>
      <c r="I4239" s="34"/>
      <c r="J4239" s="34" t="str">
        <f>VLOOKUP(Table2[[#This Row],[Author]],People!A:B,2,0)</f>
        <v>LS</v>
      </c>
      <c r="L4239" s="34"/>
      <c r="M4239" s="34" t="s">
        <v>4799</v>
      </c>
    </row>
    <row r="4240" spans="1:13">
      <c r="A4240" s="40">
        <f t="shared" si="71"/>
        <v>4239</v>
      </c>
      <c r="B4240" s="34" t="s">
        <v>8</v>
      </c>
      <c r="C4240" s="34" t="s">
        <v>13289</v>
      </c>
      <c r="D4240" s="8" t="s">
        <v>3978</v>
      </c>
      <c r="E4240" s="8" t="s">
        <v>13556</v>
      </c>
      <c r="G4240" s="34" t="s">
        <v>15</v>
      </c>
      <c r="H4240" s="34" t="str">
        <f>IFERROR(VLOOKUP(Table2[[#This Row], [Ticket]],Okey!A:B,2,0),"")</f>
        <v/>
      </c>
      <c r="I4240" s="34"/>
      <c r="J4240" s="34" t="str">
        <f>VLOOKUP(Table2[[#This Row],[Author]],People!A:B,2,0)</f>
        <v>LS</v>
      </c>
      <c r="L4240" s="34"/>
      <c r="M4240" s="34" t="s">
        <v>4799</v>
      </c>
    </row>
    <row r="4241" spans="1:13">
      <c r="A4241" s="40">
        <f t="shared" si="71"/>
        <v>4240</v>
      </c>
      <c r="B4241" s="34" t="s">
        <v>8</v>
      </c>
      <c r="C4241" s="34" t="s">
        <v>13289</v>
      </c>
      <c r="D4241" s="8" t="s">
        <v>8494</v>
      </c>
      <c r="E4241" s="8" t="s">
        <v>13557</v>
      </c>
      <c r="G4241" s="34" t="s">
        <v>15</v>
      </c>
      <c r="H4241" s="34" t="str">
        <f>IFERROR(VLOOKUP(Table2[[#This Row], [Ticket]],Okey!A:B,2,0),"")</f>
        <v/>
      </c>
      <c r="I4241" s="34"/>
      <c r="J4241" s="34" t="str">
        <f>VLOOKUP(Table2[[#This Row],[Author]],People!A:B,2,0)</f>
        <v>LS</v>
      </c>
      <c r="L4241" s="34"/>
      <c r="M4241" s="34" t="s">
        <v>4799</v>
      </c>
    </row>
    <row r="4242" spans="1:13">
      <c r="A4242" s="40">
        <f t="shared" si="71"/>
        <v>4241</v>
      </c>
      <c r="B4242" s="34" t="s">
        <v>8</v>
      </c>
      <c r="C4242" s="34" t="s">
        <v>13289</v>
      </c>
      <c r="D4242" s="8" t="s">
        <v>12232</v>
      </c>
      <c r="E4242" s="8" t="s">
        <v>13558</v>
      </c>
      <c r="G4242" s="34" t="s">
        <v>15</v>
      </c>
      <c r="H4242" s="34" t="str">
        <f>IFERROR(VLOOKUP(Table2[[#This Row], [Ticket]],Okey!A:B,2,0),"")</f>
        <v/>
      </c>
      <c r="I4242" s="34"/>
      <c r="J4242" s="34" t="str">
        <f>VLOOKUP(Table2[[#This Row],[Author]],People!A:B,2,0)</f>
        <v>LS</v>
      </c>
      <c r="L4242" s="34"/>
      <c r="M4242" s="34" t="s">
        <v>4799</v>
      </c>
    </row>
    <row r="4243" spans="1:13">
      <c r="A4243" s="40">
        <f t="shared" si="71"/>
        <v>4242</v>
      </c>
      <c r="B4243" s="34" t="s">
        <v>8</v>
      </c>
      <c r="C4243" s="34" t="s">
        <v>13289</v>
      </c>
      <c r="D4243" s="8" t="s">
        <v>3494</v>
      </c>
      <c r="E4243" s="8" t="s">
        <v>13559</v>
      </c>
      <c r="G4243" s="34" t="s">
        <v>15</v>
      </c>
      <c r="H4243" s="34" t="str">
        <f>IFERROR(VLOOKUP(Table2[[#This Row], [Ticket]],Okey!A:B,2,0),"")</f>
        <v/>
      </c>
      <c r="I4243" s="34"/>
      <c r="J4243" s="34" t="str">
        <f>VLOOKUP(Table2[[#This Row],[Author]],People!A:B,2,0)</f>
        <v>LS</v>
      </c>
      <c r="L4243" s="34"/>
      <c r="M4243" s="34" t="s">
        <v>4799</v>
      </c>
    </row>
    <row r="4244" spans="1:13">
      <c r="A4244" s="40">
        <f t="shared" si="71"/>
        <v>4243</v>
      </c>
      <c r="B4244" s="34" t="s">
        <v>8</v>
      </c>
      <c r="C4244" s="34" t="s">
        <v>13289</v>
      </c>
      <c r="D4244" s="8" t="s">
        <v>13560</v>
      </c>
      <c r="E4244" s="8" t="s">
        <v>13561</v>
      </c>
      <c r="G4244" s="34" t="s">
        <v>15</v>
      </c>
      <c r="H4244" s="34" t="str">
        <f>IFERROR(VLOOKUP(Table2[[#This Row], [Ticket]],Okey!A:B,2,0),"")</f>
        <v/>
      </c>
      <c r="I4244" s="34"/>
      <c r="J4244" s="34" t="str">
        <f>VLOOKUP(Table2[[#This Row],[Author]],People!A:B,2,0)</f>
        <v>LS</v>
      </c>
      <c r="L4244" s="34"/>
      <c r="M4244" s="34" t="s">
        <v>4799</v>
      </c>
    </row>
    <row r="4245" spans="1:13">
      <c r="A4245" s="40">
        <f t="shared" si="71"/>
        <v>4244</v>
      </c>
      <c r="B4245" s="34" t="s">
        <v>8</v>
      </c>
      <c r="C4245" s="34" t="s">
        <v>13289</v>
      </c>
      <c r="D4245" s="8" t="s">
        <v>13562</v>
      </c>
      <c r="E4245" s="8" t="s">
        <v>13563</v>
      </c>
      <c r="G4245" s="34" t="s">
        <v>15</v>
      </c>
      <c r="H4245" s="34" t="str">
        <f>IFERROR(VLOOKUP(Table2[[#This Row], [Ticket]],Okey!A:B,2,0),"")</f>
        <v/>
      </c>
      <c r="I4245" s="34"/>
      <c r="J4245" s="34" t="str">
        <f>VLOOKUP(Table2[[#This Row],[Author]],People!A:B,2,0)</f>
        <v>LS</v>
      </c>
      <c r="L4245" s="34"/>
      <c r="M4245" s="34" t="s">
        <v>4799</v>
      </c>
    </row>
    <row r="4246" spans="1:13">
      <c r="A4246" s="40">
        <f t="shared" si="71"/>
        <v>4245</v>
      </c>
      <c r="B4246" s="34" t="s">
        <v>8</v>
      </c>
      <c r="C4246" s="34" t="s">
        <v>13289</v>
      </c>
      <c r="D4246" s="8" t="s">
        <v>6002</v>
      </c>
      <c r="E4246" s="8" t="s">
        <v>13564</v>
      </c>
      <c r="G4246" s="34" t="s">
        <v>15</v>
      </c>
      <c r="H4246" s="34" t="str">
        <f>IFERROR(VLOOKUP(Table2[[#This Row], [Ticket]],Okey!A:B,2,0),"")</f>
        <v/>
      </c>
      <c r="I4246" s="34"/>
      <c r="J4246" s="34" t="str">
        <f>VLOOKUP(Table2[[#This Row],[Author]],People!A:B,2,0)</f>
        <v>LS</v>
      </c>
      <c r="L4246" s="34"/>
      <c r="M4246" s="34" t="s">
        <v>4799</v>
      </c>
    </row>
    <row r="4247" spans="1:13">
      <c r="A4247" s="40">
        <f t="shared" si="71"/>
        <v>4246</v>
      </c>
      <c r="B4247" s="34" t="s">
        <v>8</v>
      </c>
      <c r="C4247" s="34" t="s">
        <v>13289</v>
      </c>
      <c r="D4247" s="8" t="s">
        <v>3479</v>
      </c>
      <c r="E4247" s="8" t="s">
        <v>13565</v>
      </c>
      <c r="G4247" s="34" t="s">
        <v>15</v>
      </c>
      <c r="H4247" s="34" t="str">
        <f>IFERROR(VLOOKUP(Table2[[#This Row], [Ticket]],Okey!A:B,2,0),"")</f>
        <v/>
      </c>
      <c r="I4247" s="34"/>
      <c r="J4247" s="34" t="str">
        <f>VLOOKUP(Table2[[#This Row],[Author]],People!A:B,2,0)</f>
        <v>LS</v>
      </c>
      <c r="L4247" s="34"/>
      <c r="M4247" s="34" t="s">
        <v>4799</v>
      </c>
    </row>
    <row r="4248" spans="1:13">
      <c r="A4248" s="40">
        <f t="shared" si="71"/>
        <v>4247</v>
      </c>
      <c r="B4248" s="34" t="s">
        <v>8</v>
      </c>
      <c r="C4248" s="34" t="s">
        <v>13289</v>
      </c>
      <c r="D4248" s="8" t="s">
        <v>4140</v>
      </c>
      <c r="E4248" s="8" t="s">
        <v>13566</v>
      </c>
      <c r="G4248" s="34" t="s">
        <v>15</v>
      </c>
      <c r="H4248" s="34" t="str">
        <f>IFERROR(VLOOKUP(Table2[[#This Row], [Ticket]],Okey!A:B,2,0),"")</f>
        <v/>
      </c>
      <c r="I4248" s="34"/>
      <c r="J4248" s="34" t="str">
        <f>VLOOKUP(Table2[[#This Row],[Author]],People!A:B,2,0)</f>
        <v>LS</v>
      </c>
      <c r="L4248" s="34"/>
      <c r="M4248" s="34" t="s">
        <v>4799</v>
      </c>
    </row>
    <row r="4249" spans="1:13">
      <c r="A4249" s="40">
        <f t="shared" si="71"/>
        <v>4248</v>
      </c>
      <c r="B4249" s="34" t="s">
        <v>8</v>
      </c>
      <c r="C4249" s="34" t="s">
        <v>13289</v>
      </c>
      <c r="D4249" s="8" t="s">
        <v>4074</v>
      </c>
      <c r="E4249" s="8" t="s">
        <v>13567</v>
      </c>
      <c r="G4249" s="34" t="s">
        <v>15</v>
      </c>
      <c r="H4249" s="34" t="str">
        <f>IFERROR(VLOOKUP(Table2[[#This Row], [Ticket]],Okey!A:B,2,0),"")</f>
        <v/>
      </c>
      <c r="I4249" s="34"/>
      <c r="J4249" s="34" t="str">
        <f>VLOOKUP(Table2[[#This Row],[Author]],People!A:B,2,0)</f>
        <v>LS</v>
      </c>
      <c r="L4249" s="34"/>
      <c r="M4249" s="34" t="s">
        <v>4799</v>
      </c>
    </row>
    <row r="4250" spans="1:13">
      <c r="A4250" s="40">
        <f t="shared" si="71"/>
        <v>4249</v>
      </c>
      <c r="B4250" s="34" t="s">
        <v>8</v>
      </c>
      <c r="C4250" s="34" t="s">
        <v>13289</v>
      </c>
      <c r="D4250" s="8" t="s">
        <v>5987</v>
      </c>
      <c r="E4250" s="8" t="s">
        <v>13568</v>
      </c>
      <c r="G4250" s="34" t="s">
        <v>15</v>
      </c>
      <c r="H4250" s="34" t="str">
        <f>IFERROR(VLOOKUP(Table2[[#This Row], [Ticket]],Okey!A:B,2,0),"")</f>
        <v/>
      </c>
      <c r="I4250" s="34"/>
      <c r="J4250" s="34" t="str">
        <f>VLOOKUP(Table2[[#This Row],[Author]],People!A:B,2,0)</f>
        <v>LS</v>
      </c>
      <c r="L4250" s="34"/>
      <c r="M4250" s="34" t="s">
        <v>4799</v>
      </c>
    </row>
    <row r="4251" spans="1:13">
      <c r="A4251" s="40">
        <f t="shared" si="71"/>
        <v>4250</v>
      </c>
      <c r="B4251" s="34" t="s">
        <v>8</v>
      </c>
      <c r="C4251" s="34" t="s">
        <v>13289</v>
      </c>
      <c r="D4251" s="8" t="s">
        <v>5989</v>
      </c>
      <c r="E4251" s="8" t="s">
        <v>13569</v>
      </c>
      <c r="G4251" s="34" t="s">
        <v>15</v>
      </c>
      <c r="H4251" s="34" t="str">
        <f>IFERROR(VLOOKUP(Table2[[#This Row], [Ticket]],Okey!A:B,2,0),"")</f>
        <v/>
      </c>
      <c r="I4251" s="34"/>
      <c r="J4251" s="34" t="str">
        <f>VLOOKUP(Table2[[#This Row],[Author]],People!A:B,2,0)</f>
        <v>LS</v>
      </c>
      <c r="L4251" s="34"/>
      <c r="M4251" s="34" t="s">
        <v>4799</v>
      </c>
    </row>
    <row r="4252" spans="1:13">
      <c r="A4252" s="40">
        <f t="shared" si="71"/>
        <v>4251</v>
      </c>
      <c r="B4252" s="34" t="s">
        <v>8</v>
      </c>
      <c r="C4252" s="34" t="s">
        <v>13289</v>
      </c>
      <c r="D4252" s="8" t="s">
        <v>4855</v>
      </c>
      <c r="E4252" s="8" t="s">
        <v>13570</v>
      </c>
      <c r="G4252" s="34" t="s">
        <v>15</v>
      </c>
      <c r="H4252" s="34" t="str">
        <f>IFERROR(VLOOKUP(Table2[[#This Row], [Ticket]],Okey!A:B,2,0),"")</f>
        <v/>
      </c>
      <c r="I4252" s="34"/>
      <c r="J4252" s="34" t="str">
        <f>VLOOKUP(Table2[[#This Row],[Author]],People!A:B,2,0)</f>
        <v>LS</v>
      </c>
      <c r="L4252" s="34"/>
      <c r="M4252" s="34" t="s">
        <v>4799</v>
      </c>
    </row>
    <row r="4253" spans="1:13">
      <c r="A4253" s="40">
        <f t="shared" si="71"/>
        <v>4252</v>
      </c>
      <c r="B4253" s="34" t="s">
        <v>8</v>
      </c>
      <c r="C4253" s="34" t="s">
        <v>13289</v>
      </c>
      <c r="D4253" s="8" t="s">
        <v>13571</v>
      </c>
      <c r="E4253" s="8" t="s">
        <v>13572</v>
      </c>
      <c r="G4253" s="34" t="s">
        <v>15</v>
      </c>
      <c r="H4253" s="34" t="str">
        <f>IFERROR(VLOOKUP(Table2[[#This Row], [Ticket]],Okey!A:B,2,0),"")</f>
        <v/>
      </c>
      <c r="I4253" s="34"/>
      <c r="J4253" s="34" t="str">
        <f>VLOOKUP(Table2[[#This Row],[Author]],People!A:B,2,0)</f>
        <v>LS</v>
      </c>
      <c r="L4253" s="34"/>
      <c r="M4253" s="34" t="s">
        <v>4799</v>
      </c>
    </row>
    <row r="4254" spans="1:13">
      <c r="A4254" s="40">
        <f t="shared" si="71"/>
        <v>4253</v>
      </c>
      <c r="B4254" s="34" t="s">
        <v>8</v>
      </c>
      <c r="C4254" s="34" t="s">
        <v>13289</v>
      </c>
      <c r="D4254" s="8" t="s">
        <v>13573</v>
      </c>
      <c r="E4254" s="8" t="s">
        <v>13574</v>
      </c>
      <c r="G4254" s="34" t="s">
        <v>15</v>
      </c>
      <c r="H4254" s="34" t="str">
        <f>IFERROR(VLOOKUP(Table2[[#This Row], [Ticket]],Okey!A:B,2,0),"")</f>
        <v/>
      </c>
      <c r="I4254" s="34"/>
      <c r="J4254" s="34" t="str">
        <f>VLOOKUP(Table2[[#This Row],[Author]],People!A:B,2,0)</f>
        <v>LS</v>
      </c>
      <c r="L4254" s="34"/>
      <c r="M4254" s="34" t="s">
        <v>4799</v>
      </c>
    </row>
    <row r="4255" spans="1:13">
      <c r="A4255" s="40">
        <f t="shared" si="71"/>
        <v>4254</v>
      </c>
      <c r="B4255" s="34" t="s">
        <v>8</v>
      </c>
      <c r="C4255" s="34" t="s">
        <v>13289</v>
      </c>
      <c r="D4255" s="8" t="s">
        <v>4142</v>
      </c>
      <c r="E4255" s="8" t="s">
        <v>13575</v>
      </c>
      <c r="G4255" s="34" t="s">
        <v>15</v>
      </c>
      <c r="H4255" s="34" t="str">
        <f>IFERROR(VLOOKUP(Table2[[#This Row], [Ticket]],Okey!A:B,2,0),"")</f>
        <v/>
      </c>
      <c r="I4255" s="34"/>
      <c r="J4255" s="34" t="str">
        <f>VLOOKUP(Table2[[#This Row],[Author]],People!A:B,2,0)</f>
        <v>LS</v>
      </c>
      <c r="L4255" s="34"/>
      <c r="M4255" s="34" t="s">
        <v>4799</v>
      </c>
    </row>
    <row r="4256" spans="1:13">
      <c r="A4256" s="40">
        <f t="shared" si="71"/>
        <v>4255</v>
      </c>
      <c r="B4256" s="34" t="s">
        <v>8</v>
      </c>
      <c r="C4256" s="34" t="s">
        <v>13289</v>
      </c>
      <c r="D4256" s="8" t="s">
        <v>5988</v>
      </c>
      <c r="E4256" s="8" t="s">
        <v>13576</v>
      </c>
      <c r="G4256" s="34" t="s">
        <v>15</v>
      </c>
      <c r="H4256" s="34" t="str">
        <f>IFERROR(VLOOKUP(Table2[[#This Row], [Ticket]],Okey!A:B,2,0),"")</f>
        <v/>
      </c>
      <c r="I4256" s="34"/>
      <c r="J4256" s="34" t="str">
        <f>VLOOKUP(Table2[[#This Row],[Author]],People!A:B,2,0)</f>
        <v>LS</v>
      </c>
      <c r="L4256" s="34"/>
      <c r="M4256" s="34" t="s">
        <v>4799</v>
      </c>
    </row>
    <row r="4257" spans="1:13">
      <c r="A4257" s="40">
        <f t="shared" si="71"/>
        <v>4256</v>
      </c>
      <c r="B4257" s="34" t="s">
        <v>8</v>
      </c>
      <c r="C4257" s="34" t="s">
        <v>13289</v>
      </c>
      <c r="D4257" s="8" t="s">
        <v>12185</v>
      </c>
      <c r="E4257" s="8" t="s">
        <v>13577</v>
      </c>
      <c r="G4257" s="34" t="s">
        <v>15</v>
      </c>
      <c r="H4257" s="34" t="str">
        <f>IFERROR(VLOOKUP(Table2[[#This Row], [Ticket]],Okey!A:B,2,0),"")</f>
        <v/>
      </c>
      <c r="I4257" s="34"/>
      <c r="J4257" s="34" t="str">
        <f>VLOOKUP(Table2[[#This Row],[Author]],People!A:B,2,0)</f>
        <v>LS</v>
      </c>
      <c r="L4257" s="34"/>
      <c r="M4257" s="34" t="s">
        <v>4799</v>
      </c>
    </row>
    <row r="4258" spans="1:13">
      <c r="A4258" s="40">
        <f t="shared" si="71"/>
        <v>4257</v>
      </c>
      <c r="B4258" s="34" t="s">
        <v>8</v>
      </c>
      <c r="C4258" s="34" t="s">
        <v>13289</v>
      </c>
      <c r="D4258" s="8" t="s">
        <v>13024</v>
      </c>
      <c r="E4258" s="8" t="s">
        <v>13578</v>
      </c>
      <c r="G4258" s="34" t="s">
        <v>15</v>
      </c>
      <c r="H4258" s="34" t="str">
        <f>IFERROR(VLOOKUP(Table2[[#This Row], [Ticket]],Okey!A:B,2,0),"")</f>
        <v/>
      </c>
      <c r="I4258" s="34"/>
      <c r="J4258" s="34" t="str">
        <f>VLOOKUP(Table2[[#This Row],[Author]],People!A:B,2,0)</f>
        <v>LS</v>
      </c>
      <c r="L4258" s="34"/>
      <c r="M4258" s="34" t="s">
        <v>4799</v>
      </c>
    </row>
    <row r="4259" spans="1:13">
      <c r="A4259" s="40">
        <f t="shared" ref="A4259:A4322" si="72">1+A4258</f>
        <v>4258</v>
      </c>
      <c r="B4259" s="34" t="s">
        <v>8</v>
      </c>
      <c r="C4259" s="34" t="s">
        <v>13289</v>
      </c>
      <c r="D4259" s="8" t="s">
        <v>13579</v>
      </c>
      <c r="E4259" s="8" t="s">
        <v>13580</v>
      </c>
      <c r="F4259" s="8" t="s">
        <v>13291</v>
      </c>
      <c r="G4259" s="8" t="s">
        <v>16</v>
      </c>
      <c r="H4259" s="34" t="str">
        <f>IFERROR(VLOOKUP(Table2[[#This Row], [Ticket]],Okey!A:B,2,0),"")</f>
        <v/>
      </c>
      <c r="I4259" s="34"/>
      <c r="J4259" s="34" t="str">
        <f>VLOOKUP(Table2[[#This Row],[Author]],People!A:B,2,0)</f>
        <v>LS</v>
      </c>
      <c r="L4259" s="34"/>
      <c r="M4259" s="34" t="s">
        <v>4799</v>
      </c>
    </row>
    <row r="4260" spans="1:13">
      <c r="A4260" s="40">
        <f t="shared" si="72"/>
        <v>4259</v>
      </c>
      <c r="B4260" s="34" t="s">
        <v>8</v>
      </c>
      <c r="C4260" s="34" t="s">
        <v>13289</v>
      </c>
      <c r="D4260" s="8" t="s">
        <v>11826</v>
      </c>
      <c r="E4260" s="8" t="s">
        <v>11827</v>
      </c>
      <c r="F4260" s="8" t="s">
        <v>13291</v>
      </c>
      <c r="G4260" s="34" t="s">
        <v>16</v>
      </c>
      <c r="H4260" s="34" t="str">
        <f>IFERROR(VLOOKUP(Table2[[#This Row], [Ticket]],Okey!A:B,2,0),"")</f>
        <v/>
      </c>
      <c r="I4260" s="34"/>
      <c r="J4260" s="34" t="str">
        <f>VLOOKUP(Table2[[#This Row],[Author]],People!A:B,2,0)</f>
        <v>LS</v>
      </c>
      <c r="L4260" s="34"/>
      <c r="M4260" s="34" t="s">
        <v>4799</v>
      </c>
    </row>
    <row r="4261" spans="1:13">
      <c r="A4261" s="40">
        <f t="shared" si="72"/>
        <v>4260</v>
      </c>
      <c r="B4261" s="34" t="s">
        <v>8</v>
      </c>
      <c r="C4261" s="34" t="s">
        <v>13289</v>
      </c>
      <c r="D4261" s="8" t="s">
        <v>13581</v>
      </c>
      <c r="E4261" s="8" t="s">
        <v>13582</v>
      </c>
      <c r="F4261" s="8" t="s">
        <v>13327</v>
      </c>
      <c r="G4261" s="34" t="s">
        <v>16</v>
      </c>
      <c r="H4261" s="34" t="str">
        <f>IFERROR(VLOOKUP(Table2[[#This Row], [Ticket]],Okey!A:B,2,0),"")</f>
        <v/>
      </c>
      <c r="I4261" s="34"/>
      <c r="J4261" s="34" t="str">
        <f>VLOOKUP(Table2[[#This Row],[Author]],People!A:B,2,0)</f>
        <v>LS</v>
      </c>
      <c r="L4261" s="34"/>
      <c r="M4261" s="34" t="s">
        <v>4799</v>
      </c>
    </row>
    <row r="4262" spans="1:13">
      <c r="A4262" s="40">
        <f t="shared" si="72"/>
        <v>4261</v>
      </c>
      <c r="B4262" s="34" t="s">
        <v>8</v>
      </c>
      <c r="C4262" s="34" t="s">
        <v>13289</v>
      </c>
      <c r="D4262" s="8" t="s">
        <v>13583</v>
      </c>
      <c r="E4262" s="8" t="s">
        <v>13584</v>
      </c>
      <c r="F4262" s="8" t="s">
        <v>13327</v>
      </c>
      <c r="G4262" s="34" t="s">
        <v>16</v>
      </c>
      <c r="H4262" s="34" t="str">
        <f>IFERROR(VLOOKUP(Table2[[#This Row], [Ticket]],Okey!A:B,2,0),"")</f>
        <v/>
      </c>
      <c r="I4262" s="34"/>
      <c r="J4262" s="34" t="str">
        <f>VLOOKUP(Table2[[#This Row],[Author]],People!A:B,2,0)</f>
        <v>LS</v>
      </c>
      <c r="L4262" s="34"/>
      <c r="M4262" s="34" t="s">
        <v>4799</v>
      </c>
    </row>
    <row r="4263" spans="1:13">
      <c r="A4263" s="40">
        <f t="shared" si="72"/>
        <v>4262</v>
      </c>
      <c r="B4263" s="34" t="s">
        <v>8</v>
      </c>
      <c r="C4263" s="34" t="s">
        <v>13289</v>
      </c>
      <c r="D4263" s="8" t="s">
        <v>13585</v>
      </c>
      <c r="E4263" s="8" t="s">
        <v>13586</v>
      </c>
      <c r="F4263" s="8" t="s">
        <v>13324</v>
      </c>
      <c r="G4263" s="34" t="s">
        <v>16</v>
      </c>
      <c r="H4263" s="34" t="str">
        <f>IFERROR(VLOOKUP(Table2[[#This Row], [Ticket]],Okey!A:B,2,0),"")</f>
        <v/>
      </c>
      <c r="I4263" s="34"/>
      <c r="J4263" s="34" t="str">
        <f>VLOOKUP(Table2[[#This Row],[Author]],People!A:B,2,0)</f>
        <v>LS</v>
      </c>
      <c r="L4263" s="34"/>
      <c r="M4263" s="34" t="s">
        <v>4799</v>
      </c>
    </row>
    <row r="4264" spans="1:13">
      <c r="A4264" s="40">
        <f t="shared" si="72"/>
        <v>4263</v>
      </c>
      <c r="B4264" s="34" t="s">
        <v>8</v>
      </c>
      <c r="C4264" s="34" t="s">
        <v>13289</v>
      </c>
      <c r="D4264" s="8" t="s">
        <v>13587</v>
      </c>
      <c r="E4264" s="8" t="s">
        <v>13588</v>
      </c>
      <c r="F4264" s="8" t="s">
        <v>13327</v>
      </c>
      <c r="G4264" s="34" t="s">
        <v>16</v>
      </c>
      <c r="H4264" s="34" t="str">
        <f>IFERROR(VLOOKUP(Table2[[#This Row], [Ticket]],Okey!A:B,2,0),"")</f>
        <v/>
      </c>
      <c r="I4264" s="34"/>
      <c r="J4264" s="34" t="str">
        <f>VLOOKUP(Table2[[#This Row],[Author]],People!A:B,2,0)</f>
        <v>LS</v>
      </c>
      <c r="L4264" s="34"/>
      <c r="M4264" s="34" t="s">
        <v>4799</v>
      </c>
    </row>
    <row r="4265" spans="1:13">
      <c r="A4265" s="40">
        <f t="shared" si="72"/>
        <v>4264</v>
      </c>
      <c r="B4265" s="34" t="s">
        <v>8</v>
      </c>
      <c r="C4265" s="34" t="s">
        <v>13289</v>
      </c>
      <c r="D4265" s="8" t="s">
        <v>13589</v>
      </c>
      <c r="E4265" s="8" t="s">
        <v>13590</v>
      </c>
      <c r="F4265" s="8" t="s">
        <v>13326</v>
      </c>
      <c r="G4265" s="34" t="s">
        <v>16</v>
      </c>
      <c r="H4265" s="34" t="str">
        <f>IFERROR(VLOOKUP(Table2[[#This Row], [Ticket]],Okey!A:B,2,0),"")</f>
        <v/>
      </c>
      <c r="I4265" s="34"/>
      <c r="J4265" s="34" t="str">
        <f>VLOOKUP(Table2[[#This Row],[Author]],People!A:B,2,0)</f>
        <v>LS</v>
      </c>
      <c r="L4265" s="34"/>
      <c r="M4265" s="34" t="s">
        <v>4799</v>
      </c>
    </row>
    <row r="4266" spans="1:13">
      <c r="A4266" s="40">
        <f t="shared" si="72"/>
        <v>4265</v>
      </c>
      <c r="B4266" s="34" t="s">
        <v>8</v>
      </c>
      <c r="C4266" s="34" t="s">
        <v>13289</v>
      </c>
      <c r="D4266" s="8" t="s">
        <v>1997</v>
      </c>
      <c r="E4266" s="8" t="s">
        <v>13591</v>
      </c>
      <c r="F4266" s="8" t="s">
        <v>13326</v>
      </c>
      <c r="G4266" s="34" t="s">
        <v>16</v>
      </c>
      <c r="H4266" s="34" t="str">
        <f>IFERROR(VLOOKUP(Table2[[#This Row], [Ticket]],Okey!A:B,2,0),"")</f>
        <v/>
      </c>
      <c r="I4266" s="34"/>
      <c r="J4266" s="34" t="str">
        <f>VLOOKUP(Table2[[#This Row],[Author]],People!A:B,2,0)</f>
        <v>LS</v>
      </c>
      <c r="L4266" s="34"/>
      <c r="M4266" s="34" t="s">
        <v>4799</v>
      </c>
    </row>
    <row r="4267" spans="1:13">
      <c r="A4267" s="40">
        <f t="shared" si="72"/>
        <v>4266</v>
      </c>
      <c r="B4267" s="34" t="s">
        <v>8</v>
      </c>
      <c r="C4267" s="34" t="s">
        <v>13289</v>
      </c>
      <c r="D4267" s="8" t="s">
        <v>13592</v>
      </c>
      <c r="E4267" s="8" t="s">
        <v>13593</v>
      </c>
      <c r="F4267" s="8" t="s">
        <v>13326</v>
      </c>
      <c r="G4267" s="34" t="s">
        <v>16</v>
      </c>
      <c r="H4267" s="34" t="str">
        <f>IFERROR(VLOOKUP(Table2[[#This Row], [Ticket]],Okey!A:B,2,0),"")</f>
        <v/>
      </c>
      <c r="I4267" s="34"/>
      <c r="J4267" s="34" t="str">
        <f>VLOOKUP(Table2[[#This Row],[Author]],People!A:B,2,0)</f>
        <v>LS</v>
      </c>
      <c r="L4267" s="34"/>
      <c r="M4267" s="34" t="s">
        <v>4799</v>
      </c>
    </row>
    <row r="4268" spans="1:13">
      <c r="A4268" s="40">
        <f t="shared" si="72"/>
        <v>4267</v>
      </c>
      <c r="B4268" s="34" t="s">
        <v>8</v>
      </c>
      <c r="C4268" s="34" t="s">
        <v>13289</v>
      </c>
      <c r="D4268" s="8" t="s">
        <v>13594</v>
      </c>
      <c r="E4268" s="8" t="s">
        <v>13595</v>
      </c>
      <c r="F4268" s="8" t="s">
        <v>13327</v>
      </c>
      <c r="G4268" s="34" t="s">
        <v>16</v>
      </c>
      <c r="H4268" s="34" t="str">
        <f>IFERROR(VLOOKUP(Table2[[#This Row], [Ticket]],Okey!A:B,2,0),"")</f>
        <v/>
      </c>
      <c r="I4268" s="34"/>
      <c r="J4268" s="34" t="str">
        <f>VLOOKUP(Table2[[#This Row],[Author]],People!A:B,2,0)</f>
        <v>LS</v>
      </c>
      <c r="L4268" s="34"/>
      <c r="M4268" s="34" t="s">
        <v>4799</v>
      </c>
    </row>
    <row r="4269" spans="1:13">
      <c r="A4269" s="40">
        <f t="shared" si="72"/>
        <v>4268</v>
      </c>
      <c r="B4269" s="34" t="s">
        <v>8</v>
      </c>
      <c r="C4269" s="34" t="s">
        <v>13289</v>
      </c>
      <c r="D4269" s="8" t="s">
        <v>1998</v>
      </c>
      <c r="E4269" s="8" t="s">
        <v>13596</v>
      </c>
      <c r="F4269" s="8" t="s">
        <v>13326</v>
      </c>
      <c r="G4269" s="34" t="s">
        <v>16</v>
      </c>
      <c r="H4269" s="34" t="str">
        <f>IFERROR(VLOOKUP(Table2[[#This Row], [Ticket]],Okey!A:B,2,0),"")</f>
        <v/>
      </c>
      <c r="I4269" s="34"/>
      <c r="J4269" s="34" t="str">
        <f>VLOOKUP(Table2[[#This Row],[Author]],People!A:B,2,0)</f>
        <v>LS</v>
      </c>
      <c r="L4269" s="34"/>
      <c r="M4269" s="34" t="s">
        <v>4799</v>
      </c>
    </row>
    <row r="4270" spans="1:13">
      <c r="A4270" s="40">
        <f t="shared" si="72"/>
        <v>4269</v>
      </c>
      <c r="B4270" s="34" t="s">
        <v>8</v>
      </c>
      <c r="C4270" s="34" t="s">
        <v>13289</v>
      </c>
      <c r="D4270" s="8" t="s">
        <v>13597</v>
      </c>
      <c r="E4270" s="8" t="s">
        <v>13598</v>
      </c>
      <c r="F4270" s="8" t="s">
        <v>13625</v>
      </c>
      <c r="G4270" s="34" t="s">
        <v>16</v>
      </c>
      <c r="H4270" s="34" t="str">
        <f>IFERROR(VLOOKUP(Table2[[#This Row], [Ticket]],Okey!A:B,2,0),"")</f>
        <v/>
      </c>
      <c r="I4270" s="34"/>
      <c r="J4270" s="34" t="str">
        <f>VLOOKUP(Table2[[#This Row],[Author]],People!A:B,2,0)</f>
        <v>LS</v>
      </c>
      <c r="L4270" s="34"/>
      <c r="M4270" s="34" t="s">
        <v>4799</v>
      </c>
    </row>
    <row r="4271" spans="1:13">
      <c r="A4271" s="40">
        <f t="shared" si="72"/>
        <v>4270</v>
      </c>
      <c r="B4271" s="34" t="s">
        <v>8</v>
      </c>
      <c r="C4271" s="34" t="s">
        <v>13289</v>
      </c>
      <c r="D4271" s="8" t="s">
        <v>13599</v>
      </c>
      <c r="E4271" s="8" t="s">
        <v>13600</v>
      </c>
      <c r="F4271" s="8" t="s">
        <v>13315</v>
      </c>
      <c r="G4271" s="34" t="s">
        <v>16</v>
      </c>
      <c r="H4271" s="34" t="str">
        <f>IFERROR(VLOOKUP(Table2[[#This Row], [Ticket]],Okey!A:B,2,0),"")</f>
        <v/>
      </c>
      <c r="I4271" s="34"/>
      <c r="J4271" s="34" t="str">
        <f>VLOOKUP(Table2[[#This Row],[Author]],People!A:B,2,0)</f>
        <v>LS</v>
      </c>
      <c r="L4271" s="34"/>
      <c r="M4271" s="34" t="s">
        <v>4799</v>
      </c>
    </row>
    <row r="4272" spans="1:13">
      <c r="A4272" s="40">
        <f t="shared" si="72"/>
        <v>4271</v>
      </c>
      <c r="B4272" s="34" t="s">
        <v>8</v>
      </c>
      <c r="C4272" s="34" t="s">
        <v>13289</v>
      </c>
      <c r="D4272" s="8" t="s">
        <v>13601</v>
      </c>
      <c r="E4272" s="8" t="s">
        <v>13602</v>
      </c>
      <c r="F4272" s="8" t="s">
        <v>13315</v>
      </c>
      <c r="G4272" s="34" t="s">
        <v>16</v>
      </c>
      <c r="H4272" s="34" t="str">
        <f>IFERROR(VLOOKUP(Table2[[#This Row], [Ticket]],Okey!A:B,2,0),"")</f>
        <v/>
      </c>
      <c r="I4272" s="34"/>
      <c r="J4272" s="34" t="str">
        <f>VLOOKUP(Table2[[#This Row],[Author]],People!A:B,2,0)</f>
        <v>LS</v>
      </c>
      <c r="L4272" s="34"/>
      <c r="M4272" s="34" t="s">
        <v>4799</v>
      </c>
    </row>
    <row r="4273" spans="1:13">
      <c r="A4273" s="40">
        <f t="shared" si="72"/>
        <v>4272</v>
      </c>
      <c r="B4273" s="34" t="s">
        <v>8</v>
      </c>
      <c r="C4273" s="34" t="s">
        <v>13289</v>
      </c>
      <c r="D4273" s="8" t="s">
        <v>13603</v>
      </c>
      <c r="E4273" s="8" t="s">
        <v>13329</v>
      </c>
      <c r="F4273" s="8" t="s">
        <v>8305</v>
      </c>
      <c r="G4273" s="34" t="s">
        <v>16</v>
      </c>
      <c r="H4273" s="34" t="str">
        <f>IFERROR(VLOOKUP(Table2[[#This Row], [Ticket]],Okey!A:B,2,0),"")</f>
        <v/>
      </c>
      <c r="I4273" s="34"/>
      <c r="J4273" s="34" t="str">
        <f>VLOOKUP(Table2[[#This Row],[Author]],People!A:B,2,0)</f>
        <v>LS</v>
      </c>
      <c r="L4273" s="34"/>
      <c r="M4273" s="34" t="s">
        <v>4799</v>
      </c>
    </row>
    <row r="4274" spans="1:13">
      <c r="A4274" s="40">
        <f t="shared" si="72"/>
        <v>4273</v>
      </c>
      <c r="B4274" s="34" t="s">
        <v>8</v>
      </c>
      <c r="C4274" s="34" t="s">
        <v>13289</v>
      </c>
      <c r="D4274" s="8" t="s">
        <v>13604</v>
      </c>
      <c r="E4274" s="8" t="s">
        <v>13605</v>
      </c>
      <c r="F4274" s="8" t="s">
        <v>13330</v>
      </c>
      <c r="G4274" s="34" t="s">
        <v>16</v>
      </c>
      <c r="H4274" s="34" t="str">
        <f>IFERROR(VLOOKUP(Table2[[#This Row], [Ticket]],Okey!A:B,2,0),"")</f>
        <v/>
      </c>
      <c r="I4274" s="34"/>
      <c r="J4274" s="34" t="str">
        <f>VLOOKUP(Table2[[#This Row],[Author]],People!A:B,2,0)</f>
        <v>LS</v>
      </c>
      <c r="L4274" s="34"/>
      <c r="M4274" s="34" t="s">
        <v>4799</v>
      </c>
    </row>
    <row r="4275" spans="1:13">
      <c r="A4275" s="40">
        <f t="shared" si="72"/>
        <v>4274</v>
      </c>
      <c r="B4275" s="34" t="s">
        <v>8</v>
      </c>
      <c r="C4275" s="34" t="s">
        <v>13289</v>
      </c>
      <c r="D4275" s="8" t="s">
        <v>13606</v>
      </c>
      <c r="E4275" s="8" t="s">
        <v>13607</v>
      </c>
      <c r="F4275" s="8" t="s">
        <v>13327</v>
      </c>
      <c r="G4275" s="34" t="s">
        <v>16</v>
      </c>
      <c r="H4275" s="34" t="str">
        <f>IFERROR(VLOOKUP(Table2[[#This Row], [Ticket]],Okey!A:B,2,0),"")</f>
        <v/>
      </c>
      <c r="I4275" s="34"/>
      <c r="J4275" s="34" t="str">
        <f>VLOOKUP(Table2[[#This Row],[Author]],People!A:B,2,0)</f>
        <v>LS</v>
      </c>
      <c r="L4275" s="34"/>
      <c r="M4275" s="34" t="s">
        <v>4799</v>
      </c>
    </row>
    <row r="4276" spans="1:13">
      <c r="A4276" s="40">
        <f t="shared" si="72"/>
        <v>4275</v>
      </c>
      <c r="B4276" s="34" t="s">
        <v>8</v>
      </c>
      <c r="C4276" s="34" t="s">
        <v>13289</v>
      </c>
      <c r="D4276" s="8" t="s">
        <v>13608</v>
      </c>
      <c r="E4276" s="8" t="s">
        <v>13609</v>
      </c>
      <c r="F4276" s="8" t="s">
        <v>13315</v>
      </c>
      <c r="G4276" s="34" t="s">
        <v>16</v>
      </c>
      <c r="H4276" s="34" t="str">
        <f>IFERROR(VLOOKUP(Table2[[#This Row], [Ticket]],Okey!A:B,2,0),"")</f>
        <v/>
      </c>
      <c r="I4276" s="34"/>
      <c r="J4276" s="34" t="str">
        <f>VLOOKUP(Table2[[#This Row],[Author]],People!A:B,2,0)</f>
        <v>LS</v>
      </c>
      <c r="L4276" s="34"/>
      <c r="M4276" s="34" t="s">
        <v>4799</v>
      </c>
    </row>
    <row r="4277" spans="1:13">
      <c r="A4277" s="40">
        <f t="shared" si="72"/>
        <v>4276</v>
      </c>
      <c r="B4277" s="34" t="s">
        <v>8</v>
      </c>
      <c r="C4277" s="34" t="s">
        <v>13289</v>
      </c>
      <c r="D4277" s="8" t="s">
        <v>13610</v>
      </c>
      <c r="E4277" s="8" t="s">
        <v>13611</v>
      </c>
      <c r="F4277" s="8" t="s">
        <v>13315</v>
      </c>
      <c r="G4277" s="34" t="s">
        <v>16</v>
      </c>
      <c r="H4277" s="34" t="str">
        <f>IFERROR(VLOOKUP(Table2[[#This Row], [Ticket]],Okey!A:B,2,0),"")</f>
        <v/>
      </c>
      <c r="I4277" s="34"/>
      <c r="J4277" s="34" t="str">
        <f>VLOOKUP(Table2[[#This Row],[Author]],People!A:B,2,0)</f>
        <v>LS</v>
      </c>
      <c r="L4277" s="34"/>
      <c r="M4277" s="34" t="s">
        <v>4799</v>
      </c>
    </row>
    <row r="4278" spans="1:13">
      <c r="A4278" s="40">
        <f t="shared" si="72"/>
        <v>4277</v>
      </c>
      <c r="B4278" s="34" t="s">
        <v>8</v>
      </c>
      <c r="C4278" s="34" t="s">
        <v>13289</v>
      </c>
      <c r="D4278" s="8" t="s">
        <v>13612</v>
      </c>
      <c r="E4278" s="8" t="s">
        <v>13613</v>
      </c>
      <c r="F4278" s="8" t="s">
        <v>13326</v>
      </c>
      <c r="G4278" s="34" t="s">
        <v>16</v>
      </c>
      <c r="H4278" s="34" t="str">
        <f>IFERROR(VLOOKUP(Table2[[#This Row], [Ticket]],Okey!A:B,2,0),"")</f>
        <v/>
      </c>
      <c r="I4278" s="34"/>
      <c r="J4278" s="34" t="str">
        <f>VLOOKUP(Table2[[#This Row],[Author]],People!A:B,2,0)</f>
        <v>LS</v>
      </c>
      <c r="L4278" s="34"/>
      <c r="M4278" s="34" t="s">
        <v>4799</v>
      </c>
    </row>
    <row r="4279" spans="1:13">
      <c r="A4279" s="40">
        <f t="shared" si="72"/>
        <v>4278</v>
      </c>
      <c r="B4279" s="34" t="s">
        <v>8</v>
      </c>
      <c r="C4279" s="34" t="s">
        <v>13289</v>
      </c>
      <c r="D4279" s="8" t="s">
        <v>13614</v>
      </c>
      <c r="E4279" s="8" t="s">
        <v>13615</v>
      </c>
      <c r="F4279" s="8" t="s">
        <v>13315</v>
      </c>
      <c r="G4279" s="34" t="s">
        <v>16</v>
      </c>
      <c r="H4279" s="34" t="str">
        <f>IFERROR(VLOOKUP(Table2[[#This Row], [Ticket]],Okey!A:B,2,0),"")</f>
        <v/>
      </c>
      <c r="I4279" s="34"/>
      <c r="J4279" s="34" t="str">
        <f>VLOOKUP(Table2[[#This Row],[Author]],People!A:B,2,0)</f>
        <v>LS</v>
      </c>
      <c r="L4279" s="34"/>
      <c r="M4279" s="34" t="s">
        <v>4799</v>
      </c>
    </row>
    <row r="4280" spans="1:13">
      <c r="A4280" s="40">
        <f t="shared" si="72"/>
        <v>4279</v>
      </c>
      <c r="B4280" s="34" t="s">
        <v>8</v>
      </c>
      <c r="C4280" s="34" t="s">
        <v>13289</v>
      </c>
      <c r="D4280" s="8" t="s">
        <v>4148</v>
      </c>
      <c r="E4280" s="8" t="s">
        <v>13616</v>
      </c>
      <c r="F4280" s="8" t="s">
        <v>3504</v>
      </c>
      <c r="G4280" s="34" t="s">
        <v>16</v>
      </c>
      <c r="H4280" s="34" t="str">
        <f>IFERROR(VLOOKUP(Table2[[#This Row], [Ticket]],Okey!A:B,2,0),"")</f>
        <v/>
      </c>
      <c r="I4280" s="34"/>
      <c r="J4280" s="34" t="str">
        <f>VLOOKUP(Table2[[#This Row],[Author]],People!A:B,2,0)</f>
        <v>LS</v>
      </c>
      <c r="L4280" s="34"/>
      <c r="M4280" s="34" t="s">
        <v>4799</v>
      </c>
    </row>
    <row r="4281" spans="1:13">
      <c r="A4281" s="40">
        <f t="shared" si="72"/>
        <v>4280</v>
      </c>
      <c r="B4281" s="34" t="s">
        <v>8</v>
      </c>
      <c r="C4281" s="34" t="s">
        <v>13289</v>
      </c>
      <c r="D4281" s="8" t="s">
        <v>13617</v>
      </c>
      <c r="E4281" s="8" t="s">
        <v>13618</v>
      </c>
      <c r="F4281" s="8" t="s">
        <v>3504</v>
      </c>
      <c r="G4281" s="34" t="s">
        <v>16</v>
      </c>
      <c r="H4281" s="34" t="str">
        <f>IFERROR(VLOOKUP(Table2[[#This Row], [Ticket]],Okey!A:B,2,0),"")</f>
        <v/>
      </c>
      <c r="I4281" s="34"/>
      <c r="J4281" s="34" t="str">
        <f>VLOOKUP(Table2[[#This Row],[Author]],People!A:B,2,0)</f>
        <v>LS</v>
      </c>
      <c r="L4281" s="34"/>
      <c r="M4281" s="34" t="s">
        <v>4799</v>
      </c>
    </row>
    <row r="4282" spans="1:13">
      <c r="A4282" s="40">
        <f t="shared" si="72"/>
        <v>4281</v>
      </c>
      <c r="B4282" s="34" t="s">
        <v>8</v>
      </c>
      <c r="C4282" s="34" t="s">
        <v>13289</v>
      </c>
      <c r="D4282" s="8" t="s">
        <v>4154</v>
      </c>
      <c r="E4282" s="8" t="s">
        <v>13619</v>
      </c>
      <c r="F4282" s="8" t="s">
        <v>13355</v>
      </c>
      <c r="G4282" s="34" t="s">
        <v>16</v>
      </c>
      <c r="H4282" s="34" t="str">
        <f>IFERROR(VLOOKUP(Table2[[#This Row], [Ticket]],Okey!A:B,2,0),"")</f>
        <v/>
      </c>
      <c r="I4282" s="34"/>
      <c r="J4282" s="34" t="str">
        <f>VLOOKUP(Table2[[#This Row],[Author]],People!A:B,2,0)</f>
        <v>LS</v>
      </c>
      <c r="L4282" s="34"/>
      <c r="M4282" s="34" t="s">
        <v>4799</v>
      </c>
    </row>
    <row r="4283" spans="1:13">
      <c r="A4283" s="40">
        <f t="shared" si="72"/>
        <v>4282</v>
      </c>
      <c r="B4283" s="34" t="s">
        <v>8</v>
      </c>
      <c r="C4283" s="34" t="s">
        <v>13289</v>
      </c>
      <c r="D4283" s="8" t="s">
        <v>13620</v>
      </c>
      <c r="E4283" s="8" t="s">
        <v>13621</v>
      </c>
      <c r="F4283" s="8" t="s">
        <v>3518</v>
      </c>
      <c r="G4283" s="34" t="s">
        <v>16</v>
      </c>
      <c r="H4283" s="34" t="str">
        <f>IFERROR(VLOOKUP(Table2[[#This Row], [Ticket]],Okey!A:B,2,0),"")</f>
        <v/>
      </c>
      <c r="I4283" s="34"/>
      <c r="J4283" s="34" t="str">
        <f>VLOOKUP(Table2[[#This Row],[Author]],People!A:B,2,0)</f>
        <v>LS</v>
      </c>
      <c r="L4283" s="34"/>
      <c r="M4283" s="34" t="s">
        <v>4799</v>
      </c>
    </row>
    <row r="4284" spans="1:13">
      <c r="A4284" s="40">
        <f t="shared" si="72"/>
        <v>4283</v>
      </c>
      <c r="B4284" s="34" t="s">
        <v>8</v>
      </c>
      <c r="C4284" s="34" t="s">
        <v>13289</v>
      </c>
      <c r="D4284" s="8" t="s">
        <v>3459</v>
      </c>
      <c r="E4284" s="8" t="s">
        <v>13622</v>
      </c>
      <c r="F4284" s="8" t="s">
        <v>13376</v>
      </c>
      <c r="G4284" s="34" t="s">
        <v>16</v>
      </c>
      <c r="H4284" s="34" t="str">
        <f>IFERROR(VLOOKUP(Table2[[#This Row], [Ticket]],Okey!A:B,2,0),"")</f>
        <v/>
      </c>
      <c r="I4284" s="34"/>
      <c r="J4284" s="34" t="str">
        <f>VLOOKUP(Table2[[#This Row],[Author]],People!A:B,2,0)</f>
        <v>LS</v>
      </c>
      <c r="L4284" s="34"/>
      <c r="M4284" s="34" t="s">
        <v>4799</v>
      </c>
    </row>
    <row r="4285" spans="1:13">
      <c r="A4285" s="40">
        <f t="shared" si="72"/>
        <v>4284</v>
      </c>
      <c r="B4285" s="34" t="s">
        <v>8</v>
      </c>
      <c r="C4285" s="34" t="s">
        <v>13289</v>
      </c>
      <c r="D4285" s="8" t="s">
        <v>4857</v>
      </c>
      <c r="E4285" s="8" t="s">
        <v>13623</v>
      </c>
      <c r="F4285" s="8" t="s">
        <v>4855</v>
      </c>
      <c r="G4285" s="34" t="s">
        <v>16</v>
      </c>
      <c r="H4285" s="34" t="str">
        <f>IFERROR(VLOOKUP(Table2[[#This Row], [Ticket]],Okey!A:B,2,0),"")</f>
        <v/>
      </c>
      <c r="I4285" s="34"/>
      <c r="J4285" s="34" t="str">
        <f>VLOOKUP(Table2[[#This Row],[Author]],People!A:B,2,0)</f>
        <v>LS</v>
      </c>
      <c r="L4285" s="34"/>
      <c r="M4285" s="34" t="s">
        <v>4799</v>
      </c>
    </row>
    <row r="4286" spans="1:13">
      <c r="A4286" s="40">
        <f t="shared" si="72"/>
        <v>4285</v>
      </c>
      <c r="B4286" s="34" t="s">
        <v>8</v>
      </c>
      <c r="C4286" s="34" t="s">
        <v>13289</v>
      </c>
      <c r="D4286" s="8" t="s">
        <v>8625</v>
      </c>
      <c r="E4286" s="8" t="s">
        <v>13624</v>
      </c>
      <c r="F4286" s="8" t="s">
        <v>13313</v>
      </c>
      <c r="G4286" s="34" t="s">
        <v>16</v>
      </c>
      <c r="H4286" s="34" t="str">
        <f>IFERROR(VLOOKUP(Table2[[#This Row], [Ticket]],Okey!A:B,2,0),"")</f>
        <v/>
      </c>
      <c r="I4286" s="34"/>
      <c r="J4286" s="34" t="str">
        <f>VLOOKUP(Table2[[#This Row],[Author]],People!A:B,2,0)</f>
        <v>LS</v>
      </c>
      <c r="L4286" s="34"/>
      <c r="M4286" s="34" t="s">
        <v>4799</v>
      </c>
    </row>
    <row r="4287" spans="1:13">
      <c r="A4287" s="40">
        <f t="shared" si="72"/>
        <v>4286</v>
      </c>
      <c r="B4287" s="34" t="s">
        <v>8</v>
      </c>
      <c r="C4287" s="34" t="s">
        <v>13289</v>
      </c>
      <c r="D4287" s="8" t="s">
        <v>13626</v>
      </c>
      <c r="F4287" s="8" t="s">
        <v>13291</v>
      </c>
      <c r="G4287" s="8" t="s">
        <v>13</v>
      </c>
      <c r="H4287" s="34" t="str">
        <f>IFERROR(VLOOKUP(Table2[[#This Row], [Ticket]],Okey!A:B,2,0),"")</f>
        <v/>
      </c>
      <c r="I4287" s="34"/>
      <c r="J4287" s="34" t="str">
        <f>VLOOKUP(Table2[[#This Row],[Author]],People!A:B,2,0)</f>
        <v>LS</v>
      </c>
      <c r="L4287" s="34"/>
      <c r="M4287" s="34" t="s">
        <v>4799</v>
      </c>
    </row>
    <row r="4288" spans="1:13">
      <c r="A4288" s="40">
        <f t="shared" si="72"/>
        <v>4287</v>
      </c>
      <c r="B4288" s="34" t="s">
        <v>8</v>
      </c>
      <c r="C4288" s="34" t="s">
        <v>13289</v>
      </c>
      <c r="D4288" s="8" t="s">
        <v>13627</v>
      </c>
      <c r="F4288" s="8" t="s">
        <v>13025</v>
      </c>
      <c r="G4288" s="34" t="s">
        <v>13</v>
      </c>
      <c r="H4288" s="34" t="str">
        <f>IFERROR(VLOOKUP(Table2[[#This Row], [Ticket]],Okey!A:B,2,0),"")</f>
        <v/>
      </c>
      <c r="I4288" s="34"/>
      <c r="J4288" s="34" t="str">
        <f>VLOOKUP(Table2[[#This Row],[Author]],People!A:B,2,0)</f>
        <v>LS</v>
      </c>
      <c r="L4288" s="34"/>
      <c r="M4288" s="34" t="s">
        <v>4799</v>
      </c>
    </row>
    <row r="4289" spans="1:13">
      <c r="A4289" s="40">
        <f t="shared" si="72"/>
        <v>4288</v>
      </c>
      <c r="B4289" s="34" t="s">
        <v>8</v>
      </c>
      <c r="C4289" s="34" t="s">
        <v>13289</v>
      </c>
      <c r="D4289" s="8" t="s">
        <v>13628</v>
      </c>
      <c r="F4289" s="8" t="s">
        <v>13291</v>
      </c>
      <c r="G4289" s="34" t="s">
        <v>13</v>
      </c>
      <c r="H4289" s="34" t="str">
        <f>IFERROR(VLOOKUP(Table2[[#This Row], [Ticket]],Okey!A:B,2,0),"")</f>
        <v/>
      </c>
      <c r="I4289" s="34"/>
      <c r="J4289" s="34" t="str">
        <f>VLOOKUP(Table2[[#This Row],[Author]],People!A:B,2,0)</f>
        <v>LS</v>
      </c>
      <c r="L4289" s="34"/>
      <c r="M4289" s="34" t="s">
        <v>4799</v>
      </c>
    </row>
    <row r="4290" spans="1:13">
      <c r="A4290" s="40">
        <f t="shared" si="72"/>
        <v>4289</v>
      </c>
      <c r="B4290" s="34" t="s">
        <v>8</v>
      </c>
      <c r="C4290" s="34" t="s">
        <v>13289</v>
      </c>
      <c r="D4290" s="8" t="s">
        <v>13629</v>
      </c>
      <c r="F4290" s="8" t="s">
        <v>13291</v>
      </c>
      <c r="G4290" s="34" t="s">
        <v>13</v>
      </c>
      <c r="H4290" s="34" t="str">
        <f>IFERROR(VLOOKUP(Table2[[#This Row], [Ticket]],Okey!A:B,2,0),"")</f>
        <v/>
      </c>
      <c r="I4290" s="34"/>
      <c r="J4290" s="34" t="str">
        <f>VLOOKUP(Table2[[#This Row],[Author]],People!A:B,2,0)</f>
        <v>LS</v>
      </c>
      <c r="L4290" s="34"/>
      <c r="M4290" s="34" t="s">
        <v>4799</v>
      </c>
    </row>
    <row r="4291" spans="1:13">
      <c r="A4291" s="40">
        <f t="shared" si="72"/>
        <v>4290</v>
      </c>
      <c r="B4291" s="34" t="s">
        <v>8</v>
      </c>
      <c r="C4291" s="34" t="s">
        <v>13289</v>
      </c>
      <c r="D4291" s="8" t="s">
        <v>13630</v>
      </c>
      <c r="F4291" s="8" t="s">
        <v>13025</v>
      </c>
      <c r="G4291" s="34" t="s">
        <v>13</v>
      </c>
      <c r="H4291" s="34" t="str">
        <f>IFERROR(VLOOKUP(Table2[[#This Row], [Ticket]],Okey!A:B,2,0),"")</f>
        <v/>
      </c>
      <c r="I4291" s="34"/>
      <c r="J4291" s="34" t="str">
        <f>VLOOKUP(Table2[[#This Row],[Author]],People!A:B,2,0)</f>
        <v>LS</v>
      </c>
      <c r="L4291" s="34"/>
      <c r="M4291" s="34" t="s">
        <v>4799</v>
      </c>
    </row>
    <row r="4292" spans="1:13">
      <c r="A4292" s="40">
        <f t="shared" si="72"/>
        <v>4291</v>
      </c>
      <c r="B4292" s="34" t="s">
        <v>8</v>
      </c>
      <c r="C4292" s="34" t="s">
        <v>13289</v>
      </c>
      <c r="D4292" s="8" t="s">
        <v>13631</v>
      </c>
      <c r="F4292" s="8" t="s">
        <v>13025</v>
      </c>
      <c r="G4292" s="34" t="s">
        <v>13</v>
      </c>
      <c r="H4292" s="34" t="str">
        <f>IFERROR(VLOOKUP(Table2[[#This Row], [Ticket]],Okey!A:B,2,0),"")</f>
        <v/>
      </c>
      <c r="I4292" s="34"/>
      <c r="J4292" s="34" t="str">
        <f>VLOOKUP(Table2[[#This Row],[Author]],People!A:B,2,0)</f>
        <v>LS</v>
      </c>
      <c r="L4292" s="34"/>
      <c r="M4292" s="34" t="s">
        <v>4799</v>
      </c>
    </row>
    <row r="4293" spans="1:13">
      <c r="A4293" s="40">
        <f t="shared" si="72"/>
        <v>4292</v>
      </c>
      <c r="B4293" s="34" t="s">
        <v>8</v>
      </c>
      <c r="C4293" s="34" t="s">
        <v>13289</v>
      </c>
      <c r="D4293" s="8" t="s">
        <v>13632</v>
      </c>
      <c r="F4293" s="8" t="s">
        <v>13291</v>
      </c>
      <c r="G4293" s="34" t="s">
        <v>13</v>
      </c>
      <c r="H4293" s="34" t="str">
        <f>IFERROR(VLOOKUP(Table2[[#This Row], [Ticket]],Okey!A:B,2,0),"")</f>
        <v/>
      </c>
      <c r="I4293" s="34"/>
      <c r="J4293" s="34" t="str">
        <f>VLOOKUP(Table2[[#This Row],[Author]],People!A:B,2,0)</f>
        <v>LS</v>
      </c>
      <c r="L4293" s="34"/>
      <c r="M4293" s="34" t="s">
        <v>4799</v>
      </c>
    </row>
    <row r="4294" spans="1:13">
      <c r="A4294" s="40">
        <f t="shared" si="72"/>
        <v>4293</v>
      </c>
      <c r="B4294" s="34" t="s">
        <v>8</v>
      </c>
      <c r="C4294" s="34" t="s">
        <v>13289</v>
      </c>
      <c r="D4294" s="8" t="s">
        <v>13633</v>
      </c>
      <c r="F4294" s="8" t="s">
        <v>13025</v>
      </c>
      <c r="G4294" s="34" t="s">
        <v>13</v>
      </c>
      <c r="H4294" s="34" t="str">
        <f>IFERROR(VLOOKUP(Table2[[#This Row], [Ticket]],Okey!A:B,2,0),"")</f>
        <v/>
      </c>
      <c r="I4294" s="34"/>
      <c r="J4294" s="34" t="str">
        <f>VLOOKUP(Table2[[#This Row],[Author]],People!A:B,2,0)</f>
        <v>LS</v>
      </c>
      <c r="L4294" s="34"/>
      <c r="M4294" s="34" t="s">
        <v>4799</v>
      </c>
    </row>
    <row r="4295" spans="1:13">
      <c r="A4295" s="40">
        <f t="shared" si="72"/>
        <v>4294</v>
      </c>
      <c r="B4295" s="34" t="s">
        <v>8</v>
      </c>
      <c r="C4295" s="34" t="s">
        <v>13289</v>
      </c>
      <c r="D4295" s="8" t="s">
        <v>13634</v>
      </c>
      <c r="F4295" s="8" t="s">
        <v>13025</v>
      </c>
      <c r="G4295" s="34" t="s">
        <v>13</v>
      </c>
      <c r="H4295" s="34" t="str">
        <f>IFERROR(VLOOKUP(Table2[[#This Row], [Ticket]],Okey!A:B,2,0),"")</f>
        <v/>
      </c>
      <c r="I4295" s="34"/>
      <c r="J4295" s="34" t="str">
        <f>VLOOKUP(Table2[[#This Row],[Author]],People!A:B,2,0)</f>
        <v>LS</v>
      </c>
      <c r="L4295" s="34"/>
      <c r="M4295" s="34" t="s">
        <v>4799</v>
      </c>
    </row>
    <row r="4296" spans="1:13">
      <c r="A4296" s="40">
        <f t="shared" si="72"/>
        <v>4295</v>
      </c>
      <c r="B4296" s="34" t="s">
        <v>8</v>
      </c>
      <c r="C4296" s="34" t="s">
        <v>13289</v>
      </c>
      <c r="D4296" s="8" t="s">
        <v>13635</v>
      </c>
      <c r="F4296" s="8" t="s">
        <v>13291</v>
      </c>
      <c r="G4296" s="34" t="s">
        <v>13</v>
      </c>
      <c r="H4296" s="34" t="str">
        <f>IFERROR(VLOOKUP(Table2[[#This Row], [Ticket]],Okey!A:B,2,0),"")</f>
        <v/>
      </c>
      <c r="I4296" s="34"/>
      <c r="J4296" s="34" t="str">
        <f>VLOOKUP(Table2[[#This Row],[Author]],People!A:B,2,0)</f>
        <v>LS</v>
      </c>
      <c r="L4296" s="34"/>
      <c r="M4296" s="34" t="s">
        <v>4799</v>
      </c>
    </row>
    <row r="4297" spans="1:13">
      <c r="A4297" s="40">
        <f t="shared" si="72"/>
        <v>4296</v>
      </c>
      <c r="B4297" s="34" t="s">
        <v>8</v>
      </c>
      <c r="C4297" s="34" t="s">
        <v>13289</v>
      </c>
      <c r="D4297" s="8" t="s">
        <v>13636</v>
      </c>
      <c r="F4297" s="8" t="s">
        <v>13672</v>
      </c>
      <c r="G4297" s="34" t="s">
        <v>13</v>
      </c>
      <c r="H4297" s="34" t="str">
        <f>IFERROR(VLOOKUP(Table2[[#This Row], [Ticket]],Okey!A:B,2,0),"")</f>
        <v/>
      </c>
      <c r="I4297" s="34"/>
      <c r="J4297" s="34" t="str">
        <f>VLOOKUP(Table2[[#This Row],[Author]],People!A:B,2,0)</f>
        <v>LS</v>
      </c>
      <c r="L4297" s="34"/>
      <c r="M4297" s="34" t="s">
        <v>4799</v>
      </c>
    </row>
    <row r="4298" spans="1:13">
      <c r="A4298" s="40">
        <f t="shared" si="72"/>
        <v>4297</v>
      </c>
      <c r="B4298" s="34" t="s">
        <v>8</v>
      </c>
      <c r="C4298" s="34" t="s">
        <v>13289</v>
      </c>
      <c r="D4298" s="8" t="s">
        <v>13637</v>
      </c>
      <c r="F4298" s="8" t="s">
        <v>4879</v>
      </c>
      <c r="G4298" s="34" t="s">
        <v>13</v>
      </c>
      <c r="H4298" s="34" t="str">
        <f>IFERROR(VLOOKUP(Table2[[#This Row], [Ticket]],Okey!A:B,2,0),"")</f>
        <v/>
      </c>
      <c r="I4298" s="34"/>
      <c r="J4298" s="34" t="str">
        <f>VLOOKUP(Table2[[#This Row],[Author]],People!A:B,2,0)</f>
        <v>LS</v>
      </c>
      <c r="L4298" s="34"/>
      <c r="M4298" s="34" t="s">
        <v>4799</v>
      </c>
    </row>
    <row r="4299" spans="1:13">
      <c r="A4299" s="40">
        <f t="shared" si="72"/>
        <v>4298</v>
      </c>
      <c r="B4299" s="34" t="s">
        <v>8</v>
      </c>
      <c r="C4299" s="34" t="s">
        <v>13289</v>
      </c>
      <c r="D4299" s="8" t="s">
        <v>13638</v>
      </c>
      <c r="F4299" s="8" t="s">
        <v>4879</v>
      </c>
      <c r="G4299" s="34" t="s">
        <v>13</v>
      </c>
      <c r="H4299" s="34" t="str">
        <f>IFERROR(VLOOKUP(Table2[[#This Row], [Ticket]],Okey!A:B,2,0),"")</f>
        <v/>
      </c>
      <c r="I4299" s="34"/>
      <c r="J4299" s="34" t="str">
        <f>VLOOKUP(Table2[[#This Row],[Author]],People!A:B,2,0)</f>
        <v>LS</v>
      </c>
      <c r="L4299" s="34"/>
      <c r="M4299" s="34" t="s">
        <v>4799</v>
      </c>
    </row>
    <row r="4300" spans="1:13">
      <c r="A4300" s="40">
        <f t="shared" si="72"/>
        <v>4299</v>
      </c>
      <c r="B4300" s="34" t="s">
        <v>8</v>
      </c>
      <c r="C4300" s="34" t="s">
        <v>13289</v>
      </c>
      <c r="D4300" s="8" t="s">
        <v>13639</v>
      </c>
      <c r="F4300" s="8" t="s">
        <v>4879</v>
      </c>
      <c r="G4300" s="34" t="s">
        <v>13</v>
      </c>
      <c r="H4300" s="34" t="str">
        <f>IFERROR(VLOOKUP(Table2[[#This Row], [Ticket]],Okey!A:B,2,0),"")</f>
        <v/>
      </c>
      <c r="I4300" s="34"/>
      <c r="J4300" s="34" t="str">
        <f>VLOOKUP(Table2[[#This Row],[Author]],People!A:B,2,0)</f>
        <v>LS</v>
      </c>
      <c r="L4300" s="34"/>
      <c r="M4300" s="34" t="s">
        <v>4799</v>
      </c>
    </row>
    <row r="4301" spans="1:13">
      <c r="A4301" s="40">
        <f t="shared" si="72"/>
        <v>4300</v>
      </c>
      <c r="B4301" s="34" t="s">
        <v>8</v>
      </c>
      <c r="C4301" s="34" t="s">
        <v>13289</v>
      </c>
      <c r="D4301" s="8" t="s">
        <v>13640</v>
      </c>
      <c r="F4301" s="8" t="s">
        <v>4879</v>
      </c>
      <c r="G4301" s="34" t="s">
        <v>13</v>
      </c>
      <c r="H4301" s="34" t="str">
        <f>IFERROR(VLOOKUP(Table2[[#This Row], [Ticket]],Okey!A:B,2,0),"")</f>
        <v/>
      </c>
      <c r="I4301" s="34"/>
      <c r="J4301" s="34" t="str">
        <f>VLOOKUP(Table2[[#This Row],[Author]],People!A:B,2,0)</f>
        <v>LS</v>
      </c>
      <c r="L4301" s="34"/>
      <c r="M4301" s="34" t="s">
        <v>4799</v>
      </c>
    </row>
    <row r="4302" spans="1:13">
      <c r="A4302" s="40">
        <f t="shared" si="72"/>
        <v>4301</v>
      </c>
      <c r="B4302" s="34" t="s">
        <v>8</v>
      </c>
      <c r="C4302" s="34" t="s">
        <v>13289</v>
      </c>
      <c r="D4302" s="8" t="s">
        <v>13641</v>
      </c>
      <c r="F4302" s="8" t="s">
        <v>4879</v>
      </c>
      <c r="G4302" s="34" t="s">
        <v>13</v>
      </c>
      <c r="H4302" s="34" t="str">
        <f>IFERROR(VLOOKUP(Table2[[#This Row], [Ticket]],Okey!A:B,2,0),"")</f>
        <v/>
      </c>
      <c r="I4302" s="34"/>
      <c r="J4302" s="34" t="str">
        <f>VLOOKUP(Table2[[#This Row],[Author]],People!A:B,2,0)</f>
        <v>LS</v>
      </c>
      <c r="L4302" s="34"/>
      <c r="M4302" s="34" t="s">
        <v>4799</v>
      </c>
    </row>
    <row r="4303" spans="1:13">
      <c r="A4303" s="40">
        <f t="shared" si="72"/>
        <v>4302</v>
      </c>
      <c r="B4303" s="34" t="s">
        <v>8</v>
      </c>
      <c r="C4303" s="34" t="s">
        <v>13289</v>
      </c>
      <c r="D4303" s="8" t="s">
        <v>13642</v>
      </c>
      <c r="F4303" s="8" t="s">
        <v>12330</v>
      </c>
      <c r="G4303" s="34" t="s">
        <v>13</v>
      </c>
      <c r="H4303" s="34" t="str">
        <f>IFERROR(VLOOKUP(Table2[[#This Row], [Ticket]],Okey!A:B,2,0),"")</f>
        <v/>
      </c>
      <c r="I4303" s="34"/>
      <c r="J4303" s="34" t="str">
        <f>VLOOKUP(Table2[[#This Row],[Author]],People!A:B,2,0)</f>
        <v>LS</v>
      </c>
      <c r="L4303" s="34"/>
      <c r="M4303" s="34" t="s">
        <v>4799</v>
      </c>
    </row>
    <row r="4304" spans="1:13">
      <c r="A4304" s="40">
        <f t="shared" si="72"/>
        <v>4303</v>
      </c>
      <c r="B4304" s="34" t="s">
        <v>8</v>
      </c>
      <c r="C4304" s="34" t="s">
        <v>13289</v>
      </c>
      <c r="D4304" s="8" t="s">
        <v>13643</v>
      </c>
      <c r="F4304" s="8" t="s">
        <v>13294</v>
      </c>
      <c r="G4304" s="34" t="s">
        <v>13</v>
      </c>
      <c r="H4304" s="34" t="str">
        <f>IFERROR(VLOOKUP(Table2[[#This Row], [Ticket]],Okey!A:B,2,0),"")</f>
        <v/>
      </c>
      <c r="I4304" s="34"/>
      <c r="J4304" s="34" t="str">
        <f>VLOOKUP(Table2[[#This Row],[Author]],People!A:B,2,0)</f>
        <v>LS</v>
      </c>
      <c r="L4304" s="34"/>
      <c r="M4304" s="34" t="s">
        <v>4799</v>
      </c>
    </row>
    <row r="4305" spans="1:13">
      <c r="A4305" s="40">
        <f t="shared" si="72"/>
        <v>4304</v>
      </c>
      <c r="B4305" s="34" t="s">
        <v>8</v>
      </c>
      <c r="C4305" s="34" t="s">
        <v>13289</v>
      </c>
      <c r="D4305" s="8" t="s">
        <v>8576</v>
      </c>
      <c r="F4305" s="8" t="s">
        <v>13673</v>
      </c>
      <c r="G4305" s="34" t="s">
        <v>13</v>
      </c>
      <c r="H4305" s="34" t="str">
        <f>IFERROR(VLOOKUP(Table2[[#This Row], [Ticket]],Okey!A:B,2,0),"")</f>
        <v/>
      </c>
      <c r="I4305" s="34"/>
      <c r="J4305" s="34" t="str">
        <f>VLOOKUP(Table2[[#This Row],[Author]],People!A:B,2,0)</f>
        <v>LS</v>
      </c>
      <c r="L4305" s="34"/>
      <c r="M4305" s="34" t="s">
        <v>4799</v>
      </c>
    </row>
    <row r="4306" spans="1:13">
      <c r="A4306" s="40">
        <f t="shared" si="72"/>
        <v>4305</v>
      </c>
      <c r="B4306" s="34" t="s">
        <v>8</v>
      </c>
      <c r="C4306" s="34" t="s">
        <v>13289</v>
      </c>
      <c r="D4306" s="8" t="s">
        <v>8577</v>
      </c>
      <c r="F4306" s="8" t="s">
        <v>13673</v>
      </c>
      <c r="G4306" s="34" t="s">
        <v>13</v>
      </c>
      <c r="H4306" s="34" t="str">
        <f>IFERROR(VLOOKUP(Table2[[#This Row], [Ticket]],Okey!A:B,2,0),"")</f>
        <v/>
      </c>
      <c r="I4306" s="34"/>
      <c r="J4306" s="34" t="str">
        <f>VLOOKUP(Table2[[#This Row],[Author]],People!A:B,2,0)</f>
        <v>LS</v>
      </c>
      <c r="L4306" s="34"/>
      <c r="M4306" s="34" t="s">
        <v>4799</v>
      </c>
    </row>
    <row r="4307" spans="1:13">
      <c r="A4307" s="40">
        <f t="shared" si="72"/>
        <v>4306</v>
      </c>
      <c r="B4307" s="34" t="s">
        <v>8</v>
      </c>
      <c r="C4307" s="34" t="s">
        <v>13289</v>
      </c>
      <c r="D4307" s="8" t="s">
        <v>8578</v>
      </c>
      <c r="F4307" s="8" t="s">
        <v>13673</v>
      </c>
      <c r="G4307" s="34" t="s">
        <v>13</v>
      </c>
      <c r="H4307" s="34" t="str">
        <f>IFERROR(VLOOKUP(Table2[[#This Row], [Ticket]],Okey!A:B,2,0),"")</f>
        <v/>
      </c>
      <c r="I4307" s="34"/>
      <c r="J4307" s="34" t="str">
        <f>VLOOKUP(Table2[[#This Row],[Author]],People!A:B,2,0)</f>
        <v>LS</v>
      </c>
      <c r="L4307" s="34"/>
      <c r="M4307" s="34" t="s">
        <v>4799</v>
      </c>
    </row>
    <row r="4308" spans="1:13">
      <c r="A4308" s="40">
        <f t="shared" si="72"/>
        <v>4307</v>
      </c>
      <c r="B4308" s="34" t="s">
        <v>8</v>
      </c>
      <c r="C4308" s="34" t="s">
        <v>13289</v>
      </c>
      <c r="D4308" s="8" t="s">
        <v>5516</v>
      </c>
      <c r="F4308" s="8" t="s">
        <v>1374</v>
      </c>
      <c r="G4308" s="34" t="s">
        <v>13</v>
      </c>
      <c r="H4308" s="34" t="str">
        <f>IFERROR(VLOOKUP(Table2[[#This Row], [Ticket]],Okey!A:B,2,0),"")</f>
        <v/>
      </c>
      <c r="I4308" s="34"/>
      <c r="J4308" s="34" t="str">
        <f>VLOOKUP(Table2[[#This Row],[Author]],People!A:B,2,0)</f>
        <v>LS</v>
      </c>
      <c r="L4308" s="34"/>
      <c r="M4308" s="34" t="s">
        <v>4799</v>
      </c>
    </row>
    <row r="4309" spans="1:13">
      <c r="A4309" s="40">
        <f t="shared" si="72"/>
        <v>4308</v>
      </c>
      <c r="B4309" s="34" t="s">
        <v>8</v>
      </c>
      <c r="C4309" s="34" t="s">
        <v>13289</v>
      </c>
      <c r="D4309" s="8" t="s">
        <v>13323</v>
      </c>
      <c r="F4309" s="8" t="s">
        <v>1470</v>
      </c>
      <c r="G4309" s="34" t="s">
        <v>13</v>
      </c>
      <c r="H4309" s="34" t="str">
        <f>IFERROR(VLOOKUP(Table2[[#This Row], [Ticket]],Okey!A:B,2,0),"")</f>
        <v/>
      </c>
      <c r="I4309" s="34"/>
      <c r="J4309" s="34" t="str">
        <f>VLOOKUP(Table2[[#This Row],[Author]],People!A:B,2,0)</f>
        <v>LS</v>
      </c>
      <c r="L4309" s="34"/>
      <c r="M4309" s="34" t="s">
        <v>4799</v>
      </c>
    </row>
    <row r="4310" spans="1:13">
      <c r="A4310" s="40">
        <f t="shared" si="72"/>
        <v>4309</v>
      </c>
      <c r="B4310" s="34" t="s">
        <v>8</v>
      </c>
      <c r="C4310" s="34" t="s">
        <v>13289</v>
      </c>
      <c r="D4310" s="8" t="s">
        <v>13644</v>
      </c>
      <c r="F4310" s="8" t="s">
        <v>13322</v>
      </c>
      <c r="G4310" s="34" t="s">
        <v>13</v>
      </c>
      <c r="H4310" s="34" t="str">
        <f>IFERROR(VLOOKUP(Table2[[#This Row], [Ticket]],Okey!A:B,2,0),"")</f>
        <v/>
      </c>
      <c r="I4310" s="34"/>
      <c r="J4310" s="34" t="str">
        <f>VLOOKUP(Table2[[#This Row],[Author]],People!A:B,2,0)</f>
        <v>LS</v>
      </c>
      <c r="L4310" s="34"/>
      <c r="M4310" s="34" t="s">
        <v>4799</v>
      </c>
    </row>
    <row r="4311" spans="1:13">
      <c r="A4311" s="40">
        <f t="shared" si="72"/>
        <v>4310</v>
      </c>
      <c r="B4311" s="34" t="s">
        <v>8</v>
      </c>
      <c r="C4311" s="34" t="s">
        <v>13289</v>
      </c>
      <c r="D4311" s="8" t="s">
        <v>13645</v>
      </c>
      <c r="F4311" s="8" t="s">
        <v>13322</v>
      </c>
      <c r="G4311" s="34" t="s">
        <v>13</v>
      </c>
      <c r="H4311" s="34" t="str">
        <f>IFERROR(VLOOKUP(Table2[[#This Row], [Ticket]],Okey!A:B,2,0),"")</f>
        <v/>
      </c>
      <c r="I4311" s="34"/>
      <c r="J4311" s="34" t="str">
        <f>VLOOKUP(Table2[[#This Row],[Author]],People!A:B,2,0)</f>
        <v>LS</v>
      </c>
      <c r="L4311" s="34"/>
      <c r="M4311" s="34" t="s">
        <v>4799</v>
      </c>
    </row>
    <row r="4312" spans="1:13">
      <c r="A4312" s="40">
        <f t="shared" si="72"/>
        <v>4311</v>
      </c>
      <c r="B4312" s="34" t="s">
        <v>8</v>
      </c>
      <c r="C4312" s="34" t="s">
        <v>13289</v>
      </c>
      <c r="D4312" s="8" t="s">
        <v>13646</v>
      </c>
      <c r="F4312" s="8" t="s">
        <v>13325</v>
      </c>
      <c r="G4312" s="34" t="s">
        <v>13</v>
      </c>
      <c r="H4312" s="34" t="str">
        <f>IFERROR(VLOOKUP(Table2[[#This Row], [Ticket]],Okey!A:B,2,0),"")</f>
        <v/>
      </c>
      <c r="I4312" s="34"/>
      <c r="J4312" s="34" t="str">
        <f>VLOOKUP(Table2[[#This Row],[Author]],People!A:B,2,0)</f>
        <v>LS</v>
      </c>
      <c r="L4312" s="34"/>
      <c r="M4312" s="34" t="s">
        <v>4799</v>
      </c>
    </row>
    <row r="4313" spans="1:13">
      <c r="A4313" s="40">
        <f t="shared" si="72"/>
        <v>4312</v>
      </c>
      <c r="B4313" s="34" t="s">
        <v>8</v>
      </c>
      <c r="C4313" s="34" t="s">
        <v>13289</v>
      </c>
      <c r="D4313" s="8" t="s">
        <v>13647</v>
      </c>
      <c r="F4313" s="8" t="s">
        <v>13325</v>
      </c>
      <c r="G4313" s="34" t="s">
        <v>13</v>
      </c>
      <c r="H4313" s="34" t="str">
        <f>IFERROR(VLOOKUP(Table2[[#This Row], [Ticket]],Okey!A:B,2,0),"")</f>
        <v/>
      </c>
      <c r="I4313" s="34"/>
      <c r="J4313" s="34" t="str">
        <f>VLOOKUP(Table2[[#This Row],[Author]],People!A:B,2,0)</f>
        <v>LS</v>
      </c>
      <c r="L4313" s="34"/>
      <c r="M4313" s="34" t="s">
        <v>4799</v>
      </c>
    </row>
    <row r="4314" spans="1:13">
      <c r="A4314" s="40">
        <f t="shared" si="72"/>
        <v>4313</v>
      </c>
      <c r="B4314" s="34" t="s">
        <v>8</v>
      </c>
      <c r="C4314" s="34" t="s">
        <v>13289</v>
      </c>
      <c r="D4314" s="8" t="s">
        <v>13648</v>
      </c>
      <c r="F4314" s="8" t="s">
        <v>13325</v>
      </c>
      <c r="G4314" s="34" t="s">
        <v>13</v>
      </c>
      <c r="H4314" s="34" t="str">
        <f>IFERROR(VLOOKUP(Table2[[#This Row], [Ticket]],Okey!A:B,2,0),"")</f>
        <v/>
      </c>
      <c r="I4314" s="34"/>
      <c r="J4314" s="34" t="str">
        <f>VLOOKUP(Table2[[#This Row],[Author]],People!A:B,2,0)</f>
        <v>LS</v>
      </c>
      <c r="L4314" s="34"/>
      <c r="M4314" s="34" t="s">
        <v>4799</v>
      </c>
    </row>
    <row r="4315" spans="1:13">
      <c r="A4315" s="40">
        <f t="shared" si="72"/>
        <v>4314</v>
      </c>
      <c r="B4315" s="34" t="s">
        <v>8</v>
      </c>
      <c r="C4315" s="34" t="s">
        <v>13289</v>
      </c>
      <c r="D4315" s="8" t="s">
        <v>13649</v>
      </c>
      <c r="F4315" s="8" t="s">
        <v>13322</v>
      </c>
      <c r="G4315" s="34" t="s">
        <v>13</v>
      </c>
      <c r="H4315" s="34" t="str">
        <f>IFERROR(VLOOKUP(Table2[[#This Row], [Ticket]],Okey!A:B,2,0),"")</f>
        <v/>
      </c>
      <c r="I4315" s="34"/>
      <c r="J4315" s="34" t="str">
        <f>VLOOKUP(Table2[[#This Row],[Author]],People!A:B,2,0)</f>
        <v>LS</v>
      </c>
      <c r="L4315" s="34"/>
      <c r="M4315" s="34" t="s">
        <v>4799</v>
      </c>
    </row>
    <row r="4316" spans="1:13">
      <c r="A4316" s="40">
        <f t="shared" si="72"/>
        <v>4315</v>
      </c>
      <c r="B4316" s="34" t="s">
        <v>8</v>
      </c>
      <c r="C4316" s="34" t="s">
        <v>13289</v>
      </c>
      <c r="D4316" s="8" t="s">
        <v>13650</v>
      </c>
      <c r="F4316" s="8" t="s">
        <v>8305</v>
      </c>
      <c r="G4316" s="34" t="s">
        <v>13</v>
      </c>
      <c r="H4316" s="34" t="str">
        <f>IFERROR(VLOOKUP(Table2[[#This Row], [Ticket]],Okey!A:B,2,0),"")</f>
        <v/>
      </c>
      <c r="I4316" s="34"/>
      <c r="J4316" s="34" t="str">
        <f>VLOOKUP(Table2[[#This Row],[Author]],People!A:B,2,0)</f>
        <v>LS</v>
      </c>
      <c r="L4316" s="34"/>
      <c r="M4316" s="34" t="s">
        <v>4799</v>
      </c>
    </row>
    <row r="4317" spans="1:13">
      <c r="A4317" s="40">
        <f t="shared" si="72"/>
        <v>4316</v>
      </c>
      <c r="B4317" s="34" t="s">
        <v>8</v>
      </c>
      <c r="C4317" s="34" t="s">
        <v>13289</v>
      </c>
      <c r="D4317" s="8" t="s">
        <v>13651</v>
      </c>
      <c r="F4317" s="8" t="s">
        <v>13331</v>
      </c>
      <c r="G4317" s="34" t="s">
        <v>13</v>
      </c>
      <c r="H4317" s="34" t="str">
        <f>IFERROR(VLOOKUP(Table2[[#This Row], [Ticket]],Okey!A:B,2,0),"")</f>
        <v/>
      </c>
      <c r="I4317" s="34"/>
      <c r="J4317" s="34" t="str">
        <f>VLOOKUP(Table2[[#This Row],[Author]],People!A:B,2,0)</f>
        <v>LS</v>
      </c>
      <c r="L4317" s="34"/>
      <c r="M4317" s="34" t="s">
        <v>4799</v>
      </c>
    </row>
    <row r="4318" spans="1:13">
      <c r="A4318" s="40">
        <f t="shared" si="72"/>
        <v>4317</v>
      </c>
      <c r="B4318" s="34" t="s">
        <v>8</v>
      </c>
      <c r="C4318" s="34" t="s">
        <v>13289</v>
      </c>
      <c r="D4318" s="8" t="s">
        <v>13652</v>
      </c>
      <c r="F4318" s="8" t="s">
        <v>13331</v>
      </c>
      <c r="G4318" s="34" t="s">
        <v>13</v>
      </c>
      <c r="H4318" s="34" t="str">
        <f>IFERROR(VLOOKUP(Table2[[#This Row], [Ticket]],Okey!A:B,2,0),"")</f>
        <v/>
      </c>
      <c r="I4318" s="34"/>
      <c r="J4318" s="34" t="str">
        <f>VLOOKUP(Table2[[#This Row],[Author]],People!A:B,2,0)</f>
        <v>LS</v>
      </c>
      <c r="L4318" s="34"/>
      <c r="M4318" s="34" t="s">
        <v>4799</v>
      </c>
    </row>
    <row r="4319" spans="1:13">
      <c r="A4319" s="40">
        <f t="shared" si="72"/>
        <v>4318</v>
      </c>
      <c r="B4319" s="34" t="s">
        <v>8</v>
      </c>
      <c r="C4319" s="34" t="s">
        <v>13289</v>
      </c>
      <c r="D4319" s="8" t="s">
        <v>13653</v>
      </c>
      <c r="F4319" s="8" t="s">
        <v>13331</v>
      </c>
      <c r="G4319" s="34" t="s">
        <v>13</v>
      </c>
      <c r="H4319" s="34" t="str">
        <f>IFERROR(VLOOKUP(Table2[[#This Row], [Ticket]],Okey!A:B,2,0),"")</f>
        <v/>
      </c>
      <c r="I4319" s="34"/>
      <c r="J4319" s="34" t="str">
        <f>VLOOKUP(Table2[[#This Row],[Author]],People!A:B,2,0)</f>
        <v>LS</v>
      </c>
      <c r="L4319" s="34"/>
      <c r="M4319" s="34" t="s">
        <v>4799</v>
      </c>
    </row>
    <row r="4320" spans="1:13">
      <c r="A4320" s="40">
        <f t="shared" si="72"/>
        <v>4319</v>
      </c>
      <c r="B4320" s="34" t="s">
        <v>8</v>
      </c>
      <c r="C4320" s="34" t="s">
        <v>13289</v>
      </c>
      <c r="D4320" s="8" t="s">
        <v>13654</v>
      </c>
      <c r="F4320" s="8" t="s">
        <v>13331</v>
      </c>
      <c r="G4320" s="34" t="s">
        <v>13</v>
      </c>
      <c r="H4320" s="34" t="str">
        <f>IFERROR(VLOOKUP(Table2[[#This Row], [Ticket]],Okey!A:B,2,0),"")</f>
        <v/>
      </c>
      <c r="I4320" s="34"/>
      <c r="J4320" s="34" t="str">
        <f>VLOOKUP(Table2[[#This Row],[Author]],People!A:B,2,0)</f>
        <v>LS</v>
      </c>
      <c r="L4320" s="34"/>
      <c r="M4320" s="34" t="s">
        <v>4799</v>
      </c>
    </row>
    <row r="4321" spans="1:13">
      <c r="A4321" s="40">
        <f t="shared" si="72"/>
        <v>4320</v>
      </c>
      <c r="B4321" s="34" t="s">
        <v>8</v>
      </c>
      <c r="C4321" s="34" t="s">
        <v>13289</v>
      </c>
      <c r="D4321" s="8" t="s">
        <v>13655</v>
      </c>
      <c r="F4321" s="8" t="s">
        <v>13331</v>
      </c>
      <c r="G4321" s="34" t="s">
        <v>13</v>
      </c>
      <c r="H4321" s="34" t="str">
        <f>IFERROR(VLOOKUP(Table2[[#This Row], [Ticket]],Okey!A:B,2,0),"")</f>
        <v/>
      </c>
      <c r="I4321" s="34"/>
      <c r="J4321" s="34" t="str">
        <f>VLOOKUP(Table2[[#This Row],[Author]],People!A:B,2,0)</f>
        <v>LS</v>
      </c>
      <c r="L4321" s="34"/>
      <c r="M4321" s="34" t="s">
        <v>4799</v>
      </c>
    </row>
    <row r="4322" spans="1:13">
      <c r="A4322" s="40">
        <f t="shared" si="72"/>
        <v>4321</v>
      </c>
      <c r="B4322" s="34" t="s">
        <v>8</v>
      </c>
      <c r="C4322" s="34" t="s">
        <v>13289</v>
      </c>
      <c r="D4322" s="8" t="s">
        <v>13656</v>
      </c>
      <c r="F4322" s="8" t="s">
        <v>13331</v>
      </c>
      <c r="G4322" s="34" t="s">
        <v>13</v>
      </c>
      <c r="H4322" s="34" t="str">
        <f>IFERROR(VLOOKUP(Table2[[#This Row], [Ticket]],Okey!A:B,2,0),"")</f>
        <v/>
      </c>
      <c r="I4322" s="34"/>
      <c r="J4322" s="34" t="str">
        <f>VLOOKUP(Table2[[#This Row],[Author]],People!A:B,2,0)</f>
        <v>LS</v>
      </c>
      <c r="L4322" s="34"/>
      <c r="M4322" s="34" t="s">
        <v>4799</v>
      </c>
    </row>
    <row r="4323" spans="1:13">
      <c r="A4323" s="40">
        <f t="shared" ref="A4323:A4386" si="73">1+A4322</f>
        <v>4322</v>
      </c>
      <c r="B4323" s="34" t="s">
        <v>8</v>
      </c>
      <c r="C4323" s="34" t="s">
        <v>13289</v>
      </c>
      <c r="D4323" s="8" t="s">
        <v>13657</v>
      </c>
      <c r="F4323" s="8" t="s">
        <v>13331</v>
      </c>
      <c r="G4323" s="34" t="s">
        <v>13</v>
      </c>
      <c r="H4323" s="34" t="str">
        <f>IFERROR(VLOOKUP(Table2[[#This Row], [Ticket]],Okey!A:B,2,0),"")</f>
        <v/>
      </c>
      <c r="I4323" s="34"/>
      <c r="J4323" s="34" t="str">
        <f>VLOOKUP(Table2[[#This Row],[Author]],People!A:B,2,0)</f>
        <v>LS</v>
      </c>
      <c r="L4323" s="34"/>
      <c r="M4323" s="34" t="s">
        <v>4799</v>
      </c>
    </row>
    <row r="4324" spans="1:13">
      <c r="A4324" s="40">
        <f t="shared" si="73"/>
        <v>4323</v>
      </c>
      <c r="B4324" s="34" t="s">
        <v>8</v>
      </c>
      <c r="C4324" s="34" t="s">
        <v>13289</v>
      </c>
      <c r="D4324" s="8" t="s">
        <v>13658</v>
      </c>
      <c r="F4324" s="8" t="s">
        <v>13331</v>
      </c>
      <c r="G4324" s="34" t="s">
        <v>13</v>
      </c>
      <c r="H4324" s="34" t="str">
        <f>IFERROR(VLOOKUP(Table2[[#This Row], [Ticket]],Okey!A:B,2,0),"")</f>
        <v/>
      </c>
      <c r="I4324" s="34"/>
      <c r="J4324" s="34" t="str">
        <f>VLOOKUP(Table2[[#This Row],[Author]],People!A:B,2,0)</f>
        <v>LS</v>
      </c>
      <c r="L4324" s="34"/>
      <c r="M4324" s="34" t="s">
        <v>4799</v>
      </c>
    </row>
    <row r="4325" spans="1:13">
      <c r="A4325" s="40">
        <f t="shared" si="73"/>
        <v>4324</v>
      </c>
      <c r="B4325" s="34" t="s">
        <v>8</v>
      </c>
      <c r="C4325" s="34" t="s">
        <v>13289</v>
      </c>
      <c r="D4325" s="8" t="s">
        <v>13659</v>
      </c>
      <c r="F4325" s="8" t="s">
        <v>13331</v>
      </c>
      <c r="G4325" s="34" t="s">
        <v>13</v>
      </c>
      <c r="H4325" s="34" t="str">
        <f>IFERROR(VLOOKUP(Table2[[#This Row], [Ticket]],Okey!A:B,2,0),"")</f>
        <v/>
      </c>
      <c r="I4325" s="34"/>
      <c r="J4325" s="34" t="str">
        <f>VLOOKUP(Table2[[#This Row],[Author]],People!A:B,2,0)</f>
        <v>LS</v>
      </c>
      <c r="L4325" s="34"/>
      <c r="M4325" s="34" t="s">
        <v>4799</v>
      </c>
    </row>
    <row r="4326" spans="1:13">
      <c r="A4326" s="40">
        <f t="shared" si="73"/>
        <v>4325</v>
      </c>
      <c r="B4326" s="34" t="s">
        <v>8</v>
      </c>
      <c r="C4326" s="34" t="s">
        <v>13289</v>
      </c>
      <c r="D4326" s="8" t="s">
        <v>13660</v>
      </c>
      <c r="F4326" s="8" t="s">
        <v>13331</v>
      </c>
      <c r="G4326" s="34" t="s">
        <v>13</v>
      </c>
      <c r="H4326" s="34" t="str">
        <f>IFERROR(VLOOKUP(Table2[[#This Row], [Ticket]],Okey!A:B,2,0),"")</f>
        <v/>
      </c>
      <c r="I4326" s="34"/>
      <c r="J4326" s="34" t="str">
        <f>VLOOKUP(Table2[[#This Row],[Author]],People!A:B,2,0)</f>
        <v>LS</v>
      </c>
      <c r="L4326" s="34"/>
      <c r="M4326" s="34" t="s">
        <v>4799</v>
      </c>
    </row>
    <row r="4327" spans="1:13">
      <c r="A4327" s="40">
        <f t="shared" si="73"/>
        <v>4326</v>
      </c>
      <c r="B4327" s="34" t="s">
        <v>8</v>
      </c>
      <c r="C4327" s="34" t="s">
        <v>13289</v>
      </c>
      <c r="D4327" s="8" t="s">
        <v>13661</v>
      </c>
      <c r="F4327" s="8" t="s">
        <v>13331</v>
      </c>
      <c r="G4327" s="34" t="s">
        <v>13</v>
      </c>
      <c r="H4327" s="34" t="str">
        <f>IFERROR(VLOOKUP(Table2[[#This Row], [Ticket]],Okey!A:B,2,0),"")</f>
        <v/>
      </c>
      <c r="I4327" s="34"/>
      <c r="J4327" s="34" t="str">
        <f>VLOOKUP(Table2[[#This Row],[Author]],People!A:B,2,0)</f>
        <v>LS</v>
      </c>
      <c r="L4327" s="34"/>
      <c r="M4327" s="34" t="s">
        <v>4799</v>
      </c>
    </row>
    <row r="4328" spans="1:13">
      <c r="A4328" s="40">
        <f t="shared" si="73"/>
        <v>4327</v>
      </c>
      <c r="B4328" s="34" t="s">
        <v>8</v>
      </c>
      <c r="C4328" s="34" t="s">
        <v>13289</v>
      </c>
      <c r="D4328" s="8" t="s">
        <v>13662</v>
      </c>
      <c r="F4328" s="8" t="s">
        <v>13332</v>
      </c>
      <c r="G4328" s="34" t="s">
        <v>13</v>
      </c>
      <c r="H4328" s="34" t="str">
        <f>IFERROR(VLOOKUP(Table2[[#This Row], [Ticket]],Okey!A:B,2,0),"")</f>
        <v/>
      </c>
      <c r="I4328" s="34"/>
      <c r="J4328" s="34" t="str">
        <f>VLOOKUP(Table2[[#This Row],[Author]],People!A:B,2,0)</f>
        <v>LS</v>
      </c>
      <c r="L4328" s="34"/>
      <c r="M4328" s="34" t="s">
        <v>4799</v>
      </c>
    </row>
    <row r="4329" spans="1:13">
      <c r="A4329" s="40">
        <f t="shared" si="73"/>
        <v>4328</v>
      </c>
      <c r="B4329" s="34" t="s">
        <v>8</v>
      </c>
      <c r="C4329" s="34" t="s">
        <v>13289</v>
      </c>
      <c r="D4329" s="8" t="s">
        <v>13663</v>
      </c>
      <c r="F4329" s="8" t="s">
        <v>13332</v>
      </c>
      <c r="G4329" s="34" t="s">
        <v>13</v>
      </c>
      <c r="H4329" s="34" t="str">
        <f>IFERROR(VLOOKUP(Table2[[#This Row], [Ticket]],Okey!A:B,2,0),"")</f>
        <v/>
      </c>
      <c r="I4329" s="34"/>
      <c r="J4329" s="34" t="str">
        <f>VLOOKUP(Table2[[#This Row],[Author]],People!A:B,2,0)</f>
        <v>LS</v>
      </c>
      <c r="L4329" s="34"/>
      <c r="M4329" s="34" t="s">
        <v>4799</v>
      </c>
    </row>
    <row r="4330" spans="1:13">
      <c r="A4330" s="40">
        <f t="shared" si="73"/>
        <v>4329</v>
      </c>
      <c r="B4330" s="34" t="s">
        <v>8</v>
      </c>
      <c r="C4330" s="34" t="s">
        <v>13289</v>
      </c>
      <c r="D4330" s="8" t="s">
        <v>13664</v>
      </c>
      <c r="F4330" s="8" t="s">
        <v>13332</v>
      </c>
      <c r="G4330" s="34" t="s">
        <v>13</v>
      </c>
      <c r="H4330" s="34" t="str">
        <f>IFERROR(VLOOKUP(Table2[[#This Row], [Ticket]],Okey!A:B,2,0),"")</f>
        <v/>
      </c>
      <c r="I4330" s="34"/>
      <c r="J4330" s="34" t="str">
        <f>VLOOKUP(Table2[[#This Row],[Author]],People!A:B,2,0)</f>
        <v>LS</v>
      </c>
      <c r="L4330" s="34"/>
      <c r="M4330" s="34" t="s">
        <v>4799</v>
      </c>
    </row>
    <row r="4331" spans="1:13">
      <c r="A4331" s="40">
        <f t="shared" si="73"/>
        <v>4330</v>
      </c>
      <c r="B4331" s="34" t="s">
        <v>8</v>
      </c>
      <c r="C4331" s="34" t="s">
        <v>13289</v>
      </c>
      <c r="D4331" s="8" t="s">
        <v>13665</v>
      </c>
      <c r="F4331" s="8" t="s">
        <v>13334</v>
      </c>
      <c r="G4331" s="34" t="s">
        <v>13</v>
      </c>
      <c r="H4331" s="34" t="str">
        <f>IFERROR(VLOOKUP(Table2[[#This Row], [Ticket]],Okey!A:B,2,0),"")</f>
        <v/>
      </c>
      <c r="I4331" s="34"/>
      <c r="J4331" s="34" t="str">
        <f>VLOOKUP(Table2[[#This Row],[Author]],People!A:B,2,0)</f>
        <v>LS</v>
      </c>
      <c r="L4331" s="34"/>
      <c r="M4331" s="34" t="s">
        <v>4799</v>
      </c>
    </row>
    <row r="4332" spans="1:13">
      <c r="A4332" s="40">
        <f t="shared" si="73"/>
        <v>4331</v>
      </c>
      <c r="B4332" s="34" t="s">
        <v>8</v>
      </c>
      <c r="C4332" s="34" t="s">
        <v>13289</v>
      </c>
      <c r="D4332" s="8" t="s">
        <v>13666</v>
      </c>
      <c r="F4332" s="8" t="s">
        <v>13334</v>
      </c>
      <c r="G4332" s="34" t="s">
        <v>13</v>
      </c>
      <c r="H4332" s="34" t="str">
        <f>IFERROR(VLOOKUP(Table2[[#This Row], [Ticket]],Okey!A:B,2,0),"")</f>
        <v/>
      </c>
      <c r="I4332" s="34"/>
      <c r="J4332" s="34" t="str">
        <f>VLOOKUP(Table2[[#This Row],[Author]],People!A:B,2,0)</f>
        <v>LS</v>
      </c>
      <c r="L4332" s="34"/>
      <c r="M4332" s="34" t="s">
        <v>4799</v>
      </c>
    </row>
    <row r="4333" spans="1:13">
      <c r="A4333" s="40">
        <f t="shared" si="73"/>
        <v>4332</v>
      </c>
      <c r="B4333" s="34" t="s">
        <v>8</v>
      </c>
      <c r="C4333" s="34" t="s">
        <v>13289</v>
      </c>
      <c r="D4333" s="8" t="s">
        <v>6511</v>
      </c>
      <c r="F4333" s="8" t="s">
        <v>13335</v>
      </c>
      <c r="G4333" s="34" t="s">
        <v>13</v>
      </c>
      <c r="H4333" s="34" t="str">
        <f>IFERROR(VLOOKUP(Table2[[#This Row], [Ticket]],Okey!A:B,2,0),"")</f>
        <v/>
      </c>
      <c r="I4333" s="34"/>
      <c r="J4333" s="34" t="str">
        <f>VLOOKUP(Table2[[#This Row],[Author]],People!A:B,2,0)</f>
        <v>LS</v>
      </c>
      <c r="L4333" s="34"/>
      <c r="M4333" s="34" t="s">
        <v>4799</v>
      </c>
    </row>
    <row r="4334" spans="1:13">
      <c r="A4334" s="40">
        <f t="shared" si="73"/>
        <v>4333</v>
      </c>
      <c r="B4334" s="34" t="s">
        <v>8</v>
      </c>
      <c r="C4334" s="34" t="s">
        <v>13289</v>
      </c>
      <c r="D4334" s="8" t="s">
        <v>6560</v>
      </c>
      <c r="F4334" s="8" t="s">
        <v>13335</v>
      </c>
      <c r="G4334" s="34" t="s">
        <v>13</v>
      </c>
      <c r="H4334" s="34" t="str">
        <f>IFERROR(VLOOKUP(Table2[[#This Row], [Ticket]],Okey!A:B,2,0),"")</f>
        <v/>
      </c>
      <c r="I4334" s="34"/>
      <c r="J4334" s="34" t="str">
        <f>VLOOKUP(Table2[[#This Row],[Author]],People!A:B,2,0)</f>
        <v>LS</v>
      </c>
      <c r="L4334" s="34"/>
      <c r="M4334" s="34" t="s">
        <v>4799</v>
      </c>
    </row>
    <row r="4335" spans="1:13">
      <c r="A4335" s="40">
        <f t="shared" si="73"/>
        <v>4334</v>
      </c>
      <c r="B4335" s="34" t="s">
        <v>8</v>
      </c>
      <c r="C4335" s="34" t="s">
        <v>13289</v>
      </c>
      <c r="D4335" s="8" t="s">
        <v>13667</v>
      </c>
      <c r="F4335" s="8" t="s">
        <v>1415</v>
      </c>
      <c r="G4335" s="34" t="s">
        <v>13</v>
      </c>
      <c r="H4335" s="34" t="str">
        <f>IFERROR(VLOOKUP(Table2[[#This Row], [Ticket]],Okey!A:B,2,0),"")</f>
        <v/>
      </c>
      <c r="I4335" s="34"/>
      <c r="J4335" s="34" t="str">
        <f>VLOOKUP(Table2[[#This Row],[Author]],People!A:B,2,0)</f>
        <v>LS</v>
      </c>
      <c r="L4335" s="34"/>
      <c r="M4335" s="34" t="s">
        <v>4799</v>
      </c>
    </row>
    <row r="4336" spans="1:13">
      <c r="A4336" s="40">
        <f t="shared" si="73"/>
        <v>4335</v>
      </c>
      <c r="B4336" s="34" t="s">
        <v>8</v>
      </c>
      <c r="C4336" s="34" t="s">
        <v>13289</v>
      </c>
      <c r="D4336" s="8" t="s">
        <v>1411</v>
      </c>
      <c r="F4336" s="8" t="s">
        <v>1321</v>
      </c>
      <c r="G4336" s="34" t="s">
        <v>13</v>
      </c>
      <c r="H4336" s="34" t="str">
        <f>IFERROR(VLOOKUP(Table2[[#This Row], [Ticket]],Okey!A:B,2,0),"")</f>
        <v/>
      </c>
      <c r="I4336" s="34"/>
      <c r="J4336" s="34" t="str">
        <f>VLOOKUP(Table2[[#This Row],[Author]],People!A:B,2,0)</f>
        <v>LS</v>
      </c>
      <c r="L4336" s="34"/>
      <c r="M4336" s="34" t="s">
        <v>4799</v>
      </c>
    </row>
    <row r="4337" spans="1:13">
      <c r="A4337" s="40">
        <f t="shared" si="73"/>
        <v>4336</v>
      </c>
      <c r="B4337" s="34" t="s">
        <v>8</v>
      </c>
      <c r="C4337" s="34" t="s">
        <v>13289</v>
      </c>
      <c r="D4337" s="8" t="s">
        <v>1409</v>
      </c>
      <c r="F4337" s="8" t="s">
        <v>1321</v>
      </c>
      <c r="G4337" s="34" t="s">
        <v>13</v>
      </c>
      <c r="H4337" s="34" t="str">
        <f>IFERROR(VLOOKUP(Table2[[#This Row], [Ticket]],Okey!A:B,2,0),"")</f>
        <v/>
      </c>
      <c r="I4337" s="34"/>
      <c r="J4337" s="34" t="str">
        <f>VLOOKUP(Table2[[#This Row],[Author]],People!A:B,2,0)</f>
        <v>LS</v>
      </c>
      <c r="L4337" s="34"/>
      <c r="M4337" s="34" t="s">
        <v>4799</v>
      </c>
    </row>
    <row r="4338" spans="1:13">
      <c r="A4338" s="40">
        <f t="shared" si="73"/>
        <v>4337</v>
      </c>
      <c r="B4338" s="34" t="s">
        <v>8</v>
      </c>
      <c r="C4338" s="34" t="s">
        <v>13289</v>
      </c>
      <c r="D4338" s="8" t="s">
        <v>1780</v>
      </c>
      <c r="F4338" s="8" t="s">
        <v>5488</v>
      </c>
      <c r="G4338" s="34" t="s">
        <v>13</v>
      </c>
      <c r="H4338" s="34" t="str">
        <f>IFERROR(VLOOKUP(Table2[[#This Row], [Ticket]],Okey!A:B,2,0),"")</f>
        <v/>
      </c>
      <c r="I4338" s="34"/>
      <c r="J4338" s="34" t="str">
        <f>VLOOKUP(Table2[[#This Row],[Author]],People!A:B,2,0)</f>
        <v>LS</v>
      </c>
      <c r="L4338" s="34"/>
      <c r="M4338" s="34" t="s">
        <v>4799</v>
      </c>
    </row>
    <row r="4339" spans="1:13">
      <c r="A4339" s="40">
        <f t="shared" si="73"/>
        <v>4338</v>
      </c>
      <c r="B4339" s="34" t="s">
        <v>8</v>
      </c>
      <c r="C4339" s="34" t="s">
        <v>13289</v>
      </c>
      <c r="D4339" s="8" t="s">
        <v>13668</v>
      </c>
      <c r="F4339" s="8" t="s">
        <v>13355</v>
      </c>
      <c r="G4339" s="34" t="s">
        <v>13</v>
      </c>
      <c r="H4339" s="34" t="str">
        <f>IFERROR(VLOOKUP(Table2[[#This Row], [Ticket]],Okey!A:B,2,0),"")</f>
        <v/>
      </c>
      <c r="I4339" s="34"/>
      <c r="J4339" s="34" t="str">
        <f>VLOOKUP(Table2[[#This Row],[Author]],People!A:B,2,0)</f>
        <v>LS</v>
      </c>
      <c r="L4339" s="34"/>
      <c r="M4339" s="34" t="s">
        <v>4799</v>
      </c>
    </row>
    <row r="4340" spans="1:13">
      <c r="A4340" s="40">
        <f t="shared" si="73"/>
        <v>4339</v>
      </c>
      <c r="B4340" s="34" t="s">
        <v>8</v>
      </c>
      <c r="C4340" s="34" t="s">
        <v>13289</v>
      </c>
      <c r="D4340" s="8" t="s">
        <v>13669</v>
      </c>
      <c r="F4340" s="8" t="s">
        <v>3518</v>
      </c>
      <c r="G4340" s="34" t="s">
        <v>13</v>
      </c>
      <c r="H4340" s="34" t="str">
        <f>IFERROR(VLOOKUP(Table2[[#This Row], [Ticket]],Okey!A:B,2,0),"")</f>
        <v/>
      </c>
      <c r="I4340" s="34"/>
      <c r="J4340" s="34" t="str">
        <f>VLOOKUP(Table2[[#This Row],[Author]],People!A:B,2,0)</f>
        <v>LS</v>
      </c>
      <c r="L4340" s="34"/>
      <c r="M4340" s="34" t="s">
        <v>4799</v>
      </c>
    </row>
    <row r="4341" spans="1:13">
      <c r="A4341" s="40">
        <f t="shared" si="73"/>
        <v>4340</v>
      </c>
      <c r="B4341" s="34" t="s">
        <v>8</v>
      </c>
      <c r="C4341" s="34" t="s">
        <v>13289</v>
      </c>
      <c r="D4341" s="8" t="s">
        <v>13670</v>
      </c>
      <c r="F4341" s="8" t="s">
        <v>3518</v>
      </c>
      <c r="G4341" s="34" t="s">
        <v>13</v>
      </c>
      <c r="H4341" s="34" t="str">
        <f>IFERROR(VLOOKUP(Table2[[#This Row], [Ticket]],Okey!A:B,2,0),"")</f>
        <v/>
      </c>
      <c r="I4341" s="34"/>
      <c r="J4341" s="34" t="str">
        <f>VLOOKUP(Table2[[#This Row],[Author]],People!A:B,2,0)</f>
        <v>LS</v>
      </c>
      <c r="L4341" s="34"/>
      <c r="M4341" s="34" t="s">
        <v>4799</v>
      </c>
    </row>
    <row r="4342" spans="1:13">
      <c r="A4342" s="40">
        <f t="shared" si="73"/>
        <v>4341</v>
      </c>
      <c r="B4342" s="34" t="s">
        <v>8</v>
      </c>
      <c r="C4342" s="34" t="s">
        <v>13289</v>
      </c>
      <c r="D4342" s="8" t="s">
        <v>8478</v>
      </c>
      <c r="F4342" s="8" t="s">
        <v>13674</v>
      </c>
      <c r="G4342" s="34" t="s">
        <v>13</v>
      </c>
      <c r="H4342" s="34" t="str">
        <f>IFERROR(VLOOKUP(Table2[[#This Row], [Ticket]],Okey!A:B,2,0),"")</f>
        <v/>
      </c>
      <c r="I4342" s="34"/>
      <c r="J4342" s="34" t="str">
        <f>VLOOKUP(Table2[[#This Row],[Author]],People!A:B,2,0)</f>
        <v>LS</v>
      </c>
      <c r="L4342" s="34"/>
      <c r="M4342" s="34" t="s">
        <v>4799</v>
      </c>
    </row>
    <row r="4343" spans="1:13">
      <c r="A4343" s="40">
        <f t="shared" si="73"/>
        <v>4342</v>
      </c>
      <c r="B4343" s="34" t="s">
        <v>8</v>
      </c>
      <c r="C4343" s="34" t="s">
        <v>13289</v>
      </c>
      <c r="D4343" s="8" t="s">
        <v>8479</v>
      </c>
      <c r="F4343" s="8" t="s">
        <v>13674</v>
      </c>
      <c r="G4343" s="34" t="s">
        <v>13</v>
      </c>
      <c r="H4343" s="34" t="str">
        <f>IFERROR(VLOOKUP(Table2[[#This Row], [Ticket]],Okey!A:B,2,0),"")</f>
        <v/>
      </c>
      <c r="I4343" s="34"/>
      <c r="J4343" s="34" t="str">
        <f>VLOOKUP(Table2[[#This Row],[Author]],People!A:B,2,0)</f>
        <v>LS</v>
      </c>
      <c r="L4343" s="34"/>
      <c r="M4343" s="34" t="s">
        <v>4799</v>
      </c>
    </row>
    <row r="4344" spans="1:13">
      <c r="A4344" s="40">
        <f t="shared" si="73"/>
        <v>4343</v>
      </c>
      <c r="B4344" s="34" t="s">
        <v>8</v>
      </c>
      <c r="C4344" s="34" t="s">
        <v>13289</v>
      </c>
      <c r="D4344" s="8" t="s">
        <v>8480</v>
      </c>
      <c r="F4344" s="8" t="s">
        <v>13376</v>
      </c>
      <c r="G4344" s="34" t="s">
        <v>13</v>
      </c>
      <c r="H4344" s="34" t="str">
        <f>IFERROR(VLOOKUP(Table2[[#This Row], [Ticket]],Okey!A:B,2,0),"")</f>
        <v/>
      </c>
      <c r="I4344" s="34"/>
      <c r="J4344" s="34" t="str">
        <f>VLOOKUP(Table2[[#This Row],[Author]],People!A:B,2,0)</f>
        <v>LS</v>
      </c>
      <c r="L4344" s="34"/>
      <c r="M4344" s="34" t="s">
        <v>4799</v>
      </c>
    </row>
    <row r="4345" spans="1:13">
      <c r="A4345" s="40">
        <f t="shared" si="73"/>
        <v>4344</v>
      </c>
      <c r="B4345" s="34" t="s">
        <v>8</v>
      </c>
      <c r="C4345" s="34" t="s">
        <v>13289</v>
      </c>
      <c r="D4345" s="8" t="s">
        <v>8484</v>
      </c>
      <c r="F4345" s="8" t="s">
        <v>13376</v>
      </c>
      <c r="G4345" s="34" t="s">
        <v>13</v>
      </c>
      <c r="H4345" s="34" t="str">
        <f>IFERROR(VLOOKUP(Table2[[#This Row], [Ticket]],Okey!A:B,2,0),"")</f>
        <v/>
      </c>
      <c r="I4345" s="34"/>
      <c r="J4345" s="34" t="str">
        <f>VLOOKUP(Table2[[#This Row],[Author]],People!A:B,2,0)</f>
        <v>LS</v>
      </c>
      <c r="L4345" s="34"/>
      <c r="M4345" s="34" t="s">
        <v>4799</v>
      </c>
    </row>
    <row r="4346" spans="1:13">
      <c r="A4346" s="40">
        <f t="shared" si="73"/>
        <v>4345</v>
      </c>
      <c r="B4346" s="34" t="s">
        <v>8</v>
      </c>
      <c r="C4346" s="34" t="s">
        <v>13289</v>
      </c>
      <c r="D4346" s="8" t="s">
        <v>8485</v>
      </c>
      <c r="F4346" s="8" t="s">
        <v>13376</v>
      </c>
      <c r="G4346" s="34" t="s">
        <v>13</v>
      </c>
      <c r="H4346" s="34" t="str">
        <f>IFERROR(VLOOKUP(Table2[[#This Row], [Ticket]],Okey!A:B,2,0),"")</f>
        <v/>
      </c>
      <c r="I4346" s="34"/>
      <c r="J4346" s="34" t="str">
        <f>VLOOKUP(Table2[[#This Row],[Author]],People!A:B,2,0)</f>
        <v>LS</v>
      </c>
      <c r="L4346" s="34"/>
      <c r="M4346" s="34" t="s">
        <v>4799</v>
      </c>
    </row>
    <row r="4347" spans="1:13">
      <c r="A4347" s="40">
        <f t="shared" si="73"/>
        <v>4346</v>
      </c>
      <c r="B4347" s="34" t="s">
        <v>8</v>
      </c>
      <c r="C4347" s="34" t="s">
        <v>13289</v>
      </c>
      <c r="D4347" s="8" t="s">
        <v>4099</v>
      </c>
      <c r="F4347" s="8" t="s">
        <v>12232</v>
      </c>
      <c r="G4347" s="34" t="s">
        <v>13</v>
      </c>
      <c r="H4347" s="34" t="str">
        <f>IFERROR(VLOOKUP(Table2[[#This Row], [Ticket]],Okey!A:B,2,0),"")</f>
        <v/>
      </c>
      <c r="I4347" s="34"/>
      <c r="J4347" s="34" t="str">
        <f>VLOOKUP(Table2[[#This Row],[Author]],People!A:B,2,0)</f>
        <v>LS</v>
      </c>
      <c r="L4347" s="34"/>
      <c r="M4347" s="34" t="s">
        <v>4799</v>
      </c>
    </row>
    <row r="4348" spans="1:13">
      <c r="A4348" s="40">
        <f t="shared" si="73"/>
        <v>4347</v>
      </c>
      <c r="B4348" s="34" t="s">
        <v>8</v>
      </c>
      <c r="C4348" s="34" t="s">
        <v>13289</v>
      </c>
      <c r="D4348" s="8" t="s">
        <v>4835</v>
      </c>
      <c r="F4348" s="8" t="s">
        <v>12232</v>
      </c>
      <c r="G4348" s="34" t="s">
        <v>13</v>
      </c>
      <c r="H4348" s="34" t="str">
        <f>IFERROR(VLOOKUP(Table2[[#This Row], [Ticket]],Okey!A:B,2,0),"")</f>
        <v/>
      </c>
      <c r="I4348" s="34"/>
      <c r="J4348" s="34" t="str">
        <f>VLOOKUP(Table2[[#This Row],[Author]],People!A:B,2,0)</f>
        <v>LS</v>
      </c>
      <c r="L4348" s="34"/>
      <c r="M4348" s="34" t="s">
        <v>4799</v>
      </c>
    </row>
    <row r="4349" spans="1:13">
      <c r="A4349" s="40">
        <f t="shared" si="73"/>
        <v>4348</v>
      </c>
      <c r="B4349" s="34" t="s">
        <v>8</v>
      </c>
      <c r="C4349" s="34" t="s">
        <v>13289</v>
      </c>
      <c r="D4349" s="8" t="s">
        <v>7705</v>
      </c>
      <c r="F4349" s="8" t="s">
        <v>7743</v>
      </c>
      <c r="G4349" s="34" t="s">
        <v>13</v>
      </c>
      <c r="H4349" s="34" t="str">
        <f>IFERROR(VLOOKUP(Table2[[#This Row], [Ticket]],Okey!A:B,2,0),"")</f>
        <v/>
      </c>
      <c r="I4349" s="34"/>
      <c r="J4349" s="34" t="str">
        <f>VLOOKUP(Table2[[#This Row],[Author]],People!A:B,2,0)</f>
        <v>LS</v>
      </c>
      <c r="L4349" s="34"/>
      <c r="M4349" s="34" t="s">
        <v>4799</v>
      </c>
    </row>
    <row r="4350" spans="1:13">
      <c r="A4350" s="40">
        <f t="shared" si="73"/>
        <v>4349</v>
      </c>
      <c r="B4350" s="34" t="s">
        <v>8</v>
      </c>
      <c r="C4350" s="34" t="s">
        <v>13289</v>
      </c>
      <c r="D4350" s="8" t="s">
        <v>3996</v>
      </c>
      <c r="F4350" s="8" t="s">
        <v>3960</v>
      </c>
      <c r="G4350" s="34" t="s">
        <v>13</v>
      </c>
      <c r="H4350" s="34" t="str">
        <f>IFERROR(VLOOKUP(Table2[[#This Row], [Ticket]],Okey!A:B,2,0),"")</f>
        <v/>
      </c>
      <c r="I4350" s="34"/>
      <c r="J4350" s="34" t="str">
        <f>VLOOKUP(Table2[[#This Row],[Author]],People!A:B,2,0)</f>
        <v>LS</v>
      </c>
      <c r="L4350" s="34"/>
      <c r="M4350" s="34" t="s">
        <v>4799</v>
      </c>
    </row>
    <row r="4351" spans="1:13">
      <c r="A4351" s="40">
        <f t="shared" si="73"/>
        <v>4350</v>
      </c>
      <c r="B4351" s="34" t="s">
        <v>8</v>
      </c>
      <c r="C4351" s="34" t="s">
        <v>13289</v>
      </c>
      <c r="D4351" s="8" t="s">
        <v>8676</v>
      </c>
      <c r="F4351" s="8" t="s">
        <v>13365</v>
      </c>
      <c r="G4351" s="34" t="s">
        <v>13</v>
      </c>
      <c r="H4351" s="34" t="str">
        <f>IFERROR(VLOOKUP(Table2[[#This Row], [Ticket]],Okey!A:B,2,0),"")</f>
        <v/>
      </c>
      <c r="I4351" s="34"/>
      <c r="J4351" s="34" t="str">
        <f>VLOOKUP(Table2[[#This Row],[Author]],People!A:B,2,0)</f>
        <v>LS</v>
      </c>
      <c r="L4351" s="34"/>
      <c r="M4351" s="34" t="s">
        <v>4799</v>
      </c>
    </row>
    <row r="4352" spans="1:13">
      <c r="A4352" s="40">
        <f t="shared" si="73"/>
        <v>4351</v>
      </c>
      <c r="B4352" s="34" t="s">
        <v>8</v>
      </c>
      <c r="C4352" s="34" t="s">
        <v>13289</v>
      </c>
      <c r="D4352" s="8" t="s">
        <v>8678</v>
      </c>
      <c r="F4352" s="8" t="s">
        <v>3963</v>
      </c>
      <c r="G4352" s="34" t="s">
        <v>13</v>
      </c>
      <c r="H4352" s="34" t="str">
        <f>IFERROR(VLOOKUP(Table2[[#This Row], [Ticket]],Okey!A:B,2,0),"")</f>
        <v/>
      </c>
      <c r="I4352" s="34"/>
      <c r="J4352" s="34" t="str">
        <f>VLOOKUP(Table2[[#This Row],[Author]],People!A:B,2,0)</f>
        <v>LS</v>
      </c>
      <c r="L4352" s="34"/>
      <c r="M4352" s="34" t="s">
        <v>4799</v>
      </c>
    </row>
    <row r="4353" spans="1:13">
      <c r="A4353" s="40">
        <f t="shared" si="73"/>
        <v>4352</v>
      </c>
      <c r="B4353" s="34" t="s">
        <v>8</v>
      </c>
      <c r="C4353" s="34" t="s">
        <v>13289</v>
      </c>
      <c r="D4353" s="8" t="s">
        <v>8680</v>
      </c>
      <c r="F4353" s="8" t="s">
        <v>13365</v>
      </c>
      <c r="G4353" s="34" t="s">
        <v>13</v>
      </c>
      <c r="H4353" s="34" t="str">
        <f>IFERROR(VLOOKUP(Table2[[#This Row], [Ticket]],Okey!A:B,2,0),"")</f>
        <v/>
      </c>
      <c r="I4353" s="34"/>
      <c r="J4353" s="34" t="str">
        <f>VLOOKUP(Table2[[#This Row],[Author]],People!A:B,2,0)</f>
        <v>LS</v>
      </c>
      <c r="L4353" s="34"/>
      <c r="M4353" s="34" t="s">
        <v>4799</v>
      </c>
    </row>
    <row r="4354" spans="1:13">
      <c r="A4354" s="40">
        <f t="shared" si="73"/>
        <v>4353</v>
      </c>
      <c r="B4354" s="34" t="s">
        <v>8</v>
      </c>
      <c r="C4354" s="34" t="s">
        <v>13289</v>
      </c>
      <c r="D4354" s="8" t="s">
        <v>13671</v>
      </c>
      <c r="F4354" s="8" t="s">
        <v>13675</v>
      </c>
      <c r="G4354" s="34" t="s">
        <v>13</v>
      </c>
      <c r="H4354" s="34" t="str">
        <f>IFERROR(VLOOKUP(Table2[[#This Row], [Ticket]],Okey!A:B,2,0),"")</f>
        <v/>
      </c>
      <c r="I4354" s="34"/>
      <c r="J4354" s="34" t="str">
        <f>VLOOKUP(Table2[[#This Row],[Author]],People!A:B,2,0)</f>
        <v>LS</v>
      </c>
      <c r="L4354" s="34"/>
      <c r="M4354" s="34" t="s">
        <v>4799</v>
      </c>
    </row>
    <row r="4355" spans="1:13">
      <c r="A4355" s="40">
        <f t="shared" si="73"/>
        <v>4354</v>
      </c>
      <c r="B4355" s="34" t="s">
        <v>8</v>
      </c>
      <c r="C4355" s="34" t="s">
        <v>13289</v>
      </c>
      <c r="D4355" s="8" t="s">
        <v>13676</v>
      </c>
      <c r="F4355" s="8" t="s">
        <v>13975</v>
      </c>
      <c r="G4355" s="8" t="s">
        <v>8537</v>
      </c>
      <c r="H4355" s="34" t="str">
        <f>IFERROR(VLOOKUP(Table2[[#This Row], [Ticket]],Okey!A:B,2,0),"")</f>
        <v/>
      </c>
      <c r="I4355" s="34"/>
      <c r="J4355" s="34" t="str">
        <f>VLOOKUP(Table2[[#This Row],[Author]],People!A:B,2,0)</f>
        <v>LS</v>
      </c>
      <c r="L4355" s="34"/>
      <c r="M4355" s="34" t="s">
        <v>4799</v>
      </c>
    </row>
    <row r="4356" spans="1:13">
      <c r="A4356" s="40">
        <f t="shared" si="73"/>
        <v>4355</v>
      </c>
      <c r="B4356" s="34" t="s">
        <v>8</v>
      </c>
      <c r="C4356" s="34" t="s">
        <v>13289</v>
      </c>
      <c r="D4356" s="8" t="s">
        <v>13677</v>
      </c>
      <c r="F4356" s="8" t="s">
        <v>13975</v>
      </c>
      <c r="G4356" s="34" t="s">
        <v>8537</v>
      </c>
      <c r="H4356" s="34" t="str">
        <f>IFERROR(VLOOKUP(Table2[[#This Row], [Ticket]],Okey!A:B,2,0),"")</f>
        <v/>
      </c>
      <c r="I4356" s="34"/>
      <c r="J4356" s="34" t="str">
        <f>VLOOKUP(Table2[[#This Row],[Author]],People!A:B,2,0)</f>
        <v>LS</v>
      </c>
      <c r="L4356" s="34"/>
      <c r="M4356" s="34" t="s">
        <v>4799</v>
      </c>
    </row>
    <row r="4357" spans="1:13">
      <c r="A4357" s="40">
        <f t="shared" si="73"/>
        <v>4356</v>
      </c>
      <c r="B4357" s="34" t="s">
        <v>8</v>
      </c>
      <c r="C4357" s="34" t="s">
        <v>13289</v>
      </c>
      <c r="D4357" s="8" t="s">
        <v>13678</v>
      </c>
      <c r="F4357" s="8" t="s">
        <v>13975</v>
      </c>
      <c r="G4357" s="34" t="s">
        <v>8537</v>
      </c>
      <c r="H4357" s="34" t="str">
        <f>IFERROR(VLOOKUP(Table2[[#This Row], [Ticket]],Okey!A:B,2,0),"")</f>
        <v/>
      </c>
      <c r="I4357" s="34"/>
      <c r="J4357" s="34" t="str">
        <f>VLOOKUP(Table2[[#This Row],[Author]],People!A:B,2,0)</f>
        <v>LS</v>
      </c>
      <c r="L4357" s="34"/>
      <c r="M4357" s="34" t="s">
        <v>4799</v>
      </c>
    </row>
    <row r="4358" spans="1:13">
      <c r="A4358" s="40">
        <f t="shared" si="73"/>
        <v>4357</v>
      </c>
      <c r="B4358" s="34" t="s">
        <v>8</v>
      </c>
      <c r="C4358" s="34" t="s">
        <v>13289</v>
      </c>
      <c r="D4358" s="8" t="s">
        <v>8477</v>
      </c>
      <c r="F4358" s="8" t="s">
        <v>13975</v>
      </c>
      <c r="G4358" s="34" t="s">
        <v>8537</v>
      </c>
      <c r="H4358" s="34" t="str">
        <f>IFERROR(VLOOKUP(Table2[[#This Row], [Ticket]],Okey!A:B,2,0),"")</f>
        <v/>
      </c>
      <c r="I4358" s="34"/>
      <c r="J4358" s="34" t="str">
        <f>VLOOKUP(Table2[[#This Row],[Author]],People!A:B,2,0)</f>
        <v>LS</v>
      </c>
      <c r="L4358" s="34"/>
      <c r="M4358" s="34" t="s">
        <v>4799</v>
      </c>
    </row>
    <row r="4359" spans="1:13">
      <c r="A4359" s="40">
        <f t="shared" si="73"/>
        <v>4358</v>
      </c>
      <c r="B4359" s="34" t="s">
        <v>8</v>
      </c>
      <c r="C4359" s="34" t="s">
        <v>13289</v>
      </c>
      <c r="D4359" s="8" t="s">
        <v>8467</v>
      </c>
      <c r="F4359" s="8" t="s">
        <v>13975</v>
      </c>
      <c r="G4359" s="34" t="s">
        <v>8537</v>
      </c>
      <c r="H4359" s="34" t="str">
        <f>IFERROR(VLOOKUP(Table2[[#This Row], [Ticket]],Okey!A:B,2,0),"")</f>
        <v/>
      </c>
      <c r="I4359" s="34"/>
      <c r="J4359" s="34" t="str">
        <f>VLOOKUP(Table2[[#This Row],[Author]],People!A:B,2,0)</f>
        <v>LS</v>
      </c>
      <c r="L4359" s="34"/>
      <c r="M4359" s="34" t="s">
        <v>4799</v>
      </c>
    </row>
    <row r="4360" spans="1:13">
      <c r="A4360" s="40">
        <f t="shared" si="73"/>
        <v>4359</v>
      </c>
      <c r="B4360" s="34" t="s">
        <v>8</v>
      </c>
      <c r="C4360" s="34" t="s">
        <v>13289</v>
      </c>
      <c r="D4360" s="8" t="s">
        <v>8468</v>
      </c>
      <c r="F4360" s="8" t="s">
        <v>13975</v>
      </c>
      <c r="G4360" s="34" t="s">
        <v>8537</v>
      </c>
      <c r="H4360" s="34" t="str">
        <f>IFERROR(VLOOKUP(Table2[[#This Row], [Ticket]],Okey!A:B,2,0),"")</f>
        <v/>
      </c>
      <c r="I4360" s="34"/>
      <c r="J4360" s="34" t="str">
        <f>VLOOKUP(Table2[[#This Row],[Author]],People!A:B,2,0)</f>
        <v>LS</v>
      </c>
      <c r="L4360" s="34"/>
      <c r="M4360" s="34" t="s">
        <v>4799</v>
      </c>
    </row>
    <row r="4361" spans="1:13">
      <c r="A4361" s="40">
        <f t="shared" si="73"/>
        <v>4360</v>
      </c>
      <c r="B4361" s="34" t="s">
        <v>8</v>
      </c>
      <c r="C4361" s="34" t="s">
        <v>13289</v>
      </c>
      <c r="D4361" s="8" t="s">
        <v>8469</v>
      </c>
      <c r="F4361" s="8" t="s">
        <v>13975</v>
      </c>
      <c r="G4361" s="34" t="s">
        <v>8537</v>
      </c>
      <c r="H4361" s="34" t="str">
        <f>IFERROR(VLOOKUP(Table2[[#This Row], [Ticket]],Okey!A:B,2,0),"")</f>
        <v/>
      </c>
      <c r="I4361" s="34"/>
      <c r="J4361" s="34" t="str">
        <f>VLOOKUP(Table2[[#This Row],[Author]],People!A:B,2,0)</f>
        <v>LS</v>
      </c>
      <c r="L4361" s="34"/>
      <c r="M4361" s="34" t="s">
        <v>4799</v>
      </c>
    </row>
    <row r="4362" spans="1:13">
      <c r="A4362" s="40">
        <f t="shared" si="73"/>
        <v>4361</v>
      </c>
      <c r="B4362" s="34" t="s">
        <v>8</v>
      </c>
      <c r="C4362" s="34" t="s">
        <v>13289</v>
      </c>
      <c r="D4362" s="8" t="s">
        <v>8470</v>
      </c>
      <c r="F4362" s="8" t="s">
        <v>13975</v>
      </c>
      <c r="G4362" s="34" t="s">
        <v>8537</v>
      </c>
      <c r="H4362" s="34" t="str">
        <f>IFERROR(VLOOKUP(Table2[[#This Row], [Ticket]],Okey!A:B,2,0),"")</f>
        <v/>
      </c>
      <c r="I4362" s="34"/>
      <c r="J4362" s="34" t="str">
        <f>VLOOKUP(Table2[[#This Row],[Author]],People!A:B,2,0)</f>
        <v>LS</v>
      </c>
      <c r="L4362" s="34"/>
      <c r="M4362" s="34" t="s">
        <v>4799</v>
      </c>
    </row>
    <row r="4363" spans="1:13">
      <c r="A4363" s="40">
        <f t="shared" si="73"/>
        <v>4362</v>
      </c>
      <c r="B4363" s="34" t="s">
        <v>8</v>
      </c>
      <c r="C4363" s="34" t="s">
        <v>13289</v>
      </c>
      <c r="D4363" s="8" t="s">
        <v>8471</v>
      </c>
      <c r="F4363" s="8" t="s">
        <v>13975</v>
      </c>
      <c r="G4363" s="34" t="s">
        <v>8537</v>
      </c>
      <c r="H4363" s="34" t="str">
        <f>IFERROR(VLOOKUP(Table2[[#This Row], [Ticket]],Okey!A:B,2,0),"")</f>
        <v/>
      </c>
      <c r="I4363" s="34"/>
      <c r="J4363" s="34" t="str">
        <f>VLOOKUP(Table2[[#This Row],[Author]],People!A:B,2,0)</f>
        <v>LS</v>
      </c>
      <c r="L4363" s="34"/>
      <c r="M4363" s="34" t="s">
        <v>4799</v>
      </c>
    </row>
    <row r="4364" spans="1:13">
      <c r="A4364" s="40">
        <f t="shared" si="73"/>
        <v>4363</v>
      </c>
      <c r="B4364" s="34" t="s">
        <v>8</v>
      </c>
      <c r="C4364" s="34" t="s">
        <v>13289</v>
      </c>
      <c r="D4364" s="8" t="s">
        <v>8472</v>
      </c>
      <c r="F4364" s="8" t="s">
        <v>13975</v>
      </c>
      <c r="G4364" s="34" t="s">
        <v>8537</v>
      </c>
      <c r="H4364" s="34" t="str">
        <f>IFERROR(VLOOKUP(Table2[[#This Row], [Ticket]],Okey!A:B,2,0),"")</f>
        <v/>
      </c>
      <c r="I4364" s="34"/>
      <c r="J4364" s="34" t="str">
        <f>VLOOKUP(Table2[[#This Row],[Author]],People!A:B,2,0)</f>
        <v>LS</v>
      </c>
      <c r="L4364" s="34"/>
      <c r="M4364" s="34" t="s">
        <v>4799</v>
      </c>
    </row>
    <row r="4365" spans="1:13">
      <c r="A4365" s="40">
        <f t="shared" si="73"/>
        <v>4364</v>
      </c>
      <c r="B4365" s="34" t="s">
        <v>8</v>
      </c>
      <c r="C4365" s="34" t="s">
        <v>13289</v>
      </c>
      <c r="D4365" s="8" t="s">
        <v>8473</v>
      </c>
      <c r="F4365" s="8" t="s">
        <v>13975</v>
      </c>
      <c r="G4365" s="34" t="s">
        <v>8537</v>
      </c>
      <c r="H4365" s="34" t="str">
        <f>IFERROR(VLOOKUP(Table2[[#This Row], [Ticket]],Okey!A:B,2,0),"")</f>
        <v/>
      </c>
      <c r="I4365" s="34"/>
      <c r="J4365" s="34" t="str">
        <f>VLOOKUP(Table2[[#This Row],[Author]],People!A:B,2,0)</f>
        <v>LS</v>
      </c>
      <c r="L4365" s="34"/>
      <c r="M4365" s="34" t="s">
        <v>4799</v>
      </c>
    </row>
    <row r="4366" spans="1:13">
      <c r="A4366" s="40">
        <f t="shared" si="73"/>
        <v>4365</v>
      </c>
      <c r="B4366" s="34" t="s">
        <v>8</v>
      </c>
      <c r="C4366" s="34" t="s">
        <v>13289</v>
      </c>
      <c r="D4366" s="8" t="s">
        <v>8489</v>
      </c>
      <c r="F4366" s="8" t="s">
        <v>13975</v>
      </c>
      <c r="G4366" s="34" t="s">
        <v>8537</v>
      </c>
      <c r="H4366" s="34" t="str">
        <f>IFERROR(VLOOKUP(Table2[[#This Row], [Ticket]],Okey!A:B,2,0),"")</f>
        <v/>
      </c>
      <c r="I4366" s="34"/>
      <c r="J4366" s="34" t="str">
        <f>VLOOKUP(Table2[[#This Row],[Author]],People!A:B,2,0)</f>
        <v>LS</v>
      </c>
      <c r="L4366" s="34"/>
      <c r="M4366" s="34" t="s">
        <v>4799</v>
      </c>
    </row>
    <row r="4367" spans="1:13">
      <c r="A4367" s="40">
        <f t="shared" si="73"/>
        <v>4366</v>
      </c>
      <c r="B4367" s="34" t="s">
        <v>8</v>
      </c>
      <c r="C4367" s="34" t="s">
        <v>13289</v>
      </c>
      <c r="D4367" s="8" t="s">
        <v>8490</v>
      </c>
      <c r="F4367" s="8" t="s">
        <v>13975</v>
      </c>
      <c r="G4367" s="34" t="s">
        <v>8537</v>
      </c>
      <c r="H4367" s="34" t="str">
        <f>IFERROR(VLOOKUP(Table2[[#This Row], [Ticket]],Okey!A:B,2,0),"")</f>
        <v/>
      </c>
      <c r="I4367" s="34"/>
      <c r="J4367" s="34" t="str">
        <f>VLOOKUP(Table2[[#This Row],[Author]],People!A:B,2,0)</f>
        <v>LS</v>
      </c>
      <c r="L4367" s="34"/>
      <c r="M4367" s="34" t="s">
        <v>4799</v>
      </c>
    </row>
    <row r="4368" spans="1:13">
      <c r="A4368" s="40">
        <f t="shared" si="73"/>
        <v>4367</v>
      </c>
      <c r="B4368" s="34" t="s">
        <v>8</v>
      </c>
      <c r="C4368" s="34" t="s">
        <v>13289</v>
      </c>
      <c r="D4368" s="8" t="s">
        <v>8491</v>
      </c>
      <c r="F4368" s="8" t="s">
        <v>13975</v>
      </c>
      <c r="G4368" s="34" t="s">
        <v>8537</v>
      </c>
      <c r="H4368" s="34" t="str">
        <f>IFERROR(VLOOKUP(Table2[[#This Row], [Ticket]],Okey!A:B,2,0),"")</f>
        <v/>
      </c>
      <c r="I4368" s="34"/>
      <c r="J4368" s="34" t="str">
        <f>VLOOKUP(Table2[[#This Row],[Author]],People!A:B,2,0)</f>
        <v>LS</v>
      </c>
      <c r="L4368" s="34"/>
      <c r="M4368" s="34" t="s">
        <v>4799</v>
      </c>
    </row>
    <row r="4369" spans="1:13">
      <c r="A4369" s="40">
        <f t="shared" si="73"/>
        <v>4368</v>
      </c>
      <c r="B4369" s="34" t="s">
        <v>8</v>
      </c>
      <c r="C4369" s="34" t="s">
        <v>13289</v>
      </c>
      <c r="D4369" s="8" t="s">
        <v>8492</v>
      </c>
      <c r="F4369" s="8" t="s">
        <v>13975</v>
      </c>
      <c r="G4369" s="34" t="s">
        <v>8537</v>
      </c>
      <c r="H4369" s="34" t="str">
        <f>IFERROR(VLOOKUP(Table2[[#This Row], [Ticket]],Okey!A:B,2,0),"")</f>
        <v/>
      </c>
      <c r="I4369" s="34"/>
      <c r="J4369" s="34" t="str">
        <f>VLOOKUP(Table2[[#This Row],[Author]],People!A:B,2,0)</f>
        <v>LS</v>
      </c>
      <c r="L4369" s="34"/>
      <c r="M4369" s="34" t="s">
        <v>4799</v>
      </c>
    </row>
    <row r="4370" spans="1:13">
      <c r="A4370" s="40">
        <f t="shared" si="73"/>
        <v>4369</v>
      </c>
      <c r="B4370" s="34" t="s">
        <v>8</v>
      </c>
      <c r="C4370" s="34" t="s">
        <v>13289</v>
      </c>
      <c r="D4370" s="8" t="s">
        <v>4846</v>
      </c>
      <c r="F4370" s="8" t="s">
        <v>13975</v>
      </c>
      <c r="G4370" s="34" t="s">
        <v>8537</v>
      </c>
      <c r="H4370" s="34" t="str">
        <f>IFERROR(VLOOKUP(Table2[[#This Row], [Ticket]],Okey!A:B,2,0),"")</f>
        <v/>
      </c>
      <c r="I4370" s="34"/>
      <c r="J4370" s="34" t="str">
        <f>VLOOKUP(Table2[[#This Row],[Author]],People!A:B,2,0)</f>
        <v>LS</v>
      </c>
      <c r="L4370" s="34"/>
      <c r="M4370" s="34" t="s">
        <v>4799</v>
      </c>
    </row>
    <row r="4371" spans="1:13">
      <c r="A4371" s="40">
        <f t="shared" si="73"/>
        <v>4370</v>
      </c>
      <c r="B4371" s="34" t="s">
        <v>8</v>
      </c>
      <c r="C4371" s="34" t="s">
        <v>13289</v>
      </c>
      <c r="D4371" s="8" t="s">
        <v>13679</v>
      </c>
      <c r="F4371" s="8" t="s">
        <v>13975</v>
      </c>
      <c r="G4371" s="34" t="s">
        <v>8537</v>
      </c>
      <c r="H4371" s="34" t="str">
        <f>IFERROR(VLOOKUP(Table2[[#This Row], [Ticket]],Okey!A:B,2,0),"")</f>
        <v/>
      </c>
      <c r="I4371" s="34"/>
      <c r="J4371" s="34" t="str">
        <f>VLOOKUP(Table2[[#This Row],[Author]],People!A:B,2,0)</f>
        <v>LS</v>
      </c>
      <c r="L4371" s="34"/>
      <c r="M4371" s="34" t="s">
        <v>4799</v>
      </c>
    </row>
    <row r="4372" spans="1:13">
      <c r="A4372" s="40">
        <f t="shared" si="73"/>
        <v>4371</v>
      </c>
      <c r="B4372" s="34" t="s">
        <v>8</v>
      </c>
      <c r="C4372" s="34" t="s">
        <v>13289</v>
      </c>
      <c r="D4372" s="8" t="s">
        <v>13680</v>
      </c>
      <c r="F4372" s="8" t="s">
        <v>13975</v>
      </c>
      <c r="G4372" s="34" t="s">
        <v>8537</v>
      </c>
      <c r="H4372" s="34" t="str">
        <f>IFERROR(VLOOKUP(Table2[[#This Row], [Ticket]],Okey!A:B,2,0),"")</f>
        <v/>
      </c>
      <c r="I4372" s="34"/>
      <c r="J4372" s="34" t="str">
        <f>VLOOKUP(Table2[[#This Row],[Author]],People!A:B,2,0)</f>
        <v>LS</v>
      </c>
      <c r="L4372" s="34"/>
      <c r="M4372" s="34" t="s">
        <v>4799</v>
      </c>
    </row>
    <row r="4373" spans="1:13">
      <c r="A4373" s="40">
        <f t="shared" si="73"/>
        <v>4372</v>
      </c>
      <c r="B4373" s="34" t="s">
        <v>8</v>
      </c>
      <c r="C4373" s="34" t="s">
        <v>13289</v>
      </c>
      <c r="D4373" s="8" t="s">
        <v>5999</v>
      </c>
      <c r="F4373" s="8" t="s">
        <v>13975</v>
      </c>
      <c r="G4373" s="34" t="s">
        <v>8537</v>
      </c>
      <c r="H4373" s="34" t="str">
        <f>IFERROR(VLOOKUP(Table2[[#This Row], [Ticket]],Okey!A:B,2,0),"")</f>
        <v/>
      </c>
      <c r="I4373" s="34"/>
      <c r="J4373" s="34" t="str">
        <f>VLOOKUP(Table2[[#This Row],[Author]],People!A:B,2,0)</f>
        <v>LS</v>
      </c>
      <c r="L4373" s="34"/>
      <c r="M4373" s="34" t="s">
        <v>4799</v>
      </c>
    </row>
    <row r="4374" spans="1:13">
      <c r="A4374" s="40">
        <f t="shared" si="73"/>
        <v>4373</v>
      </c>
      <c r="B4374" s="34" t="s">
        <v>8</v>
      </c>
      <c r="C4374" s="34" t="s">
        <v>13289</v>
      </c>
      <c r="D4374" s="8" t="s">
        <v>5998</v>
      </c>
      <c r="F4374" s="8" t="s">
        <v>13975</v>
      </c>
      <c r="G4374" s="34" t="s">
        <v>8537</v>
      </c>
      <c r="H4374" s="34" t="str">
        <f>IFERROR(VLOOKUP(Table2[[#This Row], [Ticket]],Okey!A:B,2,0),"")</f>
        <v/>
      </c>
      <c r="I4374" s="34"/>
      <c r="J4374" s="34" t="str">
        <f>VLOOKUP(Table2[[#This Row],[Author]],People!A:B,2,0)</f>
        <v>LS</v>
      </c>
      <c r="L4374" s="34"/>
      <c r="M4374" s="34" t="s">
        <v>4799</v>
      </c>
    </row>
    <row r="4375" spans="1:13">
      <c r="A4375" s="40">
        <f t="shared" si="73"/>
        <v>4374</v>
      </c>
      <c r="B4375" s="34" t="s">
        <v>8</v>
      </c>
      <c r="C4375" s="34" t="s">
        <v>13289</v>
      </c>
      <c r="D4375" s="8" t="s">
        <v>5986</v>
      </c>
      <c r="F4375" s="8" t="s">
        <v>13975</v>
      </c>
      <c r="G4375" s="34" t="s">
        <v>8537</v>
      </c>
      <c r="H4375" s="34" t="str">
        <f>IFERROR(VLOOKUP(Table2[[#This Row], [Ticket]],Okey!A:B,2,0),"")</f>
        <v/>
      </c>
      <c r="I4375" s="34"/>
      <c r="J4375" s="34" t="str">
        <f>VLOOKUP(Table2[[#This Row],[Author]],People!A:B,2,0)</f>
        <v>LS</v>
      </c>
      <c r="L4375" s="34"/>
      <c r="M4375" s="34" t="s">
        <v>4799</v>
      </c>
    </row>
    <row r="4376" spans="1:13">
      <c r="A4376" s="40">
        <f t="shared" si="73"/>
        <v>4375</v>
      </c>
      <c r="B4376" s="34" t="s">
        <v>8</v>
      </c>
      <c r="C4376" s="34" t="s">
        <v>13289</v>
      </c>
      <c r="D4376" s="8" t="s">
        <v>4831</v>
      </c>
      <c r="F4376" s="8" t="s">
        <v>13975</v>
      </c>
      <c r="G4376" s="34" t="s">
        <v>8537</v>
      </c>
      <c r="H4376" s="34" t="str">
        <f>IFERROR(VLOOKUP(Table2[[#This Row], [Ticket]],Okey!A:B,2,0),"")</f>
        <v/>
      </c>
      <c r="I4376" s="34"/>
      <c r="J4376" s="34" t="str">
        <f>VLOOKUP(Table2[[#This Row],[Author]],People!A:B,2,0)</f>
        <v>LS</v>
      </c>
      <c r="L4376" s="34"/>
      <c r="M4376" s="34" t="s">
        <v>4799</v>
      </c>
    </row>
    <row r="4377" spans="1:13">
      <c r="A4377" s="40">
        <f t="shared" si="73"/>
        <v>4376</v>
      </c>
      <c r="B4377" s="34" t="s">
        <v>8</v>
      </c>
      <c r="C4377" s="34" t="s">
        <v>13289</v>
      </c>
      <c r="D4377" s="8" t="s">
        <v>5995</v>
      </c>
      <c r="F4377" s="8" t="s">
        <v>13975</v>
      </c>
      <c r="G4377" s="34" t="s">
        <v>8537</v>
      </c>
      <c r="H4377" s="34" t="str">
        <f>IFERROR(VLOOKUP(Table2[[#This Row], [Ticket]],Okey!A:B,2,0),"")</f>
        <v/>
      </c>
      <c r="I4377" s="34"/>
      <c r="J4377" s="34" t="str">
        <f>VLOOKUP(Table2[[#This Row],[Author]],People!A:B,2,0)</f>
        <v>LS</v>
      </c>
      <c r="L4377" s="34"/>
      <c r="M4377" s="34" t="s">
        <v>4799</v>
      </c>
    </row>
    <row r="4378" spans="1:13">
      <c r="A4378" s="40">
        <f t="shared" si="73"/>
        <v>4377</v>
      </c>
      <c r="B4378" s="34" t="s">
        <v>8</v>
      </c>
      <c r="C4378" s="34" t="s">
        <v>13289</v>
      </c>
      <c r="D4378" s="8" t="s">
        <v>4035</v>
      </c>
      <c r="F4378" s="8" t="s">
        <v>13975</v>
      </c>
      <c r="G4378" s="34" t="s">
        <v>8537</v>
      </c>
      <c r="H4378" s="34" t="str">
        <f>IFERROR(VLOOKUP(Table2[[#This Row], [Ticket]],Okey!A:B,2,0),"")</f>
        <v/>
      </c>
      <c r="I4378" s="34"/>
      <c r="J4378" s="34" t="str">
        <f>VLOOKUP(Table2[[#This Row],[Author]],People!A:B,2,0)</f>
        <v>LS</v>
      </c>
      <c r="L4378" s="34"/>
      <c r="M4378" s="34" t="s">
        <v>4799</v>
      </c>
    </row>
    <row r="4379" spans="1:13">
      <c r="A4379" s="40">
        <f t="shared" si="73"/>
        <v>4378</v>
      </c>
      <c r="B4379" s="34" t="s">
        <v>8</v>
      </c>
      <c r="C4379" s="34" t="s">
        <v>13289</v>
      </c>
      <c r="D4379" s="8" t="s">
        <v>13681</v>
      </c>
      <c r="F4379" s="8" t="s">
        <v>13975</v>
      </c>
      <c r="G4379" s="34" t="s">
        <v>8537</v>
      </c>
      <c r="H4379" s="34" t="str">
        <f>IFERROR(VLOOKUP(Table2[[#This Row], [Ticket]],Okey!A:B,2,0),"")</f>
        <v/>
      </c>
      <c r="I4379" s="34"/>
      <c r="J4379" s="34" t="str">
        <f>VLOOKUP(Table2[[#This Row],[Author]],People!A:B,2,0)</f>
        <v>LS</v>
      </c>
      <c r="L4379" s="34"/>
      <c r="M4379" s="34" t="s">
        <v>4799</v>
      </c>
    </row>
    <row r="4380" spans="1:13">
      <c r="A4380" s="40">
        <f t="shared" si="73"/>
        <v>4379</v>
      </c>
      <c r="B4380" s="34" t="s">
        <v>8</v>
      </c>
      <c r="C4380" s="34" t="s">
        <v>13289</v>
      </c>
      <c r="D4380" s="8" t="s">
        <v>13682</v>
      </c>
      <c r="F4380" s="8" t="s">
        <v>13975</v>
      </c>
      <c r="G4380" s="34" t="s">
        <v>8537</v>
      </c>
      <c r="H4380" s="34" t="str">
        <f>IFERROR(VLOOKUP(Table2[[#This Row], [Ticket]],Okey!A:B,2,0),"")</f>
        <v/>
      </c>
      <c r="I4380" s="34"/>
      <c r="J4380" s="34" t="str">
        <f>VLOOKUP(Table2[[#This Row],[Author]],People!A:B,2,0)</f>
        <v>LS</v>
      </c>
      <c r="L4380" s="34"/>
      <c r="M4380" s="34" t="s">
        <v>4799</v>
      </c>
    </row>
    <row r="4381" spans="1:13">
      <c r="A4381" s="40">
        <f t="shared" si="73"/>
        <v>4380</v>
      </c>
      <c r="B4381" s="34" t="s">
        <v>8</v>
      </c>
      <c r="C4381" s="34" t="s">
        <v>13289</v>
      </c>
      <c r="D4381" s="8" t="s">
        <v>13683</v>
      </c>
      <c r="F4381" s="8" t="s">
        <v>13975</v>
      </c>
      <c r="G4381" s="34" t="s">
        <v>8537</v>
      </c>
      <c r="H4381" s="34" t="str">
        <f>IFERROR(VLOOKUP(Table2[[#This Row], [Ticket]],Okey!A:B,2,0),"")</f>
        <v/>
      </c>
      <c r="I4381" s="34"/>
      <c r="J4381" s="34" t="str">
        <f>VLOOKUP(Table2[[#This Row],[Author]],People!A:B,2,0)</f>
        <v>LS</v>
      </c>
      <c r="L4381" s="34"/>
      <c r="M4381" s="34" t="s">
        <v>4799</v>
      </c>
    </row>
    <row r="4382" spans="1:13">
      <c r="A4382" s="40">
        <f t="shared" si="73"/>
        <v>4381</v>
      </c>
      <c r="B4382" s="34" t="s">
        <v>8</v>
      </c>
      <c r="C4382" s="34" t="s">
        <v>13289</v>
      </c>
      <c r="D4382" s="8" t="s">
        <v>13684</v>
      </c>
      <c r="F4382" s="8" t="s">
        <v>13975</v>
      </c>
      <c r="G4382" s="34" t="s">
        <v>8537</v>
      </c>
      <c r="H4382" s="34" t="str">
        <f>IFERROR(VLOOKUP(Table2[[#This Row], [Ticket]],Okey!A:B,2,0),"")</f>
        <v/>
      </c>
      <c r="I4382" s="34"/>
      <c r="J4382" s="34" t="str">
        <f>VLOOKUP(Table2[[#This Row],[Author]],People!A:B,2,0)</f>
        <v>LS</v>
      </c>
      <c r="L4382" s="34"/>
      <c r="M4382" s="34" t="s">
        <v>4799</v>
      </c>
    </row>
    <row r="4383" spans="1:13">
      <c r="A4383" s="40">
        <f t="shared" si="73"/>
        <v>4382</v>
      </c>
      <c r="B4383" s="34" t="s">
        <v>8</v>
      </c>
      <c r="C4383" s="34" t="s">
        <v>13289</v>
      </c>
      <c r="D4383" s="8" t="s">
        <v>13685</v>
      </c>
      <c r="F4383" s="8" t="s">
        <v>13975</v>
      </c>
      <c r="G4383" s="34" t="s">
        <v>8537</v>
      </c>
      <c r="H4383" s="34" t="str">
        <f>IFERROR(VLOOKUP(Table2[[#This Row], [Ticket]],Okey!A:B,2,0),"")</f>
        <v/>
      </c>
      <c r="I4383" s="34"/>
      <c r="J4383" s="34" t="str">
        <f>VLOOKUP(Table2[[#This Row],[Author]],People!A:B,2,0)</f>
        <v>LS</v>
      </c>
      <c r="L4383" s="34"/>
      <c r="M4383" s="34" t="s">
        <v>4799</v>
      </c>
    </row>
    <row r="4384" spans="1:13">
      <c r="A4384" s="40">
        <f t="shared" si="73"/>
        <v>4383</v>
      </c>
      <c r="B4384" s="34" t="s">
        <v>8</v>
      </c>
      <c r="C4384" s="34" t="s">
        <v>13289</v>
      </c>
      <c r="D4384" s="8" t="s">
        <v>13686</v>
      </c>
      <c r="F4384" s="8" t="s">
        <v>13975</v>
      </c>
      <c r="G4384" s="34" t="s">
        <v>8537</v>
      </c>
      <c r="H4384" s="34" t="str">
        <f>IFERROR(VLOOKUP(Table2[[#This Row], [Ticket]],Okey!A:B,2,0),"")</f>
        <v/>
      </c>
      <c r="I4384" s="34"/>
      <c r="J4384" s="34" t="str">
        <f>VLOOKUP(Table2[[#This Row],[Author]],People!A:B,2,0)</f>
        <v>LS</v>
      </c>
      <c r="L4384" s="34"/>
      <c r="M4384" s="34" t="s">
        <v>4799</v>
      </c>
    </row>
    <row r="4385" spans="1:13">
      <c r="A4385" s="40">
        <f t="shared" si="73"/>
        <v>4384</v>
      </c>
      <c r="B4385" s="34" t="s">
        <v>8</v>
      </c>
      <c r="C4385" s="34" t="s">
        <v>13289</v>
      </c>
      <c r="D4385" s="8" t="s">
        <v>13687</v>
      </c>
      <c r="F4385" s="8" t="s">
        <v>13975</v>
      </c>
      <c r="G4385" s="34" t="s">
        <v>8537</v>
      </c>
      <c r="H4385" s="34" t="str">
        <f>IFERROR(VLOOKUP(Table2[[#This Row], [Ticket]],Okey!A:B,2,0),"")</f>
        <v/>
      </c>
      <c r="I4385" s="34"/>
      <c r="J4385" s="34" t="str">
        <f>VLOOKUP(Table2[[#This Row],[Author]],People!A:B,2,0)</f>
        <v>LS</v>
      </c>
      <c r="L4385" s="34"/>
      <c r="M4385" s="34" t="s">
        <v>4799</v>
      </c>
    </row>
    <row r="4386" spans="1:13">
      <c r="A4386" s="40">
        <f t="shared" si="73"/>
        <v>4385</v>
      </c>
      <c r="B4386" s="34" t="s">
        <v>8</v>
      </c>
      <c r="C4386" s="34" t="s">
        <v>13289</v>
      </c>
      <c r="D4386" s="8" t="s">
        <v>4003</v>
      </c>
      <c r="F4386" s="8" t="s">
        <v>13975</v>
      </c>
      <c r="G4386" s="34" t="s">
        <v>8537</v>
      </c>
      <c r="H4386" s="34" t="str">
        <f>IFERROR(VLOOKUP(Table2[[#This Row], [Ticket]],Okey!A:B,2,0),"")</f>
        <v/>
      </c>
      <c r="I4386" s="34"/>
      <c r="J4386" s="34" t="str">
        <f>VLOOKUP(Table2[[#This Row],[Author]],People!A:B,2,0)</f>
        <v>LS</v>
      </c>
      <c r="L4386" s="34"/>
      <c r="M4386" s="34" t="s">
        <v>4799</v>
      </c>
    </row>
    <row r="4387" spans="1:13">
      <c r="A4387" s="40">
        <f t="shared" ref="A4387:A4421" si="74">1+A4386</f>
        <v>4386</v>
      </c>
      <c r="B4387" s="34" t="s">
        <v>8</v>
      </c>
      <c r="C4387" s="34" t="s">
        <v>13289</v>
      </c>
      <c r="D4387" s="8" t="s">
        <v>4005</v>
      </c>
      <c r="F4387" s="8" t="s">
        <v>13975</v>
      </c>
      <c r="G4387" s="34" t="s">
        <v>8537</v>
      </c>
      <c r="H4387" s="34" t="str">
        <f>IFERROR(VLOOKUP(Table2[[#This Row], [Ticket]],Okey!A:B,2,0),"")</f>
        <v/>
      </c>
      <c r="I4387" s="34"/>
      <c r="J4387" s="34" t="str">
        <f>VLOOKUP(Table2[[#This Row],[Author]],People!A:B,2,0)</f>
        <v>LS</v>
      </c>
      <c r="L4387" s="34"/>
      <c r="M4387" s="34" t="s">
        <v>4799</v>
      </c>
    </row>
    <row r="4388" spans="1:13">
      <c r="A4388" s="40">
        <f t="shared" si="74"/>
        <v>4387</v>
      </c>
      <c r="B4388" s="34" t="s">
        <v>8</v>
      </c>
      <c r="C4388" s="34" t="s">
        <v>13289</v>
      </c>
      <c r="D4388" s="8" t="s">
        <v>13688</v>
      </c>
      <c r="F4388" s="8" t="s">
        <v>13975</v>
      </c>
      <c r="G4388" s="34" t="s">
        <v>8537</v>
      </c>
      <c r="H4388" s="34" t="str">
        <f>IFERROR(VLOOKUP(Table2[[#This Row], [Ticket]],Okey!A:B,2,0),"")</f>
        <v/>
      </c>
      <c r="I4388" s="34"/>
      <c r="J4388" s="34" t="str">
        <f>VLOOKUP(Table2[[#This Row],[Author]],People!A:B,2,0)</f>
        <v>LS</v>
      </c>
      <c r="L4388" s="34"/>
      <c r="M4388" s="34" t="s">
        <v>4799</v>
      </c>
    </row>
    <row r="4389" spans="1:13">
      <c r="A4389" s="40">
        <f t="shared" si="74"/>
        <v>4388</v>
      </c>
      <c r="B4389" s="34" t="s">
        <v>8</v>
      </c>
      <c r="C4389" s="34" t="s">
        <v>13289</v>
      </c>
      <c r="D4389" s="8" t="s">
        <v>8679</v>
      </c>
      <c r="F4389" s="8" t="s">
        <v>13975</v>
      </c>
      <c r="G4389" s="34" t="s">
        <v>8537</v>
      </c>
      <c r="H4389" s="34" t="str">
        <f>IFERROR(VLOOKUP(Table2[[#This Row], [Ticket]],Okey!A:B,2,0),"")</f>
        <v/>
      </c>
      <c r="I4389" s="34"/>
      <c r="J4389" s="34" t="str">
        <f>VLOOKUP(Table2[[#This Row],[Author]],People!A:B,2,0)</f>
        <v>LS</v>
      </c>
      <c r="L4389" s="34"/>
      <c r="M4389" s="34" t="s">
        <v>4799</v>
      </c>
    </row>
    <row r="4390" spans="1:13">
      <c r="A4390" s="40">
        <f t="shared" si="74"/>
        <v>4389</v>
      </c>
      <c r="B4390" s="34" t="s">
        <v>8</v>
      </c>
      <c r="C4390" s="34" t="s">
        <v>13289</v>
      </c>
      <c r="D4390" s="8" t="s">
        <v>8677</v>
      </c>
      <c r="F4390" s="8" t="s">
        <v>13975</v>
      </c>
      <c r="G4390" s="34" t="s">
        <v>8537</v>
      </c>
      <c r="H4390" s="34" t="str">
        <f>IFERROR(VLOOKUP(Table2[[#This Row], [Ticket]],Okey!A:B,2,0),"")</f>
        <v/>
      </c>
      <c r="I4390" s="34"/>
      <c r="J4390" s="34" t="str">
        <f>VLOOKUP(Table2[[#This Row],[Author]],People!A:B,2,0)</f>
        <v>LS</v>
      </c>
      <c r="L4390" s="34"/>
      <c r="M4390" s="34" t="s">
        <v>4799</v>
      </c>
    </row>
    <row r="4391" spans="1:13">
      <c r="A4391" s="40">
        <f t="shared" si="74"/>
        <v>4390</v>
      </c>
      <c r="B4391" s="34" t="s">
        <v>8</v>
      </c>
      <c r="C4391" s="34" t="s">
        <v>13289</v>
      </c>
      <c r="D4391" s="8" t="s">
        <v>8681</v>
      </c>
      <c r="F4391" s="8" t="s">
        <v>13975</v>
      </c>
      <c r="G4391" s="34" t="s">
        <v>8537</v>
      </c>
      <c r="H4391" s="34" t="str">
        <f>IFERROR(VLOOKUP(Table2[[#This Row], [Ticket]],Okey!A:B,2,0),"")</f>
        <v/>
      </c>
      <c r="I4391" s="34"/>
      <c r="J4391" s="34" t="str">
        <f>VLOOKUP(Table2[[#This Row],[Author]],People!A:B,2,0)</f>
        <v>LS</v>
      </c>
      <c r="L4391" s="34"/>
      <c r="M4391" s="34" t="s">
        <v>4799</v>
      </c>
    </row>
    <row r="4392" spans="1:13">
      <c r="A4392" s="40">
        <f t="shared" si="74"/>
        <v>4391</v>
      </c>
      <c r="B4392" s="34" t="s">
        <v>8</v>
      </c>
      <c r="C4392" s="34" t="s">
        <v>13289</v>
      </c>
      <c r="D4392" s="8" t="s">
        <v>8440</v>
      </c>
      <c r="F4392" s="8" t="s">
        <v>13976</v>
      </c>
      <c r="G4392" s="34" t="s">
        <v>8537</v>
      </c>
      <c r="H4392" s="34" t="str">
        <f>IFERROR(VLOOKUP(Table2[[#This Row], [Ticket]],Okey!A:B,2,0),"")</f>
        <v/>
      </c>
      <c r="I4392" s="34"/>
      <c r="J4392" s="34" t="str">
        <f>VLOOKUP(Table2[[#This Row],[Author]],People!A:B,2,0)</f>
        <v>LS</v>
      </c>
      <c r="L4392" s="34"/>
      <c r="M4392" s="34" t="s">
        <v>4799</v>
      </c>
    </row>
    <row r="4393" spans="1:13">
      <c r="A4393" s="40">
        <f t="shared" si="74"/>
        <v>4392</v>
      </c>
      <c r="B4393" s="34" t="s">
        <v>8</v>
      </c>
      <c r="C4393" s="34" t="s">
        <v>13289</v>
      </c>
      <c r="D4393" s="8" t="s">
        <v>8441</v>
      </c>
      <c r="F4393" s="8" t="s">
        <v>13976</v>
      </c>
      <c r="G4393" s="34" t="s">
        <v>8537</v>
      </c>
      <c r="H4393" s="34" t="str">
        <f>IFERROR(VLOOKUP(Table2[[#This Row], [Ticket]],Okey!A:B,2,0),"")</f>
        <v/>
      </c>
      <c r="I4393" s="34"/>
      <c r="J4393" s="34" t="str">
        <f>VLOOKUP(Table2[[#This Row],[Author]],People!A:B,2,0)</f>
        <v>LS</v>
      </c>
      <c r="L4393" s="34"/>
      <c r="M4393" s="34" t="s">
        <v>4799</v>
      </c>
    </row>
    <row r="4394" spans="1:13">
      <c r="A4394" s="40">
        <f t="shared" si="74"/>
        <v>4393</v>
      </c>
      <c r="B4394" s="34" t="s">
        <v>8</v>
      </c>
      <c r="C4394" s="34" t="s">
        <v>13289</v>
      </c>
      <c r="D4394" s="8" t="s">
        <v>13689</v>
      </c>
      <c r="F4394" s="8" t="s">
        <v>13976</v>
      </c>
      <c r="G4394" s="34" t="s">
        <v>8537</v>
      </c>
      <c r="H4394" s="34" t="str">
        <f>IFERROR(VLOOKUP(Table2[[#This Row], [Ticket]],Okey!A:B,2,0),"")</f>
        <v/>
      </c>
      <c r="I4394" s="34"/>
      <c r="J4394" s="34" t="str">
        <f>VLOOKUP(Table2[[#This Row],[Author]],People!A:B,2,0)</f>
        <v>LS</v>
      </c>
      <c r="L4394" s="34"/>
      <c r="M4394" s="34" t="s">
        <v>4799</v>
      </c>
    </row>
    <row r="4395" spans="1:13">
      <c r="A4395" s="40">
        <f t="shared" si="74"/>
        <v>4394</v>
      </c>
      <c r="B4395" s="34" t="s">
        <v>8</v>
      </c>
      <c r="C4395" s="34" t="s">
        <v>13289</v>
      </c>
      <c r="D4395" s="8" t="s">
        <v>8442</v>
      </c>
      <c r="F4395" s="8" t="s">
        <v>13976</v>
      </c>
      <c r="G4395" s="34" t="s">
        <v>8537</v>
      </c>
      <c r="H4395" s="34" t="str">
        <f>IFERROR(VLOOKUP(Table2[[#This Row], [Ticket]],Okey!A:B,2,0),"")</f>
        <v/>
      </c>
      <c r="I4395" s="34"/>
      <c r="J4395" s="34" t="str">
        <f>VLOOKUP(Table2[[#This Row],[Author]],People!A:B,2,0)</f>
        <v>LS</v>
      </c>
      <c r="L4395" s="34"/>
      <c r="M4395" s="34" t="s">
        <v>4799</v>
      </c>
    </row>
    <row r="4396" spans="1:13">
      <c r="A4396" s="40">
        <f t="shared" si="74"/>
        <v>4395</v>
      </c>
      <c r="B4396" s="34" t="s">
        <v>8</v>
      </c>
      <c r="C4396" s="34" t="s">
        <v>13289</v>
      </c>
      <c r="D4396" s="8" t="s">
        <v>13690</v>
      </c>
      <c r="F4396" s="8" t="s">
        <v>13976</v>
      </c>
      <c r="G4396" s="34" t="s">
        <v>8537</v>
      </c>
      <c r="H4396" s="34" t="str">
        <f>IFERROR(VLOOKUP(Table2[[#This Row], [Ticket]],Okey!A:B,2,0),"")</f>
        <v/>
      </c>
      <c r="I4396" s="34"/>
      <c r="J4396" s="34" t="str">
        <f>VLOOKUP(Table2[[#This Row],[Author]],People!A:B,2,0)</f>
        <v>LS</v>
      </c>
      <c r="L4396" s="34"/>
      <c r="M4396" s="34" t="s">
        <v>4799</v>
      </c>
    </row>
    <row r="4397" spans="1:13">
      <c r="A4397" s="40">
        <f t="shared" si="74"/>
        <v>4396</v>
      </c>
      <c r="B4397" s="34" t="s">
        <v>8</v>
      </c>
      <c r="C4397" s="34" t="s">
        <v>13289</v>
      </c>
      <c r="D4397" s="8" t="s">
        <v>1478</v>
      </c>
      <c r="F4397" s="8" t="s">
        <v>13976</v>
      </c>
      <c r="G4397" s="34" t="s">
        <v>8537</v>
      </c>
      <c r="H4397" s="34" t="str">
        <f>IFERROR(VLOOKUP(Table2[[#This Row], [Ticket]],Okey!A:B,2,0),"")</f>
        <v/>
      </c>
      <c r="I4397" s="34"/>
      <c r="J4397" s="34" t="str">
        <f>VLOOKUP(Table2[[#This Row],[Author]],People!A:B,2,0)</f>
        <v>LS</v>
      </c>
      <c r="L4397" s="34"/>
      <c r="M4397" s="34" t="s">
        <v>4799</v>
      </c>
    </row>
    <row r="4398" spans="1:13">
      <c r="A4398" s="40">
        <f t="shared" si="74"/>
        <v>4397</v>
      </c>
      <c r="B4398" s="34" t="s">
        <v>8</v>
      </c>
      <c r="C4398" s="34" t="s">
        <v>13289</v>
      </c>
      <c r="D4398" s="8" t="s">
        <v>13691</v>
      </c>
      <c r="F4398" s="8" t="s">
        <v>13977</v>
      </c>
      <c r="G4398" s="34" t="s">
        <v>8537</v>
      </c>
      <c r="H4398" s="34" t="str">
        <f>IFERROR(VLOOKUP(Table2[[#This Row], [Ticket]],Okey!A:B,2,0),"")</f>
        <v/>
      </c>
      <c r="I4398" s="34"/>
      <c r="J4398" s="34" t="str">
        <f>VLOOKUP(Table2[[#This Row],[Author]],People!A:B,2,0)</f>
        <v>LS</v>
      </c>
      <c r="L4398" s="34"/>
      <c r="M4398" s="34" t="s">
        <v>4799</v>
      </c>
    </row>
    <row r="4399" spans="1:13">
      <c r="A4399" s="40">
        <f t="shared" si="74"/>
        <v>4398</v>
      </c>
      <c r="B4399" s="34" t="s">
        <v>8</v>
      </c>
      <c r="C4399" s="34" t="s">
        <v>13289</v>
      </c>
      <c r="D4399" s="8" t="s">
        <v>13692</v>
      </c>
      <c r="F4399" s="8" t="s">
        <v>13977</v>
      </c>
      <c r="G4399" s="34" t="s">
        <v>8537</v>
      </c>
      <c r="H4399" s="34" t="str">
        <f>IFERROR(VLOOKUP(Table2[[#This Row], [Ticket]],Okey!A:B,2,0),"")</f>
        <v/>
      </c>
      <c r="I4399" s="34"/>
      <c r="J4399" s="34" t="str">
        <f>VLOOKUP(Table2[[#This Row],[Author]],People!A:B,2,0)</f>
        <v>LS</v>
      </c>
      <c r="L4399" s="34"/>
      <c r="M4399" s="34" t="s">
        <v>4799</v>
      </c>
    </row>
    <row r="4400" spans="1:13">
      <c r="A4400" s="40">
        <f t="shared" si="74"/>
        <v>4399</v>
      </c>
      <c r="B4400" s="34" t="s">
        <v>8</v>
      </c>
      <c r="C4400" s="34" t="s">
        <v>13289</v>
      </c>
      <c r="D4400" s="8" t="s">
        <v>13693</v>
      </c>
      <c r="F4400" s="8" t="s">
        <v>13977</v>
      </c>
      <c r="G4400" s="34" t="s">
        <v>8537</v>
      </c>
      <c r="H4400" s="34" t="str">
        <f>IFERROR(VLOOKUP(Table2[[#This Row], [Ticket]],Okey!A:B,2,0),"")</f>
        <v/>
      </c>
      <c r="I4400" s="34"/>
      <c r="J4400" s="34" t="str">
        <f>VLOOKUP(Table2[[#This Row],[Author]],People!A:B,2,0)</f>
        <v>LS</v>
      </c>
      <c r="L4400" s="34"/>
      <c r="M4400" s="34" t="s">
        <v>4799</v>
      </c>
    </row>
    <row r="4401" spans="1:13">
      <c r="A4401" s="40">
        <f t="shared" si="74"/>
        <v>4400</v>
      </c>
      <c r="B4401" s="34" t="s">
        <v>8</v>
      </c>
      <c r="C4401" s="34" t="s">
        <v>13289</v>
      </c>
      <c r="D4401" s="8" t="s">
        <v>13694</v>
      </c>
      <c r="F4401" s="8" t="s">
        <v>13977</v>
      </c>
      <c r="G4401" s="34" t="s">
        <v>8537</v>
      </c>
      <c r="H4401" s="34" t="str">
        <f>IFERROR(VLOOKUP(Table2[[#This Row], [Ticket]],Okey!A:B,2,0),"")</f>
        <v/>
      </c>
      <c r="I4401" s="34"/>
      <c r="J4401" s="34" t="str">
        <f>VLOOKUP(Table2[[#This Row],[Author]],People!A:B,2,0)</f>
        <v>LS</v>
      </c>
      <c r="L4401" s="34"/>
      <c r="M4401" s="34" t="s">
        <v>4799</v>
      </c>
    </row>
    <row r="4402" spans="1:13">
      <c r="A4402" s="40">
        <f t="shared" si="74"/>
        <v>4401</v>
      </c>
      <c r="B4402" s="34" t="s">
        <v>8</v>
      </c>
      <c r="C4402" s="34" t="s">
        <v>13289</v>
      </c>
      <c r="D4402" s="8" t="s">
        <v>13695</v>
      </c>
      <c r="F4402" s="8" t="s">
        <v>13977</v>
      </c>
      <c r="G4402" s="34" t="s">
        <v>8537</v>
      </c>
      <c r="H4402" s="34" t="str">
        <f>IFERROR(VLOOKUP(Table2[[#This Row], [Ticket]],Okey!A:B,2,0),"")</f>
        <v/>
      </c>
      <c r="I4402" s="34"/>
      <c r="J4402" s="34" t="str">
        <f>VLOOKUP(Table2[[#This Row],[Author]],People!A:B,2,0)</f>
        <v>LS</v>
      </c>
      <c r="L4402" s="34"/>
      <c r="M4402" s="34" t="s">
        <v>4799</v>
      </c>
    </row>
    <row r="4403" spans="1:13">
      <c r="A4403" s="40">
        <f t="shared" si="74"/>
        <v>4402</v>
      </c>
      <c r="B4403" s="34" t="s">
        <v>8</v>
      </c>
      <c r="C4403" s="34" t="s">
        <v>13289</v>
      </c>
      <c r="D4403" s="8" t="s">
        <v>13696</v>
      </c>
      <c r="F4403" s="8" t="s">
        <v>13977</v>
      </c>
      <c r="G4403" s="34" t="s">
        <v>8537</v>
      </c>
      <c r="H4403" s="34" t="str">
        <f>IFERROR(VLOOKUP(Table2[[#This Row], [Ticket]],Okey!A:B,2,0),"")</f>
        <v/>
      </c>
      <c r="I4403" s="34"/>
      <c r="J4403" s="34" t="str">
        <f>VLOOKUP(Table2[[#This Row],[Author]],People!A:B,2,0)</f>
        <v>LS</v>
      </c>
      <c r="L4403" s="34"/>
      <c r="M4403" s="34" t="s">
        <v>4799</v>
      </c>
    </row>
    <row r="4404" spans="1:13">
      <c r="A4404" s="40">
        <f t="shared" si="74"/>
        <v>4403</v>
      </c>
      <c r="B4404" s="34" t="s">
        <v>8</v>
      </c>
      <c r="C4404" s="34" t="s">
        <v>13289</v>
      </c>
      <c r="D4404" s="8" t="s">
        <v>13697</v>
      </c>
      <c r="F4404" s="8" t="s">
        <v>13977</v>
      </c>
      <c r="G4404" s="34" t="s">
        <v>8537</v>
      </c>
      <c r="H4404" s="34" t="str">
        <f>IFERROR(VLOOKUP(Table2[[#This Row], [Ticket]],Okey!A:B,2,0),"")</f>
        <v/>
      </c>
      <c r="I4404" s="34"/>
      <c r="J4404" s="34" t="str">
        <f>VLOOKUP(Table2[[#This Row],[Author]],People!A:B,2,0)</f>
        <v>LS</v>
      </c>
      <c r="L4404" s="34"/>
      <c r="M4404" s="34" t="s">
        <v>4799</v>
      </c>
    </row>
    <row r="4405" spans="1:13">
      <c r="A4405" s="40">
        <f t="shared" si="74"/>
        <v>4404</v>
      </c>
      <c r="B4405" s="34" t="s">
        <v>8</v>
      </c>
      <c r="C4405" s="34" t="s">
        <v>13289</v>
      </c>
      <c r="D4405" s="8" t="s">
        <v>13698</v>
      </c>
      <c r="F4405" s="8" t="s">
        <v>13977</v>
      </c>
      <c r="G4405" s="34" t="s">
        <v>8537</v>
      </c>
      <c r="H4405" s="34" t="str">
        <f>IFERROR(VLOOKUP(Table2[[#This Row], [Ticket]],Okey!A:B,2,0),"")</f>
        <v/>
      </c>
      <c r="I4405" s="34"/>
      <c r="J4405" s="34" t="str">
        <f>VLOOKUP(Table2[[#This Row],[Author]],People!A:B,2,0)</f>
        <v>LS</v>
      </c>
      <c r="L4405" s="34"/>
      <c r="M4405" s="34" t="s">
        <v>4799</v>
      </c>
    </row>
    <row r="4406" spans="1:13">
      <c r="A4406" s="40">
        <f t="shared" si="74"/>
        <v>4405</v>
      </c>
      <c r="B4406" s="34" t="s">
        <v>8</v>
      </c>
      <c r="C4406" s="34" t="s">
        <v>13289</v>
      </c>
      <c r="D4406" s="8" t="s">
        <v>13699</v>
      </c>
      <c r="F4406" s="8" t="s">
        <v>13977</v>
      </c>
      <c r="G4406" s="34" t="s">
        <v>8537</v>
      </c>
      <c r="H4406" s="34" t="str">
        <f>IFERROR(VLOOKUP(Table2[[#This Row], [Ticket]],Okey!A:B,2,0),"")</f>
        <v/>
      </c>
      <c r="I4406" s="34"/>
      <c r="J4406" s="34" t="str">
        <f>VLOOKUP(Table2[[#This Row],[Author]],People!A:B,2,0)</f>
        <v>LS</v>
      </c>
      <c r="L4406" s="34"/>
      <c r="M4406" s="34" t="s">
        <v>4799</v>
      </c>
    </row>
    <row r="4407" spans="1:13">
      <c r="A4407" s="40">
        <f t="shared" si="74"/>
        <v>4406</v>
      </c>
      <c r="B4407" s="34" t="s">
        <v>8</v>
      </c>
      <c r="C4407" s="34" t="s">
        <v>13289</v>
      </c>
      <c r="D4407" s="8" t="s">
        <v>13700</v>
      </c>
      <c r="F4407" s="8" t="s">
        <v>13977</v>
      </c>
      <c r="G4407" s="34" t="s">
        <v>8537</v>
      </c>
      <c r="H4407" s="34" t="str">
        <f>IFERROR(VLOOKUP(Table2[[#This Row], [Ticket]],Okey!A:B,2,0),"")</f>
        <v/>
      </c>
      <c r="I4407" s="34"/>
      <c r="J4407" s="34" t="str">
        <f>VLOOKUP(Table2[[#This Row],[Author]],People!A:B,2,0)</f>
        <v>LS</v>
      </c>
      <c r="L4407" s="34"/>
      <c r="M4407" s="34" t="s">
        <v>4799</v>
      </c>
    </row>
    <row r="4408" spans="1:13">
      <c r="A4408" s="40">
        <f t="shared" si="74"/>
        <v>4407</v>
      </c>
      <c r="B4408" s="34" t="s">
        <v>8</v>
      </c>
      <c r="C4408" s="34" t="s">
        <v>13289</v>
      </c>
      <c r="D4408" s="8" t="s">
        <v>13701</v>
      </c>
      <c r="F4408" s="8" t="s">
        <v>13977</v>
      </c>
      <c r="G4408" s="34" t="s">
        <v>8537</v>
      </c>
      <c r="H4408" s="34" t="str">
        <f>IFERROR(VLOOKUP(Table2[[#This Row], [Ticket]],Okey!A:B,2,0),"")</f>
        <v/>
      </c>
      <c r="I4408" s="34"/>
      <c r="J4408" s="34" t="str">
        <f>VLOOKUP(Table2[[#This Row],[Author]],People!A:B,2,0)</f>
        <v>LS</v>
      </c>
      <c r="L4408" s="34"/>
      <c r="M4408" s="34" t="s">
        <v>4799</v>
      </c>
    </row>
    <row r="4409" spans="1:13">
      <c r="A4409" s="40">
        <f t="shared" si="74"/>
        <v>4408</v>
      </c>
      <c r="B4409" s="34" t="s">
        <v>8</v>
      </c>
      <c r="C4409" s="34" t="s">
        <v>13289</v>
      </c>
      <c r="D4409" s="8" t="s">
        <v>13702</v>
      </c>
      <c r="F4409" s="8" t="s">
        <v>13977</v>
      </c>
      <c r="G4409" s="34" t="s">
        <v>8537</v>
      </c>
      <c r="H4409" s="34" t="str">
        <f>IFERROR(VLOOKUP(Table2[[#This Row], [Ticket]],Okey!A:B,2,0),"")</f>
        <v/>
      </c>
      <c r="I4409" s="34"/>
      <c r="J4409" s="34" t="str">
        <f>VLOOKUP(Table2[[#This Row],[Author]],People!A:B,2,0)</f>
        <v>LS</v>
      </c>
      <c r="L4409" s="34"/>
      <c r="M4409" s="34" t="s">
        <v>4799</v>
      </c>
    </row>
    <row r="4410" spans="1:13">
      <c r="A4410" s="40">
        <f t="shared" si="74"/>
        <v>4409</v>
      </c>
      <c r="B4410" s="34" t="s">
        <v>8</v>
      </c>
      <c r="C4410" s="34" t="s">
        <v>13289</v>
      </c>
      <c r="D4410" s="8" t="s">
        <v>13703</v>
      </c>
      <c r="F4410" s="8" t="s">
        <v>13977</v>
      </c>
      <c r="G4410" s="34" t="s">
        <v>8537</v>
      </c>
      <c r="H4410" s="34" t="str">
        <f>IFERROR(VLOOKUP(Table2[[#This Row], [Ticket]],Okey!A:B,2,0),"")</f>
        <v/>
      </c>
      <c r="I4410" s="34"/>
      <c r="J4410" s="34" t="str">
        <f>VLOOKUP(Table2[[#This Row],[Author]],People!A:B,2,0)</f>
        <v>LS</v>
      </c>
      <c r="L4410" s="34"/>
      <c r="M4410" s="34" t="s">
        <v>4799</v>
      </c>
    </row>
    <row r="4411" spans="1:13">
      <c r="A4411" s="40">
        <f t="shared" si="74"/>
        <v>4410</v>
      </c>
      <c r="B4411" s="34" t="s">
        <v>8</v>
      </c>
      <c r="C4411" s="34" t="s">
        <v>13289</v>
      </c>
      <c r="D4411" s="8" t="s">
        <v>13704</v>
      </c>
      <c r="F4411" s="8" t="s">
        <v>13977</v>
      </c>
      <c r="G4411" s="34" t="s">
        <v>8537</v>
      </c>
      <c r="H4411" s="34" t="str">
        <f>IFERROR(VLOOKUP(Table2[[#This Row], [Ticket]],Okey!A:B,2,0),"")</f>
        <v/>
      </c>
      <c r="I4411" s="34"/>
      <c r="J4411" s="34" t="str">
        <f>VLOOKUP(Table2[[#This Row],[Author]],People!A:B,2,0)</f>
        <v>LS</v>
      </c>
      <c r="L4411" s="34"/>
      <c r="M4411" s="34" t="s">
        <v>4799</v>
      </c>
    </row>
    <row r="4412" spans="1:13">
      <c r="A4412" s="40">
        <f t="shared" si="74"/>
        <v>4411</v>
      </c>
      <c r="B4412" s="34" t="s">
        <v>8</v>
      </c>
      <c r="C4412" s="34" t="s">
        <v>13289</v>
      </c>
      <c r="D4412" s="8" t="s">
        <v>13705</v>
      </c>
      <c r="F4412" s="8" t="s">
        <v>13977</v>
      </c>
      <c r="G4412" s="34" t="s">
        <v>8537</v>
      </c>
      <c r="H4412" s="34" t="str">
        <f>IFERROR(VLOOKUP(Table2[[#This Row], [Ticket]],Okey!A:B,2,0),"")</f>
        <v/>
      </c>
      <c r="I4412" s="34"/>
      <c r="J4412" s="34" t="str">
        <f>VLOOKUP(Table2[[#This Row],[Author]],People!A:B,2,0)</f>
        <v>LS</v>
      </c>
      <c r="L4412" s="34"/>
      <c r="M4412" s="34" t="s">
        <v>4799</v>
      </c>
    </row>
    <row r="4413" spans="1:13">
      <c r="A4413" s="40">
        <f t="shared" si="74"/>
        <v>4412</v>
      </c>
      <c r="B4413" s="34" t="s">
        <v>8</v>
      </c>
      <c r="C4413" s="34" t="s">
        <v>13289</v>
      </c>
      <c r="D4413" s="8" t="s">
        <v>13706</v>
      </c>
      <c r="F4413" s="8" t="s">
        <v>13977</v>
      </c>
      <c r="G4413" s="34" t="s">
        <v>8537</v>
      </c>
      <c r="H4413" s="34" t="str">
        <f>IFERROR(VLOOKUP(Table2[[#This Row], [Ticket]],Okey!A:B,2,0),"")</f>
        <v/>
      </c>
      <c r="I4413" s="34"/>
      <c r="J4413" s="34" t="str">
        <f>VLOOKUP(Table2[[#This Row],[Author]],People!A:B,2,0)</f>
        <v>LS</v>
      </c>
      <c r="L4413" s="34"/>
      <c r="M4413" s="34" t="s">
        <v>4799</v>
      </c>
    </row>
    <row r="4414" spans="1:13">
      <c r="A4414" s="40">
        <f t="shared" si="74"/>
        <v>4413</v>
      </c>
      <c r="B4414" s="34" t="s">
        <v>8</v>
      </c>
      <c r="C4414" s="34" t="s">
        <v>13289</v>
      </c>
      <c r="D4414" s="8" t="s">
        <v>13707</v>
      </c>
      <c r="F4414" s="8" t="s">
        <v>13977</v>
      </c>
      <c r="G4414" s="34" t="s">
        <v>8537</v>
      </c>
      <c r="H4414" s="34" t="str">
        <f>IFERROR(VLOOKUP(Table2[[#This Row], [Ticket]],Okey!A:B,2,0),"")</f>
        <v/>
      </c>
      <c r="I4414" s="34"/>
      <c r="J4414" s="34" t="str">
        <f>VLOOKUP(Table2[[#This Row],[Author]],People!A:B,2,0)</f>
        <v>LS</v>
      </c>
      <c r="L4414" s="34"/>
      <c r="M4414" s="34" t="s">
        <v>4799</v>
      </c>
    </row>
    <row r="4415" spans="1:13">
      <c r="A4415" s="40">
        <f t="shared" si="74"/>
        <v>4414</v>
      </c>
      <c r="B4415" s="34" t="s">
        <v>8</v>
      </c>
      <c r="C4415" s="34" t="s">
        <v>13289</v>
      </c>
      <c r="D4415" s="8" t="s">
        <v>13708</v>
      </c>
      <c r="F4415" s="8" t="s">
        <v>13977</v>
      </c>
      <c r="G4415" s="34" t="s">
        <v>8537</v>
      </c>
      <c r="H4415" s="34" t="str">
        <f>IFERROR(VLOOKUP(Table2[[#This Row], [Ticket]],Okey!A:B,2,0),"")</f>
        <v/>
      </c>
      <c r="I4415" s="34"/>
      <c r="J4415" s="34" t="str">
        <f>VLOOKUP(Table2[[#This Row],[Author]],People!A:B,2,0)</f>
        <v>LS</v>
      </c>
      <c r="L4415" s="34"/>
      <c r="M4415" s="34" t="s">
        <v>4799</v>
      </c>
    </row>
    <row r="4416" spans="1:13">
      <c r="A4416" s="40">
        <f t="shared" si="74"/>
        <v>4415</v>
      </c>
      <c r="B4416" s="34" t="s">
        <v>8</v>
      </c>
      <c r="C4416" s="34" t="s">
        <v>13289</v>
      </c>
      <c r="D4416" s="8" t="s">
        <v>13709</v>
      </c>
      <c r="F4416" s="8" t="s">
        <v>13977</v>
      </c>
      <c r="G4416" s="34" t="s">
        <v>8537</v>
      </c>
      <c r="H4416" s="34" t="str">
        <f>IFERROR(VLOOKUP(Table2[[#This Row], [Ticket]],Okey!A:B,2,0),"")</f>
        <v/>
      </c>
      <c r="I4416" s="34"/>
      <c r="J4416" s="34" t="str">
        <f>VLOOKUP(Table2[[#This Row],[Author]],People!A:B,2,0)</f>
        <v>LS</v>
      </c>
      <c r="L4416" s="34"/>
      <c r="M4416" s="34" t="s">
        <v>4799</v>
      </c>
    </row>
    <row r="4417" spans="1:13">
      <c r="A4417" s="40">
        <f t="shared" si="74"/>
        <v>4416</v>
      </c>
      <c r="B4417" s="34" t="s">
        <v>8</v>
      </c>
      <c r="C4417" s="34" t="s">
        <v>13289</v>
      </c>
      <c r="D4417" s="8" t="s">
        <v>13710</v>
      </c>
      <c r="F4417" s="8" t="s">
        <v>13977</v>
      </c>
      <c r="G4417" s="34" t="s">
        <v>8537</v>
      </c>
      <c r="H4417" s="34" t="str">
        <f>IFERROR(VLOOKUP(Table2[[#This Row], [Ticket]],Okey!A:B,2,0),"")</f>
        <v/>
      </c>
      <c r="I4417" s="34"/>
      <c r="J4417" s="34" t="str">
        <f>VLOOKUP(Table2[[#This Row],[Author]],People!A:B,2,0)</f>
        <v>LS</v>
      </c>
      <c r="L4417" s="34"/>
      <c r="M4417" s="34" t="s">
        <v>4799</v>
      </c>
    </row>
    <row r="4418" spans="1:13">
      <c r="A4418" s="40">
        <f t="shared" si="74"/>
        <v>4417</v>
      </c>
      <c r="B4418" s="34" t="s">
        <v>8</v>
      </c>
      <c r="C4418" s="34" t="s">
        <v>13289</v>
      </c>
      <c r="D4418" s="8" t="s">
        <v>13711</v>
      </c>
      <c r="F4418" s="8" t="s">
        <v>13977</v>
      </c>
      <c r="G4418" s="34" t="s">
        <v>8537</v>
      </c>
      <c r="H4418" s="34" t="str">
        <f>IFERROR(VLOOKUP(Table2[[#This Row], [Ticket]],Okey!A:B,2,0),"")</f>
        <v/>
      </c>
      <c r="I4418" s="34"/>
      <c r="J4418" s="34" t="str">
        <f>VLOOKUP(Table2[[#This Row],[Author]],People!A:B,2,0)</f>
        <v>LS</v>
      </c>
      <c r="L4418" s="34"/>
      <c r="M4418" s="34" t="s">
        <v>4799</v>
      </c>
    </row>
    <row r="4419" spans="1:13">
      <c r="A4419" s="40">
        <f t="shared" si="74"/>
        <v>4418</v>
      </c>
      <c r="B4419" s="34" t="s">
        <v>8</v>
      </c>
      <c r="C4419" s="34" t="s">
        <v>13289</v>
      </c>
      <c r="D4419" s="8" t="s">
        <v>13712</v>
      </c>
      <c r="F4419" s="8" t="s">
        <v>13977</v>
      </c>
      <c r="G4419" s="34" t="s">
        <v>8537</v>
      </c>
      <c r="H4419" s="34" t="str">
        <f>IFERROR(VLOOKUP(Table2[[#This Row], [Ticket]],Okey!A:B,2,0),"")</f>
        <v/>
      </c>
      <c r="I4419" s="34"/>
      <c r="J4419" s="34" t="str">
        <f>VLOOKUP(Table2[[#This Row],[Author]],People!A:B,2,0)</f>
        <v>LS</v>
      </c>
      <c r="L4419" s="34"/>
      <c r="M4419" s="34" t="s">
        <v>4799</v>
      </c>
    </row>
    <row r="4420" spans="1:13">
      <c r="A4420" s="40">
        <f t="shared" si="74"/>
        <v>4419</v>
      </c>
      <c r="B4420" s="34" t="s">
        <v>8</v>
      </c>
      <c r="C4420" s="34" t="s">
        <v>13289</v>
      </c>
      <c r="D4420" s="8" t="s">
        <v>13713</v>
      </c>
      <c r="F4420" s="8" t="s">
        <v>13977</v>
      </c>
      <c r="G4420" s="34" t="s">
        <v>8537</v>
      </c>
      <c r="H4420" s="34" t="str">
        <f>IFERROR(VLOOKUP(Table2[[#This Row], [Ticket]],Okey!A:B,2,0),"")</f>
        <v/>
      </c>
      <c r="I4420" s="34"/>
      <c r="J4420" s="34" t="str">
        <f>VLOOKUP(Table2[[#This Row],[Author]],People!A:B,2,0)</f>
        <v>LS</v>
      </c>
      <c r="L4420" s="34"/>
      <c r="M4420" s="34" t="s">
        <v>4799</v>
      </c>
    </row>
    <row r="4421" spans="1:13">
      <c r="A4421" s="40">
        <f t="shared" si="74"/>
        <v>4420</v>
      </c>
      <c r="B4421" s="34" t="s">
        <v>8</v>
      </c>
      <c r="C4421" s="34" t="s">
        <v>13289</v>
      </c>
      <c r="D4421" s="8" t="s">
        <v>8553</v>
      </c>
      <c r="F4421" s="8" t="s">
        <v>13978</v>
      </c>
      <c r="G4421" s="34" t="s">
        <v>8537</v>
      </c>
      <c r="H4421" s="34" t="str">
        <f>IFERROR(VLOOKUP(Table2[[#This Row], [Ticket]],Okey!A:B,2,0),"")</f>
        <v/>
      </c>
      <c r="I4421" s="34"/>
      <c r="J4421" s="34" t="str">
        <f>VLOOKUP(Table2[[#This Row],[Author]],People!A:B,2,0)</f>
        <v>LS</v>
      </c>
      <c r="L4421" s="34"/>
      <c r="M4421" s="34" t="s">
        <v>4799</v>
      </c>
    </row>
  </sheetData>
  <phoneticPr fontId="23" type="noConversion"/>
  <conditionalFormatting sqref="D2:D866 D869:D872">
    <cfRule type="duplicateValues" dxfId="102" priority="104"/>
  </conditionalFormatting>
  <conditionalFormatting sqref="K866:K868">
    <cfRule type="duplicateValues" dxfId="101" priority="103"/>
  </conditionalFormatting>
  <conditionalFormatting sqref="K867">
    <cfRule type="duplicateValues" dxfId="100" priority="102"/>
  </conditionalFormatting>
  <conditionalFormatting sqref="K868">
    <cfRule type="duplicateValues" dxfId="99" priority="101"/>
  </conditionalFormatting>
  <conditionalFormatting sqref="F867">
    <cfRule type="duplicateValues" dxfId="98" priority="100"/>
  </conditionalFormatting>
  <conditionalFormatting sqref="F868">
    <cfRule type="duplicateValues" dxfId="97" priority="99"/>
  </conditionalFormatting>
  <conditionalFormatting sqref="F872">
    <cfRule type="duplicateValues" dxfId="96" priority="98"/>
  </conditionalFormatting>
  <conditionalFormatting sqref="D867">
    <cfRule type="duplicateValues" dxfId="95" priority="97"/>
  </conditionalFormatting>
  <conditionalFormatting sqref="D868">
    <cfRule type="duplicateValues" dxfId="94" priority="96"/>
  </conditionalFormatting>
  <conditionalFormatting sqref="D873">
    <cfRule type="duplicateValues" dxfId="93" priority="95"/>
  </conditionalFormatting>
  <conditionalFormatting sqref="D889">
    <cfRule type="duplicateValues" dxfId="92" priority="94"/>
  </conditionalFormatting>
  <conditionalFormatting sqref="K889 K873">
    <cfRule type="duplicateValues" dxfId="91" priority="93"/>
  </conditionalFormatting>
  <conditionalFormatting sqref="D1356">
    <cfRule type="duplicateValues" dxfId="90" priority="92"/>
  </conditionalFormatting>
  <conditionalFormatting sqref="F1459">
    <cfRule type="duplicateValues" dxfId="89" priority="90"/>
  </conditionalFormatting>
  <conditionalFormatting sqref="F1460">
    <cfRule type="duplicateValues" dxfId="88" priority="89"/>
  </conditionalFormatting>
  <conditionalFormatting sqref="F1461">
    <cfRule type="duplicateValues" dxfId="87" priority="88"/>
  </conditionalFormatting>
  <conditionalFormatting sqref="F1463">
    <cfRule type="duplicateValues" dxfId="86" priority="87"/>
  </conditionalFormatting>
  <conditionalFormatting sqref="F1464">
    <cfRule type="duplicateValues" dxfId="85" priority="86"/>
  </conditionalFormatting>
  <conditionalFormatting sqref="F1473">
    <cfRule type="duplicateValues" dxfId="84" priority="85"/>
  </conditionalFormatting>
  <conditionalFormatting sqref="F1491">
    <cfRule type="duplicateValues" dxfId="83" priority="84"/>
  </conditionalFormatting>
  <conditionalFormatting sqref="F1492">
    <cfRule type="duplicateValues" dxfId="82" priority="83"/>
  </conditionalFormatting>
  <conditionalFormatting sqref="F1493">
    <cfRule type="duplicateValues" dxfId="81" priority="82"/>
  </conditionalFormatting>
  <conditionalFormatting sqref="F1494">
    <cfRule type="duplicateValues" dxfId="80" priority="81"/>
  </conditionalFormatting>
  <conditionalFormatting sqref="F1496">
    <cfRule type="duplicateValues" dxfId="79" priority="80"/>
  </conditionalFormatting>
  <conditionalFormatting sqref="F1497">
    <cfRule type="duplicateValues" dxfId="78" priority="79"/>
  </conditionalFormatting>
  <conditionalFormatting sqref="F1498">
    <cfRule type="duplicateValues" dxfId="77" priority="78"/>
  </conditionalFormatting>
  <conditionalFormatting sqref="F1499">
    <cfRule type="duplicateValues" dxfId="76" priority="77"/>
  </conditionalFormatting>
  <conditionalFormatting sqref="F1501">
    <cfRule type="duplicateValues" dxfId="75" priority="76"/>
  </conditionalFormatting>
  <conditionalFormatting sqref="F1502">
    <cfRule type="duplicateValues" dxfId="74" priority="75"/>
  </conditionalFormatting>
  <conditionalFormatting sqref="F1503">
    <cfRule type="duplicateValues" dxfId="73" priority="74"/>
  </conditionalFormatting>
  <conditionalFormatting sqref="F1504">
    <cfRule type="duplicateValues" dxfId="72" priority="73"/>
  </conditionalFormatting>
  <conditionalFormatting sqref="F1505">
    <cfRule type="duplicateValues" dxfId="71" priority="72"/>
  </conditionalFormatting>
  <conditionalFormatting sqref="F1506">
    <cfRule type="duplicateValues" dxfId="70" priority="71"/>
  </conditionalFormatting>
  <conditionalFormatting sqref="F1507">
    <cfRule type="duplicateValues" dxfId="69" priority="70"/>
  </conditionalFormatting>
  <conditionalFormatting sqref="F1508">
    <cfRule type="duplicateValues" dxfId="68" priority="69"/>
  </conditionalFormatting>
  <conditionalFormatting sqref="F1509">
    <cfRule type="duplicateValues" dxfId="67" priority="68"/>
  </conditionalFormatting>
  <conditionalFormatting sqref="F1510">
    <cfRule type="duplicateValues" dxfId="66" priority="67"/>
  </conditionalFormatting>
  <conditionalFormatting sqref="F1511">
    <cfRule type="duplicateValues" dxfId="65" priority="66"/>
  </conditionalFormatting>
  <conditionalFormatting sqref="F1512">
    <cfRule type="duplicateValues" dxfId="64" priority="65"/>
  </conditionalFormatting>
  <conditionalFormatting sqref="F1514">
    <cfRule type="duplicateValues" dxfId="63" priority="64"/>
  </conditionalFormatting>
  <conditionalFormatting sqref="F1515">
    <cfRule type="duplicateValues" dxfId="62" priority="63"/>
  </conditionalFormatting>
  <conditionalFormatting sqref="F1516">
    <cfRule type="duplicateValues" dxfId="61" priority="62"/>
  </conditionalFormatting>
  <conditionalFormatting sqref="F1517">
    <cfRule type="duplicateValues" dxfId="60" priority="61"/>
  </conditionalFormatting>
  <conditionalFormatting sqref="F1630">
    <cfRule type="duplicateValues" dxfId="59" priority="60"/>
  </conditionalFormatting>
  <conditionalFormatting sqref="F1631">
    <cfRule type="duplicateValues" dxfId="58" priority="59"/>
  </conditionalFormatting>
  <conditionalFormatting sqref="F1632">
    <cfRule type="duplicateValues" dxfId="57" priority="58"/>
  </conditionalFormatting>
  <conditionalFormatting sqref="F1633">
    <cfRule type="duplicateValues" dxfId="56" priority="57"/>
  </conditionalFormatting>
  <conditionalFormatting sqref="F1634">
    <cfRule type="duplicateValues" dxfId="55" priority="56"/>
  </conditionalFormatting>
  <conditionalFormatting sqref="D1639">
    <cfRule type="duplicateValues" dxfId="54" priority="55"/>
  </conditionalFormatting>
  <conditionalFormatting sqref="F1712">
    <cfRule type="duplicateValues" dxfId="53" priority="54"/>
  </conditionalFormatting>
  <conditionalFormatting sqref="F1713">
    <cfRule type="duplicateValues" dxfId="52" priority="53"/>
  </conditionalFormatting>
  <conditionalFormatting sqref="F1714">
    <cfRule type="duplicateValues" dxfId="51" priority="52"/>
  </conditionalFormatting>
  <conditionalFormatting sqref="F2508">
    <cfRule type="duplicateValues" dxfId="50" priority="51"/>
  </conditionalFormatting>
  <conditionalFormatting sqref="F2509">
    <cfRule type="duplicateValues" dxfId="49" priority="50"/>
  </conditionalFormatting>
  <conditionalFormatting sqref="F2524">
    <cfRule type="duplicateValues" dxfId="48" priority="49"/>
  </conditionalFormatting>
  <conditionalFormatting sqref="F2525">
    <cfRule type="duplicateValues" dxfId="47" priority="48"/>
  </conditionalFormatting>
  <conditionalFormatting sqref="F2533">
    <cfRule type="duplicateValues" dxfId="46" priority="47"/>
  </conditionalFormatting>
  <conditionalFormatting sqref="F2534">
    <cfRule type="duplicateValues" dxfId="45" priority="46"/>
  </conditionalFormatting>
  <conditionalFormatting sqref="F2543">
    <cfRule type="duplicateValues" dxfId="44" priority="45"/>
  </conditionalFormatting>
  <conditionalFormatting sqref="F2544">
    <cfRule type="duplicateValues" dxfId="43" priority="44"/>
  </conditionalFormatting>
  <conditionalFormatting sqref="F2558">
    <cfRule type="duplicateValues" dxfId="42" priority="43"/>
  </conditionalFormatting>
  <conditionalFormatting sqref="F2559">
    <cfRule type="duplicateValues" dxfId="41" priority="42"/>
  </conditionalFormatting>
  <conditionalFormatting sqref="F2572">
    <cfRule type="duplicateValues" dxfId="40" priority="41"/>
  </conditionalFormatting>
  <conditionalFormatting sqref="F2573">
    <cfRule type="duplicateValues" dxfId="39" priority="40"/>
  </conditionalFormatting>
  <conditionalFormatting sqref="F2581">
    <cfRule type="duplicateValues" dxfId="38" priority="39"/>
  </conditionalFormatting>
  <conditionalFormatting sqref="F2582">
    <cfRule type="duplicateValues" dxfId="37" priority="38"/>
  </conditionalFormatting>
  <conditionalFormatting sqref="F2593">
    <cfRule type="duplicateValues" dxfId="36" priority="37"/>
  </conditionalFormatting>
  <conditionalFormatting sqref="F2594">
    <cfRule type="duplicateValues" dxfId="35" priority="36"/>
  </conditionalFormatting>
  <conditionalFormatting sqref="F2790">
    <cfRule type="duplicateValues" dxfId="34" priority="35"/>
  </conditionalFormatting>
  <conditionalFormatting sqref="F2792">
    <cfRule type="duplicateValues" dxfId="33" priority="34"/>
  </conditionalFormatting>
  <conditionalFormatting sqref="D2:D3331">
    <cfRule type="duplicateValues" dxfId="32" priority="109"/>
  </conditionalFormatting>
  <conditionalFormatting sqref="F2846">
    <cfRule type="duplicateValues" dxfId="31" priority="33"/>
  </conditionalFormatting>
  <conditionalFormatting sqref="F3322">
    <cfRule type="duplicateValues" dxfId="30" priority="31"/>
  </conditionalFormatting>
  <conditionalFormatting sqref="F3324">
    <cfRule type="duplicateValues" dxfId="29" priority="30"/>
  </conditionalFormatting>
  <conditionalFormatting sqref="D3332">
    <cfRule type="duplicateValues" dxfId="28" priority="29"/>
  </conditionalFormatting>
  <conditionalFormatting sqref="D3333">
    <cfRule type="duplicateValues" dxfId="27" priority="28"/>
  </conditionalFormatting>
  <conditionalFormatting sqref="D3334">
    <cfRule type="duplicateValues" dxfId="26" priority="27"/>
  </conditionalFormatting>
  <conditionalFormatting sqref="D3335">
    <cfRule type="duplicateValues" dxfId="25" priority="26"/>
  </conditionalFormatting>
  <conditionalFormatting sqref="D3336">
    <cfRule type="duplicateValues" dxfId="24" priority="25"/>
  </conditionalFormatting>
  <conditionalFormatting sqref="D3343">
    <cfRule type="duplicateValues" dxfId="23" priority="24"/>
  </conditionalFormatting>
  <conditionalFormatting sqref="F3344">
    <cfRule type="duplicateValues" dxfId="22" priority="23"/>
  </conditionalFormatting>
  <conditionalFormatting sqref="D3759">
    <cfRule type="duplicateValues" dxfId="21" priority="22"/>
  </conditionalFormatting>
  <conditionalFormatting sqref="D3761">
    <cfRule type="duplicateValues" dxfId="20" priority="21"/>
  </conditionalFormatting>
  <conditionalFormatting sqref="D3763">
    <cfRule type="duplicateValues" dxfId="19" priority="20"/>
  </conditionalFormatting>
  <conditionalFormatting sqref="D3764">
    <cfRule type="duplicateValues" dxfId="18" priority="19"/>
  </conditionalFormatting>
  <conditionalFormatting sqref="D3766">
    <cfRule type="duplicateValues" dxfId="17" priority="18"/>
  </conditionalFormatting>
  <conditionalFormatting sqref="D3768">
    <cfRule type="duplicateValues" dxfId="16" priority="17"/>
  </conditionalFormatting>
  <conditionalFormatting sqref="D3770">
    <cfRule type="duplicateValues" dxfId="15" priority="16"/>
  </conditionalFormatting>
  <conditionalFormatting sqref="F3760">
    <cfRule type="duplicateValues" dxfId="14" priority="15"/>
  </conditionalFormatting>
  <conditionalFormatting sqref="F3762">
    <cfRule type="duplicateValues" dxfId="13" priority="14"/>
  </conditionalFormatting>
  <conditionalFormatting sqref="F3764">
    <cfRule type="duplicateValues" dxfId="12" priority="13"/>
  </conditionalFormatting>
  <conditionalFormatting sqref="F3765">
    <cfRule type="duplicateValues" dxfId="11" priority="12"/>
  </conditionalFormatting>
  <conditionalFormatting sqref="F3766">
    <cfRule type="duplicateValues" dxfId="10" priority="11"/>
  </conditionalFormatting>
  <conditionalFormatting sqref="F3768">
    <cfRule type="duplicateValues" dxfId="9" priority="10"/>
  </conditionalFormatting>
  <conditionalFormatting sqref="F3769">
    <cfRule type="duplicateValues" dxfId="8" priority="9"/>
  </conditionalFormatting>
  <conditionalFormatting sqref="F3767">
    <cfRule type="duplicateValues" dxfId="7" priority="8"/>
  </conditionalFormatting>
  <conditionalFormatting sqref="F3770">
    <cfRule type="duplicateValues" dxfId="6" priority="7"/>
  </conditionalFormatting>
  <conditionalFormatting sqref="F3771">
    <cfRule type="duplicateValues" dxfId="5" priority="6"/>
  </conditionalFormatting>
  <conditionalFormatting sqref="D3803">
    <cfRule type="duplicateValues" dxfId="4" priority="5"/>
  </conditionalFormatting>
  <conditionalFormatting sqref="D3804:D3817">
    <cfRule type="duplicateValues" dxfId="3" priority="4"/>
  </conditionalFormatting>
  <conditionalFormatting sqref="D3823:D3833">
    <cfRule type="duplicateValues" dxfId="2" priority="3"/>
  </conditionalFormatting>
  <conditionalFormatting sqref="F3961">
    <cfRule type="duplicateValues" dxfId="1" priority="2"/>
  </conditionalFormatting>
  <conditionalFormatting sqref="F3825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A70-DBBF-4D74-B2D7-0BA79A9DC3BB}">
  <dimension ref="A1:J171"/>
  <sheetViews>
    <sheetView workbookViewId="0">
      <selection activeCell="I1" sqref="I1:J2"/>
    </sheetView>
  </sheetViews>
  <sheetFormatPr defaultRowHeight="15"/>
  <cols>
    <col min="5" max="6" width="11.28515625" bestFit="1" customWidth="1"/>
  </cols>
  <sheetData>
    <row r="1" spans="1:10">
      <c r="A1" t="s">
        <v>13288</v>
      </c>
      <c r="B1" t="s">
        <v>12983</v>
      </c>
      <c r="E1" t="s">
        <v>13288</v>
      </c>
      <c r="F1" t="s">
        <v>12983</v>
      </c>
      <c r="I1" t="s">
        <v>13288</v>
      </c>
      <c r="J1" t="s">
        <v>12983</v>
      </c>
    </row>
    <row r="2" spans="1:10">
      <c r="A2" t="s">
        <v>13014</v>
      </c>
      <c r="B2" t="s">
        <v>12985</v>
      </c>
      <c r="C2" t="s">
        <v>12984</v>
      </c>
      <c r="E2" t="s">
        <v>6369</v>
      </c>
      <c r="F2" t="s">
        <v>13014</v>
      </c>
      <c r="I2" t="s">
        <v>583</v>
      </c>
      <c r="J2" s="121" t="s">
        <v>365</v>
      </c>
    </row>
    <row r="3" spans="1:10">
      <c r="A3" t="s">
        <v>12986</v>
      </c>
      <c r="B3" t="s">
        <v>12985</v>
      </c>
      <c r="C3" t="s">
        <v>12984</v>
      </c>
      <c r="E3" t="s">
        <v>13014</v>
      </c>
      <c r="F3" t="s">
        <v>12986</v>
      </c>
    </row>
    <row r="4" spans="1:10">
      <c r="A4" t="s">
        <v>13015</v>
      </c>
      <c r="B4" t="s">
        <v>12987</v>
      </c>
      <c r="C4" t="s">
        <v>12984</v>
      </c>
      <c r="E4" t="s">
        <v>6300</v>
      </c>
      <c r="F4" t="s">
        <v>13015</v>
      </c>
    </row>
    <row r="5" spans="1:10">
      <c r="A5" t="s">
        <v>12988</v>
      </c>
      <c r="B5" t="s">
        <v>12987</v>
      </c>
      <c r="C5" t="s">
        <v>12984</v>
      </c>
      <c r="E5" t="s">
        <v>13015</v>
      </c>
      <c r="F5" t="s">
        <v>12988</v>
      </c>
    </row>
    <row r="6" spans="1:10">
      <c r="A6" t="s">
        <v>13016</v>
      </c>
      <c r="B6" t="s">
        <v>12989</v>
      </c>
      <c r="C6" t="s">
        <v>12984</v>
      </c>
      <c r="E6" t="s">
        <v>5266</v>
      </c>
      <c r="F6" t="s">
        <v>13016</v>
      </c>
    </row>
    <row r="7" spans="1:10">
      <c r="A7" t="s">
        <v>13017</v>
      </c>
      <c r="B7" t="s">
        <v>12990</v>
      </c>
      <c r="C7" t="s">
        <v>12984</v>
      </c>
      <c r="E7" t="s">
        <v>13016</v>
      </c>
      <c r="F7" t="s">
        <v>13017</v>
      </c>
    </row>
    <row r="8" spans="1:10">
      <c r="A8" t="s">
        <v>12991</v>
      </c>
      <c r="B8" t="s">
        <v>12989</v>
      </c>
      <c r="C8" t="s">
        <v>12984</v>
      </c>
      <c r="E8" t="s">
        <v>13017</v>
      </c>
      <c r="F8" t="s">
        <v>12991</v>
      </c>
    </row>
    <row r="9" spans="1:10">
      <c r="A9" t="s">
        <v>13018</v>
      </c>
      <c r="B9" t="s">
        <v>12992</v>
      </c>
      <c r="C9" t="s">
        <v>12984</v>
      </c>
      <c r="E9" t="s">
        <v>13016</v>
      </c>
      <c r="F9" t="s">
        <v>13018</v>
      </c>
    </row>
    <row r="10" spans="1:10">
      <c r="A10" t="s">
        <v>12993</v>
      </c>
      <c r="B10" t="s">
        <v>12992</v>
      </c>
      <c r="C10" t="s">
        <v>12984</v>
      </c>
      <c r="E10" t="s">
        <v>13018</v>
      </c>
      <c r="F10" t="s">
        <v>12993</v>
      </c>
    </row>
    <row r="11" spans="1:10">
      <c r="A11" t="s">
        <v>13019</v>
      </c>
      <c r="B11" t="s">
        <v>12994</v>
      </c>
      <c r="C11" t="s">
        <v>12984</v>
      </c>
      <c r="E11" t="s">
        <v>13016</v>
      </c>
      <c r="F11" t="s">
        <v>13019</v>
      </c>
    </row>
    <row r="12" spans="1:10">
      <c r="A12" t="s">
        <v>12995</v>
      </c>
      <c r="B12" t="s">
        <v>12994</v>
      </c>
      <c r="C12" t="s">
        <v>12984</v>
      </c>
      <c r="E12" t="s">
        <v>13019</v>
      </c>
      <c r="F12" t="s">
        <v>12995</v>
      </c>
    </row>
    <row r="13" spans="1:10">
      <c r="A13" t="s">
        <v>13020</v>
      </c>
      <c r="B13" t="s">
        <v>12996</v>
      </c>
      <c r="C13" t="s">
        <v>12984</v>
      </c>
      <c r="E13" t="s">
        <v>13016</v>
      </c>
      <c r="F13" t="s">
        <v>13020</v>
      </c>
    </row>
    <row r="14" spans="1:10">
      <c r="A14" t="s">
        <v>12997</v>
      </c>
      <c r="B14" t="s">
        <v>12996</v>
      </c>
      <c r="C14" t="s">
        <v>12984</v>
      </c>
      <c r="E14" t="s">
        <v>13020</v>
      </c>
      <c r="F14" t="s">
        <v>12997</v>
      </c>
    </row>
    <row r="15" spans="1:10">
      <c r="A15" t="s">
        <v>12318</v>
      </c>
      <c r="B15" t="s">
        <v>12998</v>
      </c>
      <c r="C15" t="s">
        <v>12984</v>
      </c>
      <c r="E15" t="s">
        <v>3655</v>
      </c>
      <c r="F15" t="s">
        <v>13254</v>
      </c>
    </row>
    <row r="16" spans="1:10">
      <c r="A16" t="s">
        <v>365</v>
      </c>
      <c r="B16" t="s">
        <v>13012</v>
      </c>
      <c r="C16" t="s">
        <v>12984</v>
      </c>
      <c r="E16" t="s">
        <v>3655</v>
      </c>
      <c r="F16" t="s">
        <v>13255</v>
      </c>
    </row>
    <row r="17" spans="1:6">
      <c r="A17" t="s">
        <v>13254</v>
      </c>
      <c r="B17" t="s">
        <v>13071</v>
      </c>
      <c r="C17" t="s">
        <v>12984</v>
      </c>
      <c r="E17" t="s">
        <v>9849</v>
      </c>
      <c r="F17" t="s">
        <v>13256</v>
      </c>
    </row>
    <row r="18" spans="1:6">
      <c r="A18" t="s">
        <v>13255</v>
      </c>
      <c r="B18" t="s">
        <v>13072</v>
      </c>
      <c r="C18" t="s">
        <v>12984</v>
      </c>
      <c r="E18" t="s">
        <v>13256</v>
      </c>
      <c r="F18" t="s">
        <v>13257</v>
      </c>
    </row>
    <row r="19" spans="1:6">
      <c r="A19" t="s">
        <v>13256</v>
      </c>
      <c r="B19" t="s">
        <v>13073</v>
      </c>
      <c r="C19" t="s">
        <v>12984</v>
      </c>
      <c r="E19" t="s">
        <v>13256</v>
      </c>
      <c r="F19" t="s">
        <v>13258</v>
      </c>
    </row>
    <row r="20" spans="1:6">
      <c r="A20" t="s">
        <v>13257</v>
      </c>
      <c r="B20" t="s">
        <v>13074</v>
      </c>
      <c r="C20" t="s">
        <v>12984</v>
      </c>
      <c r="E20" t="s">
        <v>13256</v>
      </c>
      <c r="F20" t="s">
        <v>13259</v>
      </c>
    </row>
    <row r="21" spans="1:6">
      <c r="A21" t="s">
        <v>13258</v>
      </c>
      <c r="B21" t="s">
        <v>13075</v>
      </c>
      <c r="C21" t="s">
        <v>12984</v>
      </c>
      <c r="E21" t="s">
        <v>13256</v>
      </c>
      <c r="F21" t="s">
        <v>13260</v>
      </c>
    </row>
    <row r="22" spans="1:6">
      <c r="A22" t="s">
        <v>13259</v>
      </c>
      <c r="B22" t="s">
        <v>13076</v>
      </c>
      <c r="C22" t="s">
        <v>12984</v>
      </c>
      <c r="E22" t="s">
        <v>13256</v>
      </c>
      <c r="F22" t="s">
        <v>13261</v>
      </c>
    </row>
    <row r="23" spans="1:6">
      <c r="A23" t="s">
        <v>13260</v>
      </c>
      <c r="B23" t="s">
        <v>13077</v>
      </c>
      <c r="C23" t="s">
        <v>12984</v>
      </c>
      <c r="E23" t="s">
        <v>13256</v>
      </c>
      <c r="F23" t="s">
        <v>13262</v>
      </c>
    </row>
    <row r="24" spans="1:6">
      <c r="A24" t="s">
        <v>13261</v>
      </c>
      <c r="B24" t="s">
        <v>13078</v>
      </c>
      <c r="C24" t="s">
        <v>12984</v>
      </c>
      <c r="E24" t="s">
        <v>13256</v>
      </c>
      <c r="F24" t="s">
        <v>13263</v>
      </c>
    </row>
    <row r="25" spans="1:6">
      <c r="A25" t="s">
        <v>13262</v>
      </c>
      <c r="B25" t="s">
        <v>13079</v>
      </c>
      <c r="C25" t="s">
        <v>12984</v>
      </c>
      <c r="E25" t="s">
        <v>13256</v>
      </c>
      <c r="F25" t="s">
        <v>13264</v>
      </c>
    </row>
    <row r="26" spans="1:6">
      <c r="A26" t="s">
        <v>13263</v>
      </c>
      <c r="B26" t="s">
        <v>13080</v>
      </c>
      <c r="C26" t="s">
        <v>12984</v>
      </c>
      <c r="E26" t="s">
        <v>13256</v>
      </c>
      <c r="F26" t="s">
        <v>13265</v>
      </c>
    </row>
    <row r="27" spans="1:6">
      <c r="A27" t="s">
        <v>13264</v>
      </c>
      <c r="B27" t="s">
        <v>13081</v>
      </c>
      <c r="C27" t="s">
        <v>12984</v>
      </c>
      <c r="E27" t="s">
        <v>13256</v>
      </c>
      <c r="F27" t="s">
        <v>13266</v>
      </c>
    </row>
    <row r="28" spans="1:6">
      <c r="A28" t="s">
        <v>13265</v>
      </c>
      <c r="B28" t="s">
        <v>13082</v>
      </c>
      <c r="C28" t="s">
        <v>12984</v>
      </c>
      <c r="E28" t="s">
        <v>11538</v>
      </c>
      <c r="F28" t="s">
        <v>13267</v>
      </c>
    </row>
    <row r="29" spans="1:6">
      <c r="A29" t="s">
        <v>13266</v>
      </c>
      <c r="B29" t="s">
        <v>13074</v>
      </c>
      <c r="C29" t="s">
        <v>12984</v>
      </c>
      <c r="E29" t="s">
        <v>6416</v>
      </c>
      <c r="F29" t="s">
        <v>13268</v>
      </c>
    </row>
    <row r="30" spans="1:6">
      <c r="A30" t="s">
        <v>13267</v>
      </c>
      <c r="B30" t="s">
        <v>13083</v>
      </c>
      <c r="C30" t="s">
        <v>12984</v>
      </c>
      <c r="E30" t="s">
        <v>2995</v>
      </c>
      <c r="F30" t="s">
        <v>13277</v>
      </c>
    </row>
    <row r="31" spans="1:6">
      <c r="A31" t="s">
        <v>13268</v>
      </c>
      <c r="B31" t="s">
        <v>13084</v>
      </c>
      <c r="C31" t="s">
        <v>12984</v>
      </c>
      <c r="E31" t="s">
        <v>2433</v>
      </c>
      <c r="F31" t="s">
        <v>13278</v>
      </c>
    </row>
    <row r="32" spans="1:6">
      <c r="A32" t="s">
        <v>11543</v>
      </c>
      <c r="B32" t="s">
        <v>13085</v>
      </c>
      <c r="C32" t="s">
        <v>12984</v>
      </c>
      <c r="E32" t="s">
        <v>13278</v>
      </c>
      <c r="F32" t="s">
        <v>13279</v>
      </c>
    </row>
    <row r="33" spans="1:6">
      <c r="A33" t="s">
        <v>11544</v>
      </c>
      <c r="B33" t="s">
        <v>13086</v>
      </c>
      <c r="C33" t="s">
        <v>12984</v>
      </c>
      <c r="E33" t="s">
        <v>2682</v>
      </c>
      <c r="F33" t="s">
        <v>13280</v>
      </c>
    </row>
    <row r="34" spans="1:6">
      <c r="A34" t="s">
        <v>13277</v>
      </c>
      <c r="B34" t="s">
        <v>13093</v>
      </c>
      <c r="C34" t="s">
        <v>12984</v>
      </c>
      <c r="E34" t="s">
        <v>8765</v>
      </c>
      <c r="F34" t="s">
        <v>13281</v>
      </c>
    </row>
    <row r="35" spans="1:6">
      <c r="A35" t="s">
        <v>13278</v>
      </c>
      <c r="B35" t="s">
        <v>13094</v>
      </c>
      <c r="C35" t="s">
        <v>12984</v>
      </c>
      <c r="E35" t="s">
        <v>8765</v>
      </c>
      <c r="F35" t="s">
        <v>13282</v>
      </c>
    </row>
    <row r="36" spans="1:6">
      <c r="A36" t="s">
        <v>13279</v>
      </c>
      <c r="B36" t="s">
        <v>13095</v>
      </c>
      <c r="C36" t="s">
        <v>12984</v>
      </c>
      <c r="E36" t="s">
        <v>8765</v>
      </c>
      <c r="F36" t="s">
        <v>13283</v>
      </c>
    </row>
    <row r="37" spans="1:6">
      <c r="A37" t="s">
        <v>13280</v>
      </c>
      <c r="B37" t="s">
        <v>13096</v>
      </c>
      <c r="C37" t="s">
        <v>12984</v>
      </c>
      <c r="E37" t="s">
        <v>8765</v>
      </c>
      <c r="F37" t="s">
        <v>13284</v>
      </c>
    </row>
    <row r="38" spans="1:6">
      <c r="A38" t="s">
        <v>13281</v>
      </c>
      <c r="B38" t="s">
        <v>13097</v>
      </c>
      <c r="C38" t="s">
        <v>12984</v>
      </c>
      <c r="E38" t="s">
        <v>8765</v>
      </c>
      <c r="F38" t="s">
        <v>13285</v>
      </c>
    </row>
    <row r="39" spans="1:6">
      <c r="A39" t="s">
        <v>13282</v>
      </c>
      <c r="B39" t="s">
        <v>13098</v>
      </c>
      <c r="C39" t="s">
        <v>12984</v>
      </c>
      <c r="E39" t="s">
        <v>8765</v>
      </c>
      <c r="F39" t="s">
        <v>13286</v>
      </c>
    </row>
    <row r="40" spans="1:6">
      <c r="A40" t="s">
        <v>13283</v>
      </c>
      <c r="B40" t="s">
        <v>13099</v>
      </c>
      <c r="C40" t="s">
        <v>12984</v>
      </c>
      <c r="E40" t="s">
        <v>8765</v>
      </c>
      <c r="F40" t="s">
        <v>13287</v>
      </c>
    </row>
    <row r="41" spans="1:6">
      <c r="A41" t="s">
        <v>13284</v>
      </c>
      <c r="B41" t="s">
        <v>13100</v>
      </c>
      <c r="C41" t="s">
        <v>12984</v>
      </c>
    </row>
    <row r="42" spans="1:6">
      <c r="A42" t="s">
        <v>13285</v>
      </c>
      <c r="B42" t="s">
        <v>13101</v>
      </c>
      <c r="C42" t="s">
        <v>12984</v>
      </c>
    </row>
    <row r="43" spans="1:6">
      <c r="A43" t="s">
        <v>13286</v>
      </c>
      <c r="B43" t="s">
        <v>13102</v>
      </c>
      <c r="C43" t="s">
        <v>12984</v>
      </c>
    </row>
    <row r="44" spans="1:6">
      <c r="A44" t="s">
        <v>13287</v>
      </c>
      <c r="B44" t="s">
        <v>13103</v>
      </c>
      <c r="C44" t="s">
        <v>12984</v>
      </c>
    </row>
    <row r="45" spans="1:6">
      <c r="A45" t="s">
        <v>2684</v>
      </c>
      <c r="B45" t="s">
        <v>13104</v>
      </c>
      <c r="C45" t="s">
        <v>12984</v>
      </c>
    </row>
    <row r="46" spans="1:6">
      <c r="A46" t="s">
        <v>4638</v>
      </c>
      <c r="B46" t="s">
        <v>13105</v>
      </c>
      <c r="C46" t="s">
        <v>12984</v>
      </c>
    </row>
    <row r="47" spans="1:6">
      <c r="A47" t="s">
        <v>4661</v>
      </c>
      <c r="B47" t="s">
        <v>13106</v>
      </c>
      <c r="C47" t="s">
        <v>12984</v>
      </c>
    </row>
    <row r="48" spans="1:6">
      <c r="A48" t="s">
        <v>4663</v>
      </c>
      <c r="B48" t="s">
        <v>13107</v>
      </c>
      <c r="C48" t="s">
        <v>12984</v>
      </c>
    </row>
    <row r="49" spans="1:3">
      <c r="A49" t="s">
        <v>8796</v>
      </c>
      <c r="B49" t="s">
        <v>13108</v>
      </c>
      <c r="C49" t="s">
        <v>12984</v>
      </c>
    </row>
    <row r="50" spans="1:3">
      <c r="A50" t="s">
        <v>8896</v>
      </c>
      <c r="B50" t="s">
        <v>13109</v>
      </c>
      <c r="C50" t="s">
        <v>12984</v>
      </c>
    </row>
    <row r="51" spans="1:3">
      <c r="A51" t="s">
        <v>8909</v>
      </c>
      <c r="B51" t="s">
        <v>13110</v>
      </c>
      <c r="C51" t="s">
        <v>12984</v>
      </c>
    </row>
    <row r="52" spans="1:3">
      <c r="A52" t="s">
        <v>4640</v>
      </c>
      <c r="B52" t="s">
        <v>13111</v>
      </c>
      <c r="C52" t="s">
        <v>12984</v>
      </c>
    </row>
    <row r="53" spans="1:3">
      <c r="A53" t="s">
        <v>4657</v>
      </c>
      <c r="B53" t="s">
        <v>13112</v>
      </c>
      <c r="C53" t="s">
        <v>12984</v>
      </c>
    </row>
    <row r="54" spans="1:3">
      <c r="A54" t="s">
        <v>4659</v>
      </c>
      <c r="B54" t="s">
        <v>13113</v>
      </c>
      <c r="C54" t="s">
        <v>12984</v>
      </c>
    </row>
    <row r="55" spans="1:3">
      <c r="A55" t="s">
        <v>5920</v>
      </c>
      <c r="B55" t="s">
        <v>13114</v>
      </c>
      <c r="C55" t="s">
        <v>12984</v>
      </c>
    </row>
    <row r="56" spans="1:3">
      <c r="A56" t="s">
        <v>8897</v>
      </c>
      <c r="B56" t="s">
        <v>13115</v>
      </c>
      <c r="C56" t="s">
        <v>12984</v>
      </c>
    </row>
    <row r="57" spans="1:3">
      <c r="A57" t="s">
        <v>8910</v>
      </c>
      <c r="B57" t="s">
        <v>13116</v>
      </c>
      <c r="C57" t="s">
        <v>12984</v>
      </c>
    </row>
    <row r="58" spans="1:3">
      <c r="A58" t="s">
        <v>4642</v>
      </c>
      <c r="B58" t="s">
        <v>13117</v>
      </c>
      <c r="C58" t="s">
        <v>12984</v>
      </c>
    </row>
    <row r="59" spans="1:3">
      <c r="A59" t="s">
        <v>4665</v>
      </c>
      <c r="B59" t="s">
        <v>13118</v>
      </c>
      <c r="C59" t="s">
        <v>12984</v>
      </c>
    </row>
    <row r="60" spans="1:3">
      <c r="A60" t="s">
        <v>4667</v>
      </c>
      <c r="B60" t="s">
        <v>13119</v>
      </c>
      <c r="C60" t="s">
        <v>12984</v>
      </c>
    </row>
    <row r="61" spans="1:3">
      <c r="A61" t="s">
        <v>8799</v>
      </c>
      <c r="B61" t="s">
        <v>13120</v>
      </c>
      <c r="C61" t="s">
        <v>12984</v>
      </c>
    </row>
    <row r="62" spans="1:3">
      <c r="A62" t="s">
        <v>8898</v>
      </c>
      <c r="B62" t="s">
        <v>13121</v>
      </c>
      <c r="C62" t="s">
        <v>12984</v>
      </c>
    </row>
    <row r="63" spans="1:3">
      <c r="A63" t="s">
        <v>8911</v>
      </c>
      <c r="B63" t="s">
        <v>13122</v>
      </c>
      <c r="C63" t="s">
        <v>12984</v>
      </c>
    </row>
    <row r="64" spans="1:3">
      <c r="A64" t="s">
        <v>4644</v>
      </c>
      <c r="B64" t="s">
        <v>13123</v>
      </c>
      <c r="C64" t="s">
        <v>12984</v>
      </c>
    </row>
    <row r="65" spans="1:3">
      <c r="A65" t="s">
        <v>4669</v>
      </c>
      <c r="B65" t="s">
        <v>13124</v>
      </c>
      <c r="C65" t="s">
        <v>12984</v>
      </c>
    </row>
    <row r="66" spans="1:3">
      <c r="A66" t="s">
        <v>4671</v>
      </c>
      <c r="B66" t="s">
        <v>13125</v>
      </c>
      <c r="C66" t="s">
        <v>12984</v>
      </c>
    </row>
    <row r="67" spans="1:3">
      <c r="A67" t="s">
        <v>8801</v>
      </c>
      <c r="B67" t="s">
        <v>13126</v>
      </c>
      <c r="C67" t="s">
        <v>12984</v>
      </c>
    </row>
    <row r="68" spans="1:3">
      <c r="A68" t="s">
        <v>8899</v>
      </c>
      <c r="B68" t="s">
        <v>13127</v>
      </c>
      <c r="C68" t="s">
        <v>12984</v>
      </c>
    </row>
    <row r="69" spans="1:3">
      <c r="A69" t="s">
        <v>8912</v>
      </c>
      <c r="B69" t="s">
        <v>13128</v>
      </c>
      <c r="C69" t="s">
        <v>12984</v>
      </c>
    </row>
    <row r="70" spans="1:3">
      <c r="A70" t="s">
        <v>4646</v>
      </c>
      <c r="B70" t="s">
        <v>13129</v>
      </c>
      <c r="C70" t="s">
        <v>12984</v>
      </c>
    </row>
    <row r="71" spans="1:3">
      <c r="A71" t="s">
        <v>4673</v>
      </c>
      <c r="B71" t="s">
        <v>13130</v>
      </c>
      <c r="C71" t="s">
        <v>12984</v>
      </c>
    </row>
    <row r="72" spans="1:3">
      <c r="A72" t="s">
        <v>4675</v>
      </c>
      <c r="B72" t="s">
        <v>13131</v>
      </c>
      <c r="C72" t="s">
        <v>12984</v>
      </c>
    </row>
    <row r="73" spans="1:3">
      <c r="A73" t="s">
        <v>8803</v>
      </c>
      <c r="B73" t="s">
        <v>13132</v>
      </c>
      <c r="C73" t="s">
        <v>12984</v>
      </c>
    </row>
    <row r="74" spans="1:3">
      <c r="A74" t="s">
        <v>8900</v>
      </c>
      <c r="B74" t="s">
        <v>13133</v>
      </c>
      <c r="C74" t="s">
        <v>12984</v>
      </c>
    </row>
    <row r="75" spans="1:3">
      <c r="A75" t="s">
        <v>8913</v>
      </c>
      <c r="B75" t="s">
        <v>13134</v>
      </c>
      <c r="C75" t="s">
        <v>12984</v>
      </c>
    </row>
    <row r="76" spans="1:3">
      <c r="A76" t="s">
        <v>4648</v>
      </c>
      <c r="B76" t="s">
        <v>13135</v>
      </c>
      <c r="C76" t="s">
        <v>12984</v>
      </c>
    </row>
    <row r="77" spans="1:3">
      <c r="A77" t="s">
        <v>4689</v>
      </c>
      <c r="B77" t="s">
        <v>13136</v>
      </c>
      <c r="C77" t="s">
        <v>12984</v>
      </c>
    </row>
    <row r="78" spans="1:3">
      <c r="A78" t="s">
        <v>4691</v>
      </c>
      <c r="B78" t="s">
        <v>13137</v>
      </c>
      <c r="C78" t="s">
        <v>12984</v>
      </c>
    </row>
    <row r="79" spans="1:3">
      <c r="A79" t="s">
        <v>4650</v>
      </c>
      <c r="B79" t="s">
        <v>13138</v>
      </c>
      <c r="C79" t="s">
        <v>12984</v>
      </c>
    </row>
    <row r="80" spans="1:3">
      <c r="A80" t="s">
        <v>4677</v>
      </c>
      <c r="B80" t="s">
        <v>13139</v>
      </c>
      <c r="C80" t="s">
        <v>12984</v>
      </c>
    </row>
    <row r="81" spans="1:3">
      <c r="A81" t="s">
        <v>4679</v>
      </c>
      <c r="B81" t="s">
        <v>13140</v>
      </c>
      <c r="C81" t="s">
        <v>12984</v>
      </c>
    </row>
    <row r="82" spans="1:3">
      <c r="A82" t="s">
        <v>8804</v>
      </c>
      <c r="B82" t="s">
        <v>13141</v>
      </c>
      <c r="C82" t="s">
        <v>12984</v>
      </c>
    </row>
    <row r="83" spans="1:3">
      <c r="A83" t="s">
        <v>8901</v>
      </c>
      <c r="B83" t="s">
        <v>13142</v>
      </c>
      <c r="C83" t="s">
        <v>12984</v>
      </c>
    </row>
    <row r="84" spans="1:3">
      <c r="A84" t="s">
        <v>8914</v>
      </c>
      <c r="B84" t="s">
        <v>13143</v>
      </c>
      <c r="C84" t="s">
        <v>12984</v>
      </c>
    </row>
    <row r="85" spans="1:3">
      <c r="A85" t="s">
        <v>4652</v>
      </c>
      <c r="B85" t="s">
        <v>13144</v>
      </c>
      <c r="C85" t="s">
        <v>12984</v>
      </c>
    </row>
    <row r="86" spans="1:3">
      <c r="A86" t="s">
        <v>4681</v>
      </c>
      <c r="B86" t="s">
        <v>13145</v>
      </c>
      <c r="C86" t="s">
        <v>12984</v>
      </c>
    </row>
    <row r="87" spans="1:3">
      <c r="A87" t="s">
        <v>4683</v>
      </c>
      <c r="B87" t="s">
        <v>13146</v>
      </c>
      <c r="C87" t="s">
        <v>12984</v>
      </c>
    </row>
    <row r="88" spans="1:3">
      <c r="A88" t="s">
        <v>8806</v>
      </c>
      <c r="B88" t="s">
        <v>13147</v>
      </c>
      <c r="C88" t="s">
        <v>12984</v>
      </c>
    </row>
    <row r="89" spans="1:3">
      <c r="A89" t="s">
        <v>8902</v>
      </c>
      <c r="B89" t="s">
        <v>13148</v>
      </c>
      <c r="C89" t="s">
        <v>12984</v>
      </c>
    </row>
    <row r="90" spans="1:3">
      <c r="A90" t="s">
        <v>8915</v>
      </c>
      <c r="B90" t="s">
        <v>13149</v>
      </c>
      <c r="C90" t="s">
        <v>12984</v>
      </c>
    </row>
    <row r="91" spans="1:3">
      <c r="A91" t="s">
        <v>4654</v>
      </c>
      <c r="B91" t="s">
        <v>13150</v>
      </c>
      <c r="C91" t="s">
        <v>12984</v>
      </c>
    </row>
    <row r="92" spans="1:3">
      <c r="A92" t="s">
        <v>4685</v>
      </c>
      <c r="B92" t="s">
        <v>13151</v>
      </c>
      <c r="C92" t="s">
        <v>12984</v>
      </c>
    </row>
    <row r="93" spans="1:3">
      <c r="A93" t="s">
        <v>4687</v>
      </c>
      <c r="B93" t="s">
        <v>13152</v>
      </c>
      <c r="C93" t="s">
        <v>12984</v>
      </c>
    </row>
    <row r="94" spans="1:3">
      <c r="A94" t="s">
        <v>8808</v>
      </c>
      <c r="B94" t="s">
        <v>13153</v>
      </c>
      <c r="C94" t="s">
        <v>12984</v>
      </c>
    </row>
    <row r="95" spans="1:3">
      <c r="A95" t="s">
        <v>8903</v>
      </c>
      <c r="B95" t="s">
        <v>13154</v>
      </c>
      <c r="C95" t="s">
        <v>12984</v>
      </c>
    </row>
    <row r="96" spans="1:3">
      <c r="A96" t="s">
        <v>8916</v>
      </c>
      <c r="B96" t="s">
        <v>13155</v>
      </c>
      <c r="C96" t="s">
        <v>12984</v>
      </c>
    </row>
    <row r="97" spans="1:3">
      <c r="A97" t="s">
        <v>7797</v>
      </c>
      <c r="B97" t="s">
        <v>13156</v>
      </c>
      <c r="C97" t="s">
        <v>12984</v>
      </c>
    </row>
    <row r="98" spans="1:3">
      <c r="A98" t="s">
        <v>8904</v>
      </c>
      <c r="B98" t="s">
        <v>13157</v>
      </c>
      <c r="C98" t="s">
        <v>12984</v>
      </c>
    </row>
    <row r="99" spans="1:3">
      <c r="A99" t="s">
        <v>8917</v>
      </c>
      <c r="B99" t="s">
        <v>13158</v>
      </c>
      <c r="C99" t="s">
        <v>12984</v>
      </c>
    </row>
    <row r="100" spans="1:3">
      <c r="A100" t="s">
        <v>8920</v>
      </c>
      <c r="B100" t="s">
        <v>13159</v>
      </c>
      <c r="C100" t="s">
        <v>12984</v>
      </c>
    </row>
    <row r="101" spans="1:3">
      <c r="A101" t="s">
        <v>7806</v>
      </c>
      <c r="B101" t="s">
        <v>13160</v>
      </c>
      <c r="C101" t="s">
        <v>12984</v>
      </c>
    </row>
    <row r="102" spans="1:3">
      <c r="A102" t="s">
        <v>8905</v>
      </c>
      <c r="B102" t="s">
        <v>13161</v>
      </c>
      <c r="C102" t="s">
        <v>12984</v>
      </c>
    </row>
    <row r="103" spans="1:3">
      <c r="A103" t="s">
        <v>8918</v>
      </c>
      <c r="B103" t="s">
        <v>13162</v>
      </c>
      <c r="C103" t="s">
        <v>12984</v>
      </c>
    </row>
    <row r="104" spans="1:3">
      <c r="A104" t="s">
        <v>8919</v>
      </c>
      <c r="B104" t="s">
        <v>13163</v>
      </c>
      <c r="C104" t="s">
        <v>12984</v>
      </c>
    </row>
    <row r="105" spans="1:3">
      <c r="A105" t="s">
        <v>7807</v>
      </c>
      <c r="B105" t="s">
        <v>13164</v>
      </c>
      <c r="C105" t="s">
        <v>12984</v>
      </c>
    </row>
    <row r="106" spans="1:3">
      <c r="A106" t="s">
        <v>8906</v>
      </c>
      <c r="B106" t="s">
        <v>13165</v>
      </c>
      <c r="C106" t="s">
        <v>12984</v>
      </c>
    </row>
    <row r="107" spans="1:3">
      <c r="A107" t="s">
        <v>8907</v>
      </c>
      <c r="B107" t="s">
        <v>13166</v>
      </c>
      <c r="C107" t="s">
        <v>12984</v>
      </c>
    </row>
    <row r="108" spans="1:3">
      <c r="A108" t="s">
        <v>8908</v>
      </c>
      <c r="B108" t="s">
        <v>13167</v>
      </c>
      <c r="C108" t="s">
        <v>12984</v>
      </c>
    </row>
    <row r="109" spans="1:3">
      <c r="A109" t="s">
        <v>13168</v>
      </c>
      <c r="B109" t="s">
        <v>13169</v>
      </c>
      <c r="C109" t="s">
        <v>12984</v>
      </c>
    </row>
    <row r="110" spans="1:3">
      <c r="A110" t="s">
        <v>4722</v>
      </c>
      <c r="B110" t="s">
        <v>13170</v>
      </c>
      <c r="C110" t="s">
        <v>12984</v>
      </c>
    </row>
    <row r="111" spans="1:3">
      <c r="A111" t="s">
        <v>12171</v>
      </c>
      <c r="B111" t="s">
        <v>13171</v>
      </c>
      <c r="C111" t="s">
        <v>12984</v>
      </c>
    </row>
    <row r="112" spans="1:3">
      <c r="A112" t="s">
        <v>12172</v>
      </c>
      <c r="B112" t="s">
        <v>13172</v>
      </c>
      <c r="C112" t="s">
        <v>12984</v>
      </c>
    </row>
    <row r="113" spans="1:3">
      <c r="A113" t="s">
        <v>2192</v>
      </c>
      <c r="B113" t="s">
        <v>13173</v>
      </c>
      <c r="C113" t="s">
        <v>12984</v>
      </c>
    </row>
    <row r="114" spans="1:3">
      <c r="A114" t="s">
        <v>2544</v>
      </c>
      <c r="B114" t="s">
        <v>13174</v>
      </c>
      <c r="C114" t="s">
        <v>12984</v>
      </c>
    </row>
    <row r="115" spans="1:3">
      <c r="A115" t="s">
        <v>2542</v>
      </c>
      <c r="B115" t="s">
        <v>13175</v>
      </c>
      <c r="C115" t="s">
        <v>12984</v>
      </c>
    </row>
    <row r="116" spans="1:3">
      <c r="A116" t="s">
        <v>2545</v>
      </c>
      <c r="B116" t="s">
        <v>13176</v>
      </c>
      <c r="C116" t="s">
        <v>12984</v>
      </c>
    </row>
    <row r="117" spans="1:3">
      <c r="A117" t="s">
        <v>2547</v>
      </c>
      <c r="B117" t="s">
        <v>13177</v>
      </c>
      <c r="C117" t="s">
        <v>12984</v>
      </c>
    </row>
    <row r="118" spans="1:3">
      <c r="A118" t="s">
        <v>8876</v>
      </c>
      <c r="B118" t="s">
        <v>13178</v>
      </c>
      <c r="C118" t="s">
        <v>12984</v>
      </c>
    </row>
    <row r="119" spans="1:3">
      <c r="A119" t="s">
        <v>2190</v>
      </c>
      <c r="B119" t="s">
        <v>13179</v>
      </c>
      <c r="C119" t="s">
        <v>12984</v>
      </c>
    </row>
    <row r="120" spans="1:3">
      <c r="A120" t="s">
        <v>3189</v>
      </c>
      <c r="B120" t="s">
        <v>13180</v>
      </c>
      <c r="C120" t="s">
        <v>12984</v>
      </c>
    </row>
    <row r="121" spans="1:3">
      <c r="A121" t="s">
        <v>2193</v>
      </c>
      <c r="B121" t="s">
        <v>13181</v>
      </c>
      <c r="C121" t="s">
        <v>12984</v>
      </c>
    </row>
    <row r="122" spans="1:3">
      <c r="A122" t="s">
        <v>2197</v>
      </c>
      <c r="B122" t="s">
        <v>13182</v>
      </c>
      <c r="C122" t="s">
        <v>12984</v>
      </c>
    </row>
    <row r="123" spans="1:3">
      <c r="A123" t="s">
        <v>2195</v>
      </c>
      <c r="B123" t="s">
        <v>13183</v>
      </c>
      <c r="C123" t="s">
        <v>12984</v>
      </c>
    </row>
    <row r="124" spans="1:3">
      <c r="A124" t="s">
        <v>3190</v>
      </c>
      <c r="B124" t="s">
        <v>13184</v>
      </c>
      <c r="C124" t="s">
        <v>12984</v>
      </c>
    </row>
    <row r="125" spans="1:3">
      <c r="A125" t="s">
        <v>2199</v>
      </c>
      <c r="B125" t="s">
        <v>13185</v>
      </c>
      <c r="C125" t="s">
        <v>12984</v>
      </c>
    </row>
    <row r="126" spans="1:3">
      <c r="A126" t="s">
        <v>8875</v>
      </c>
      <c r="B126" t="s">
        <v>13186</v>
      </c>
      <c r="C126" t="s">
        <v>12984</v>
      </c>
    </row>
    <row r="127" spans="1:3">
      <c r="A127" t="s">
        <v>2201</v>
      </c>
      <c r="B127" t="s">
        <v>13187</v>
      </c>
      <c r="C127" t="s">
        <v>12984</v>
      </c>
    </row>
    <row r="128" spans="1:3">
      <c r="A128" t="s">
        <v>2203</v>
      </c>
      <c r="B128" t="s">
        <v>13188</v>
      </c>
      <c r="C128" t="s">
        <v>12984</v>
      </c>
    </row>
    <row r="129" spans="1:3">
      <c r="A129" t="s">
        <v>2207</v>
      </c>
      <c r="B129" t="s">
        <v>13189</v>
      </c>
      <c r="C129" t="s">
        <v>12984</v>
      </c>
    </row>
    <row r="130" spans="1:3">
      <c r="A130" t="s">
        <v>2209</v>
      </c>
      <c r="B130" t="s">
        <v>13190</v>
      </c>
      <c r="C130" t="s">
        <v>12984</v>
      </c>
    </row>
    <row r="131" spans="1:3">
      <c r="A131" t="s">
        <v>2211</v>
      </c>
      <c r="B131" t="s">
        <v>13191</v>
      </c>
      <c r="C131" t="s">
        <v>12984</v>
      </c>
    </row>
    <row r="132" spans="1:3">
      <c r="A132" t="s">
        <v>2217</v>
      </c>
      <c r="B132" t="s">
        <v>13192</v>
      </c>
      <c r="C132" t="s">
        <v>12984</v>
      </c>
    </row>
    <row r="133" spans="1:3">
      <c r="A133" t="s">
        <v>2219</v>
      </c>
      <c r="B133" t="s">
        <v>13193</v>
      </c>
      <c r="C133" t="s">
        <v>12984</v>
      </c>
    </row>
    <row r="134" spans="1:3">
      <c r="A134" t="s">
        <v>13194</v>
      </c>
      <c r="B134" t="s">
        <v>13195</v>
      </c>
      <c r="C134" t="s">
        <v>12984</v>
      </c>
    </row>
    <row r="135" spans="1:3">
      <c r="A135" t="s">
        <v>8863</v>
      </c>
      <c r="B135" t="s">
        <v>13196</v>
      </c>
      <c r="C135" t="s">
        <v>12984</v>
      </c>
    </row>
    <row r="136" spans="1:3">
      <c r="A136" t="s">
        <v>5232</v>
      </c>
      <c r="B136" t="s">
        <v>13197</v>
      </c>
      <c r="C136" t="s">
        <v>12984</v>
      </c>
    </row>
    <row r="137" spans="1:3">
      <c r="A137" t="s">
        <v>2245</v>
      </c>
      <c r="B137" t="s">
        <v>13198</v>
      </c>
      <c r="C137" t="s">
        <v>12984</v>
      </c>
    </row>
    <row r="138" spans="1:3">
      <c r="A138" t="s">
        <v>2250</v>
      </c>
      <c r="B138" t="s">
        <v>13199</v>
      </c>
      <c r="C138" t="s">
        <v>12984</v>
      </c>
    </row>
    <row r="139" spans="1:3">
      <c r="A139" t="s">
        <v>8864</v>
      </c>
      <c r="B139" t="s">
        <v>13200</v>
      </c>
      <c r="C139" t="s">
        <v>12984</v>
      </c>
    </row>
    <row r="140" spans="1:3">
      <c r="A140" t="s">
        <v>8865</v>
      </c>
      <c r="B140" t="s">
        <v>13201</v>
      </c>
      <c r="C140" t="s">
        <v>12984</v>
      </c>
    </row>
    <row r="141" spans="1:3">
      <c r="A141" t="s">
        <v>8866</v>
      </c>
      <c r="B141" t="s">
        <v>13202</v>
      </c>
      <c r="C141" t="s">
        <v>12984</v>
      </c>
    </row>
    <row r="142" spans="1:3">
      <c r="A142" t="s">
        <v>8867</v>
      </c>
      <c r="B142" t="s">
        <v>13203</v>
      </c>
      <c r="C142" t="s">
        <v>12984</v>
      </c>
    </row>
    <row r="143" spans="1:3">
      <c r="A143" t="s">
        <v>8868</v>
      </c>
      <c r="B143" t="s">
        <v>13204</v>
      </c>
      <c r="C143" t="s">
        <v>12984</v>
      </c>
    </row>
    <row r="144" spans="1:3">
      <c r="A144" t="s">
        <v>8870</v>
      </c>
      <c r="B144" t="s">
        <v>13205</v>
      </c>
      <c r="C144" t="s">
        <v>12984</v>
      </c>
    </row>
    <row r="145" spans="1:3">
      <c r="A145" t="s">
        <v>9981</v>
      </c>
      <c r="B145" t="s">
        <v>13206</v>
      </c>
      <c r="C145" t="s">
        <v>12984</v>
      </c>
    </row>
    <row r="146" spans="1:3">
      <c r="A146" t="s">
        <v>10011</v>
      </c>
      <c r="B146" t="s">
        <v>13207</v>
      </c>
      <c r="C146" t="s">
        <v>12984</v>
      </c>
    </row>
    <row r="147" spans="1:3">
      <c r="A147" t="s">
        <v>10012</v>
      </c>
      <c r="B147" t="s">
        <v>13208</v>
      </c>
      <c r="C147" t="s">
        <v>12984</v>
      </c>
    </row>
    <row r="148" spans="1:3">
      <c r="A148" t="s">
        <v>10013</v>
      </c>
      <c r="B148" t="s">
        <v>13209</v>
      </c>
      <c r="C148" t="s">
        <v>12984</v>
      </c>
    </row>
    <row r="149" spans="1:3">
      <c r="A149" t="s">
        <v>10015</v>
      </c>
      <c r="B149" t="s">
        <v>13210</v>
      </c>
      <c r="C149" t="s">
        <v>12984</v>
      </c>
    </row>
    <row r="150" spans="1:3">
      <c r="A150" t="s">
        <v>2305</v>
      </c>
      <c r="B150" t="s">
        <v>13211</v>
      </c>
      <c r="C150" t="s">
        <v>12984</v>
      </c>
    </row>
    <row r="151" spans="1:3">
      <c r="A151" t="s">
        <v>2551</v>
      </c>
      <c r="B151" t="s">
        <v>13212</v>
      </c>
      <c r="C151" t="s">
        <v>12984</v>
      </c>
    </row>
    <row r="152" spans="1:3">
      <c r="A152" t="s">
        <v>2549</v>
      </c>
      <c r="B152" t="s">
        <v>13213</v>
      </c>
      <c r="C152" t="s">
        <v>12984</v>
      </c>
    </row>
    <row r="153" spans="1:3">
      <c r="A153" t="s">
        <v>2552</v>
      </c>
      <c r="B153" t="s">
        <v>13214</v>
      </c>
      <c r="C153" t="s">
        <v>12984</v>
      </c>
    </row>
    <row r="154" spans="1:3">
      <c r="A154" t="s">
        <v>2554</v>
      </c>
      <c r="B154" t="s">
        <v>13215</v>
      </c>
      <c r="C154" t="s">
        <v>12984</v>
      </c>
    </row>
    <row r="155" spans="1:3">
      <c r="A155" t="s">
        <v>8861</v>
      </c>
      <c r="B155" t="s">
        <v>13216</v>
      </c>
      <c r="C155" t="s">
        <v>12984</v>
      </c>
    </row>
    <row r="156" spans="1:3">
      <c r="A156" t="s">
        <v>2232</v>
      </c>
      <c r="B156" t="s">
        <v>13217</v>
      </c>
      <c r="C156" t="s">
        <v>12984</v>
      </c>
    </row>
    <row r="157" spans="1:3">
      <c r="A157" t="s">
        <v>2303</v>
      </c>
      <c r="B157" t="s">
        <v>13218</v>
      </c>
      <c r="C157" t="s">
        <v>12984</v>
      </c>
    </row>
    <row r="158" spans="1:3">
      <c r="A158" t="s">
        <v>2306</v>
      </c>
      <c r="B158" t="s">
        <v>13219</v>
      </c>
      <c r="C158" t="s">
        <v>12984</v>
      </c>
    </row>
    <row r="159" spans="1:3">
      <c r="A159" t="s">
        <v>2308</v>
      </c>
      <c r="B159" t="s">
        <v>13220</v>
      </c>
      <c r="C159" t="s">
        <v>12984</v>
      </c>
    </row>
    <row r="160" spans="1:3">
      <c r="A160" t="s">
        <v>8862</v>
      </c>
      <c r="B160" t="s">
        <v>13221</v>
      </c>
      <c r="C160" t="s">
        <v>12984</v>
      </c>
    </row>
    <row r="161" spans="1:3">
      <c r="A161" t="s">
        <v>9982</v>
      </c>
      <c r="B161" t="s">
        <v>13222</v>
      </c>
      <c r="C161" t="s">
        <v>12984</v>
      </c>
    </row>
    <row r="162" spans="1:3">
      <c r="A162" t="s">
        <v>10016</v>
      </c>
      <c r="B162" t="s">
        <v>13223</v>
      </c>
      <c r="C162" t="s">
        <v>12984</v>
      </c>
    </row>
    <row r="163" spans="1:3">
      <c r="A163" t="s">
        <v>10017</v>
      </c>
      <c r="B163" t="s">
        <v>13224</v>
      </c>
      <c r="C163" t="s">
        <v>12984</v>
      </c>
    </row>
    <row r="164" spans="1:3">
      <c r="A164" t="s">
        <v>10018</v>
      </c>
      <c r="B164" t="s">
        <v>13225</v>
      </c>
      <c r="C164" t="s">
        <v>12984</v>
      </c>
    </row>
    <row r="165" spans="1:3">
      <c r="A165" t="s">
        <v>10020</v>
      </c>
      <c r="B165" t="s">
        <v>13226</v>
      </c>
      <c r="C165" t="s">
        <v>12984</v>
      </c>
    </row>
    <row r="166" spans="1:3">
      <c r="A166" t="s">
        <v>8021</v>
      </c>
      <c r="B166" t="s">
        <v>13227</v>
      </c>
      <c r="C166" t="s">
        <v>12984</v>
      </c>
    </row>
    <row r="167" spans="1:3">
      <c r="A167" t="s">
        <v>2732</v>
      </c>
      <c r="B167" t="s">
        <v>13228</v>
      </c>
      <c r="C167" t="s">
        <v>12984</v>
      </c>
    </row>
    <row r="168" spans="1:3">
      <c r="A168" t="s">
        <v>8023</v>
      </c>
      <c r="B168" t="s">
        <v>13229</v>
      </c>
      <c r="C168" t="s">
        <v>12984</v>
      </c>
    </row>
    <row r="169" spans="1:3">
      <c r="A169" t="s">
        <v>8022</v>
      </c>
      <c r="B169" t="s">
        <v>13230</v>
      </c>
      <c r="C169" t="s">
        <v>12984</v>
      </c>
    </row>
    <row r="170" spans="1:3">
      <c r="A170" t="s">
        <v>8024</v>
      </c>
      <c r="B170" t="s">
        <v>13231</v>
      </c>
      <c r="C170" t="s">
        <v>12984</v>
      </c>
    </row>
    <row r="171" spans="1:3">
      <c r="A171" t="s">
        <v>8025</v>
      </c>
      <c r="B171" t="s">
        <v>13232</v>
      </c>
      <c r="C171" t="s">
        <v>12984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F81D6-AE17-428C-97D8-1FF299CF56F5}">
  <dimension ref="A1:T19"/>
  <sheetViews>
    <sheetView workbookViewId="0">
      <selection activeCell="I45" sqref="I45"/>
    </sheetView>
  </sheetViews>
  <sheetFormatPr defaultRowHeight="15"/>
  <sheetData>
    <row r="1" spans="1:2">
      <c r="A1">
        <v>1000</v>
      </c>
      <c r="B1" t="s">
        <v>12983</v>
      </c>
    </row>
    <row r="2" spans="1:2">
      <c r="A2" s="63" t="s">
        <v>13279</v>
      </c>
      <c r="B2" t="s">
        <v>2427</v>
      </c>
    </row>
    <row r="3" spans="1:2">
      <c r="A3" s="45" t="s">
        <v>2435</v>
      </c>
      <c r="B3" t="s">
        <v>8043</v>
      </c>
    </row>
    <row r="4" spans="1:2">
      <c r="A4" s="45" t="s">
        <v>2435</v>
      </c>
      <c r="B4" t="s">
        <v>2234</v>
      </c>
    </row>
    <row r="5" spans="1:2">
      <c r="A5" s="45" t="s">
        <v>2306</v>
      </c>
      <c r="B5" t="s">
        <v>2235</v>
      </c>
    </row>
    <row r="6" spans="1:2">
      <c r="A6" s="45" t="s">
        <v>12177</v>
      </c>
      <c r="B6" t="s">
        <v>2237</v>
      </c>
    </row>
    <row r="7" spans="1:2">
      <c r="A7" s="45" t="s">
        <v>12177</v>
      </c>
      <c r="B7" t="s">
        <v>2239</v>
      </c>
    </row>
    <row r="8" spans="1:2">
      <c r="A8" s="45" t="s">
        <v>2306</v>
      </c>
      <c r="B8" t="s">
        <v>2241</v>
      </c>
    </row>
    <row r="9" spans="1:2">
      <c r="A9" s="45" t="s">
        <v>4628</v>
      </c>
      <c r="B9" t="s">
        <v>7849</v>
      </c>
    </row>
    <row r="17" spans="14:20">
      <c r="N17">
        <v>1000</v>
      </c>
      <c r="O17" t="s">
        <v>12983</v>
      </c>
    </row>
    <row r="18" spans="14:20">
      <c r="N18" t="s">
        <v>12318</v>
      </c>
      <c r="O18" t="s">
        <v>12998</v>
      </c>
      <c r="P18" t="s">
        <v>12984</v>
      </c>
      <c r="Q18" t="s">
        <v>12984</v>
      </c>
      <c r="R18" t="s">
        <v>12984</v>
      </c>
      <c r="S18" t="s">
        <v>12984</v>
      </c>
      <c r="T18" t="s">
        <v>12984</v>
      </c>
    </row>
    <row r="19" spans="14:20">
      <c r="N19" t="s">
        <v>365</v>
      </c>
      <c r="O19" t="s">
        <v>13012</v>
      </c>
      <c r="P19" t="s">
        <v>12984</v>
      </c>
      <c r="Q19" t="s">
        <v>12984</v>
      </c>
      <c r="R19" t="s">
        <v>12984</v>
      </c>
      <c r="S19" t="s">
        <v>12984</v>
      </c>
      <c r="T19" t="s">
        <v>12984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01100-BEE9-40AE-A6F6-2782BD42FB2A}">
  <dimension ref="A1:C93"/>
  <sheetViews>
    <sheetView topLeftCell="A19" workbookViewId="0">
      <selection activeCell="A93" sqref="A1:C93"/>
    </sheetView>
  </sheetViews>
  <sheetFormatPr defaultRowHeight="15"/>
  <cols>
    <col min="1" max="2" width="11.7109375" bestFit="1" customWidth="1"/>
  </cols>
  <sheetData>
    <row r="1" spans="1:2">
      <c r="A1">
        <v>1000</v>
      </c>
      <c r="B1" t="s">
        <v>12983</v>
      </c>
    </row>
    <row r="2" spans="1:2">
      <c r="A2" t="s">
        <v>13068</v>
      </c>
      <c r="B2" t="s">
        <v>13066</v>
      </c>
    </row>
    <row r="3" spans="1:2">
      <c r="A3" t="s">
        <v>9652</v>
      </c>
      <c r="B3" t="s">
        <v>13067</v>
      </c>
    </row>
    <row r="4" spans="1:2">
      <c r="A4" t="s">
        <v>8031</v>
      </c>
      <c r="B4" t="s">
        <v>2178</v>
      </c>
    </row>
    <row r="5" spans="1:2">
      <c r="A5" t="s">
        <v>2686</v>
      </c>
      <c r="B5" t="s">
        <v>2423</v>
      </c>
    </row>
    <row r="6" spans="1:2">
      <c r="A6" t="s">
        <v>13271</v>
      </c>
      <c r="B6" t="s">
        <v>13272</v>
      </c>
    </row>
    <row r="7" spans="1:2">
      <c r="A7" t="s">
        <v>13271</v>
      </c>
      <c r="B7" t="s">
        <v>13273</v>
      </c>
    </row>
    <row r="8" spans="1:2">
      <c r="A8" t="s">
        <v>13271</v>
      </c>
      <c r="B8" t="s">
        <v>13274</v>
      </c>
    </row>
    <row r="9" spans="1:2">
      <c r="A9" t="s">
        <v>13271</v>
      </c>
      <c r="B9" t="s">
        <v>13275</v>
      </c>
    </row>
    <row r="10" spans="1:2">
      <c r="A10" t="s">
        <v>13271</v>
      </c>
      <c r="B10" t="s">
        <v>13276</v>
      </c>
    </row>
    <row r="11" spans="1:2">
      <c r="A11" t="s">
        <v>275</v>
      </c>
      <c r="B11" t="s">
        <v>9857</v>
      </c>
    </row>
    <row r="12" spans="1:2">
      <c r="A12" t="s">
        <v>275</v>
      </c>
      <c r="B12" t="s">
        <v>9985</v>
      </c>
    </row>
    <row r="13" spans="1:2">
      <c r="A13" t="s">
        <v>275</v>
      </c>
      <c r="B13" t="s">
        <v>4290</v>
      </c>
    </row>
    <row r="14" spans="1:2">
      <c r="A14" t="s">
        <v>275</v>
      </c>
      <c r="B14" t="s">
        <v>2640</v>
      </c>
    </row>
    <row r="15" spans="1:2">
      <c r="A15" t="s">
        <v>275</v>
      </c>
      <c r="B15" t="s">
        <v>5826</v>
      </c>
    </row>
    <row r="16" spans="1:2">
      <c r="A16" t="s">
        <v>275</v>
      </c>
      <c r="B16" t="s">
        <v>9990</v>
      </c>
    </row>
    <row r="17" spans="1:2">
      <c r="A17" t="s">
        <v>275</v>
      </c>
      <c r="B17" t="s">
        <v>1621</v>
      </c>
    </row>
    <row r="18" spans="1:2">
      <c r="A18" t="s">
        <v>275</v>
      </c>
      <c r="B18" t="s">
        <v>2700</v>
      </c>
    </row>
    <row r="19" spans="1:2">
      <c r="A19" t="s">
        <v>275</v>
      </c>
      <c r="B19" t="s">
        <v>13240</v>
      </c>
    </row>
    <row r="20" spans="1:2">
      <c r="A20" t="s">
        <v>275</v>
      </c>
      <c r="B20" t="s">
        <v>13241</v>
      </c>
    </row>
    <row r="21" spans="1:2">
      <c r="A21" t="s">
        <v>275</v>
      </c>
      <c r="B21" t="s">
        <v>13242</v>
      </c>
    </row>
    <row r="22" spans="1:2">
      <c r="A22" t="s">
        <v>275</v>
      </c>
      <c r="B22" t="s">
        <v>2702</v>
      </c>
    </row>
    <row r="23" spans="1:2">
      <c r="A23" t="s">
        <v>275</v>
      </c>
      <c r="B23" t="s">
        <v>2704</v>
      </c>
    </row>
    <row r="24" spans="1:2">
      <c r="A24" t="s">
        <v>275</v>
      </c>
      <c r="B24" t="s">
        <v>2706</v>
      </c>
    </row>
    <row r="25" spans="1:2">
      <c r="A25" t="s">
        <v>275</v>
      </c>
      <c r="B25" t="s">
        <v>2472</v>
      </c>
    </row>
    <row r="26" spans="1:2">
      <c r="A26" t="s">
        <v>275</v>
      </c>
      <c r="B26" t="s">
        <v>2494</v>
      </c>
    </row>
    <row r="27" spans="1:2">
      <c r="A27" t="s">
        <v>275</v>
      </c>
      <c r="B27" t="s">
        <v>2496</v>
      </c>
    </row>
    <row r="28" spans="1:2">
      <c r="A28" t="s">
        <v>275</v>
      </c>
      <c r="B28" t="s">
        <v>13243</v>
      </c>
    </row>
    <row r="29" spans="1:2">
      <c r="A29" t="s">
        <v>275</v>
      </c>
      <c r="B29" t="s">
        <v>2500</v>
      </c>
    </row>
    <row r="30" spans="1:2">
      <c r="A30" t="s">
        <v>275</v>
      </c>
      <c r="B30" t="s">
        <v>2709</v>
      </c>
    </row>
    <row r="31" spans="1:2">
      <c r="A31" t="s">
        <v>275</v>
      </c>
      <c r="B31" t="s">
        <v>13244</v>
      </c>
    </row>
    <row r="32" spans="1:2">
      <c r="A32" t="s">
        <v>275</v>
      </c>
      <c r="B32" t="s">
        <v>13245</v>
      </c>
    </row>
    <row r="33" spans="1:2">
      <c r="A33" t="s">
        <v>275</v>
      </c>
      <c r="B33" t="s">
        <v>13246</v>
      </c>
    </row>
    <row r="34" spans="1:2">
      <c r="A34" t="s">
        <v>275</v>
      </c>
      <c r="B34" t="s">
        <v>2711</v>
      </c>
    </row>
    <row r="35" spans="1:2">
      <c r="A35" t="s">
        <v>275</v>
      </c>
      <c r="B35" t="s">
        <v>2713</v>
      </c>
    </row>
    <row r="36" spans="1:2">
      <c r="A36" t="s">
        <v>275</v>
      </c>
      <c r="B36" t="s">
        <v>2715</v>
      </c>
    </row>
    <row r="37" spans="1:2">
      <c r="A37" t="s">
        <v>275</v>
      </c>
      <c r="B37" t="s">
        <v>2717</v>
      </c>
    </row>
    <row r="38" spans="1:2">
      <c r="A38" t="s">
        <v>275</v>
      </c>
      <c r="B38" t="s">
        <v>2498</v>
      </c>
    </row>
    <row r="39" spans="1:2">
      <c r="A39" t="s">
        <v>275</v>
      </c>
      <c r="B39" t="s">
        <v>2511</v>
      </c>
    </row>
    <row r="40" spans="1:2">
      <c r="A40" t="s">
        <v>275</v>
      </c>
      <c r="B40" t="s">
        <v>13247</v>
      </c>
    </row>
    <row r="41" spans="1:2">
      <c r="A41" t="s">
        <v>275</v>
      </c>
      <c r="B41" t="s">
        <v>9994</v>
      </c>
    </row>
    <row r="42" spans="1:2">
      <c r="A42" t="s">
        <v>275</v>
      </c>
      <c r="B42" t="s">
        <v>9999</v>
      </c>
    </row>
    <row r="43" spans="1:2">
      <c r="A43" t="s">
        <v>275</v>
      </c>
      <c r="B43" t="s">
        <v>10004</v>
      </c>
    </row>
    <row r="44" spans="1:2">
      <c r="A44" t="s">
        <v>275</v>
      </c>
      <c r="B44" t="s">
        <v>1633</v>
      </c>
    </row>
    <row r="45" spans="1:2">
      <c r="A45" t="s">
        <v>275</v>
      </c>
      <c r="B45" t="s">
        <v>4926</v>
      </c>
    </row>
    <row r="46" spans="1:2">
      <c r="A46" t="s">
        <v>275</v>
      </c>
      <c r="B46" t="s">
        <v>10009</v>
      </c>
    </row>
    <row r="47" spans="1:2">
      <c r="A47" t="s">
        <v>275</v>
      </c>
      <c r="B47" t="s">
        <v>2205</v>
      </c>
    </row>
    <row r="48" spans="1:2">
      <c r="A48" t="s">
        <v>275</v>
      </c>
      <c r="B48" t="s">
        <v>2213</v>
      </c>
    </row>
    <row r="49" spans="1:2">
      <c r="A49" t="s">
        <v>275</v>
      </c>
      <c r="B49" t="s">
        <v>2215</v>
      </c>
    </row>
    <row r="50" spans="1:2">
      <c r="A50" t="s">
        <v>275</v>
      </c>
      <c r="B50" t="s">
        <v>13248</v>
      </c>
    </row>
    <row r="51" spans="1:2">
      <c r="A51" t="s">
        <v>275</v>
      </c>
      <c r="B51" t="s">
        <v>8869</v>
      </c>
    </row>
    <row r="52" spans="1:2">
      <c r="A52" t="s">
        <v>275</v>
      </c>
      <c r="B52" t="s">
        <v>10014</v>
      </c>
    </row>
    <row r="53" spans="1:2">
      <c r="A53" t="s">
        <v>275</v>
      </c>
      <c r="B53" t="s">
        <v>10019</v>
      </c>
    </row>
    <row r="54" spans="1:2">
      <c r="A54" t="s">
        <v>275</v>
      </c>
      <c r="B54" t="s">
        <v>2319</v>
      </c>
    </row>
    <row r="55" spans="1:2">
      <c r="A55" t="s">
        <v>275</v>
      </c>
      <c r="B55" t="s">
        <v>2317</v>
      </c>
    </row>
    <row r="56" spans="1:2">
      <c r="A56" t="s">
        <v>275</v>
      </c>
      <c r="B56" t="s">
        <v>13249</v>
      </c>
    </row>
    <row r="57" spans="1:2">
      <c r="A57" t="s">
        <v>275</v>
      </c>
      <c r="B57" t="s">
        <v>2166</v>
      </c>
    </row>
    <row r="58" spans="1:2">
      <c r="A58" t="s">
        <v>275</v>
      </c>
      <c r="B58" t="s">
        <v>8044</v>
      </c>
    </row>
    <row r="59" spans="1:2">
      <c r="A59" t="s">
        <v>275</v>
      </c>
      <c r="B59" t="s">
        <v>2230</v>
      </c>
    </row>
    <row r="60" spans="1:2">
      <c r="A60" t="s">
        <v>275</v>
      </c>
      <c r="B60" t="s">
        <v>2228</v>
      </c>
    </row>
    <row r="61" spans="1:2">
      <c r="A61" t="s">
        <v>275</v>
      </c>
      <c r="B61" t="s">
        <v>2224</v>
      </c>
    </row>
    <row r="62" spans="1:2">
      <c r="A62" t="s">
        <v>275</v>
      </c>
      <c r="B62" t="s">
        <v>13250</v>
      </c>
    </row>
    <row r="63" spans="1:2">
      <c r="A63" t="s">
        <v>275</v>
      </c>
      <c r="B63" t="s">
        <v>13251</v>
      </c>
    </row>
    <row r="64" spans="1:2">
      <c r="A64" t="s">
        <v>275</v>
      </c>
      <c r="B64" t="s">
        <v>2088</v>
      </c>
    </row>
    <row r="65" spans="1:3">
      <c r="A65" t="s">
        <v>275</v>
      </c>
      <c r="B65" t="s">
        <v>2086</v>
      </c>
    </row>
    <row r="66" spans="1:3">
      <c r="A66" t="s">
        <v>275</v>
      </c>
      <c r="B66" t="s">
        <v>13251</v>
      </c>
    </row>
    <row r="67" spans="1:3">
      <c r="A67" t="s">
        <v>275</v>
      </c>
      <c r="B67" t="s">
        <v>4575</v>
      </c>
    </row>
    <row r="68" spans="1:3">
      <c r="A68" t="s">
        <v>275</v>
      </c>
      <c r="B68" t="s">
        <v>3016</v>
      </c>
    </row>
    <row r="69" spans="1:3">
      <c r="A69" t="s">
        <v>275</v>
      </c>
      <c r="B69" t="s">
        <v>2098</v>
      </c>
    </row>
    <row r="70" spans="1:3">
      <c r="A70" t="s">
        <v>275</v>
      </c>
      <c r="B70" t="s">
        <v>2162</v>
      </c>
    </row>
    <row r="71" spans="1:3">
      <c r="A71" t="s">
        <v>365</v>
      </c>
      <c r="C71" t="s">
        <v>13952</v>
      </c>
    </row>
    <row r="72" spans="1:3">
      <c r="A72" t="s">
        <v>365</v>
      </c>
      <c r="C72" t="s">
        <v>13953</v>
      </c>
    </row>
    <row r="73" spans="1:3">
      <c r="A73" t="s">
        <v>11839</v>
      </c>
      <c r="C73" t="s">
        <v>13954</v>
      </c>
    </row>
    <row r="74" spans="1:3">
      <c r="A74" t="s">
        <v>12837</v>
      </c>
      <c r="C74" t="s">
        <v>13955</v>
      </c>
    </row>
    <row r="75" spans="1:3">
      <c r="A75" t="s">
        <v>581</v>
      </c>
      <c r="C75" t="s">
        <v>13956</v>
      </c>
    </row>
    <row r="76" spans="1:3">
      <c r="A76" t="s">
        <v>581</v>
      </c>
      <c r="C76" t="s">
        <v>13957</v>
      </c>
    </row>
    <row r="77" spans="1:3">
      <c r="A77" t="s">
        <v>2306</v>
      </c>
      <c r="C77" t="s">
        <v>13958</v>
      </c>
    </row>
    <row r="78" spans="1:3">
      <c r="A78" t="s">
        <v>3707</v>
      </c>
      <c r="C78" t="s">
        <v>13959</v>
      </c>
    </row>
    <row r="79" spans="1:3">
      <c r="A79" t="s">
        <v>3707</v>
      </c>
      <c r="C79" t="s">
        <v>13960</v>
      </c>
    </row>
    <row r="80" spans="1:3">
      <c r="A80" t="s">
        <v>11014</v>
      </c>
      <c r="C80" t="s">
        <v>13961</v>
      </c>
    </row>
    <row r="81" spans="1:3">
      <c r="A81" t="s">
        <v>11053</v>
      </c>
      <c r="C81" t="s">
        <v>13962</v>
      </c>
    </row>
    <row r="82" spans="1:3">
      <c r="A82" t="s">
        <v>13017</v>
      </c>
      <c r="C82" t="s">
        <v>13963</v>
      </c>
    </row>
    <row r="83" spans="1:3">
      <c r="A83" t="s">
        <v>5704</v>
      </c>
      <c r="C83" t="s">
        <v>13964</v>
      </c>
    </row>
    <row r="84" spans="1:3">
      <c r="A84" t="s">
        <v>12318</v>
      </c>
      <c r="C84" t="s">
        <v>13965</v>
      </c>
    </row>
    <row r="85" spans="1:3">
      <c r="A85" t="s">
        <v>6289</v>
      </c>
      <c r="C85" t="s">
        <v>13966</v>
      </c>
    </row>
    <row r="86" spans="1:3">
      <c r="A86" t="s">
        <v>6289</v>
      </c>
      <c r="C86" t="s">
        <v>13967</v>
      </c>
    </row>
    <row r="87" spans="1:3">
      <c r="A87" t="s">
        <v>6289</v>
      </c>
      <c r="C87" t="s">
        <v>13968</v>
      </c>
    </row>
    <row r="88" spans="1:3">
      <c r="A88" t="s">
        <v>3707</v>
      </c>
      <c r="C88" t="s">
        <v>13969</v>
      </c>
    </row>
    <row r="89" spans="1:3">
      <c r="A89" t="s">
        <v>10994</v>
      </c>
      <c r="C89" t="s">
        <v>13970</v>
      </c>
    </row>
    <row r="90" spans="1:3">
      <c r="A90" t="s">
        <v>13015</v>
      </c>
      <c r="C90" t="s">
        <v>13971</v>
      </c>
    </row>
    <row r="91" spans="1:3">
      <c r="A91" t="s">
        <v>13015</v>
      </c>
      <c r="C91" t="s">
        <v>13972</v>
      </c>
    </row>
    <row r="92" spans="1:3">
      <c r="A92" t="s">
        <v>13015</v>
      </c>
      <c r="C92" t="s">
        <v>13973</v>
      </c>
    </row>
    <row r="93" spans="1:3">
      <c r="A93" t="s">
        <v>13015</v>
      </c>
      <c r="C93" t="s">
        <v>13974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4A05-ECCD-4CAA-8E3F-5EC65C702F98}">
  <dimension ref="A1:D118"/>
  <sheetViews>
    <sheetView workbookViewId="0">
      <selection activeCell="K29" sqref="K29"/>
    </sheetView>
  </sheetViews>
  <sheetFormatPr defaultRowHeight="15"/>
  <cols>
    <col min="2" max="2" width="41.28515625" bestFit="1" customWidth="1"/>
    <col min="3" max="3" width="10.85546875" bestFit="1" customWidth="1"/>
  </cols>
  <sheetData>
    <row r="1" spans="1:4">
      <c r="A1" t="s">
        <v>13951</v>
      </c>
    </row>
    <row r="2" spans="1:4">
      <c r="A2">
        <v>14103</v>
      </c>
      <c r="B2" t="s">
        <v>13290</v>
      </c>
      <c r="C2" t="str">
        <f>+$A$1&amp;A2</f>
        <v>L000014103</v>
      </c>
      <c r="D2" t="str">
        <f>B2</f>
        <v>Visalia DC Freight-G</v>
      </c>
    </row>
    <row r="3" spans="1:4">
      <c r="A3">
        <v>14104</v>
      </c>
      <c r="B3" t="s">
        <v>13292</v>
      </c>
      <c r="C3" t="str">
        <f t="shared" ref="C3:C66" si="0">+$A$1&amp;A3</f>
        <v>L000014104</v>
      </c>
      <c r="D3" t="str">
        <f t="shared" ref="D3:D66" si="1">B3</f>
        <v>Allentown DC Freight-G</v>
      </c>
    </row>
    <row r="4" spans="1:4">
      <c r="A4">
        <v>14105</v>
      </c>
      <c r="B4" t="s">
        <v>13293</v>
      </c>
      <c r="C4" t="str">
        <f t="shared" si="0"/>
        <v>L000014105</v>
      </c>
      <c r="D4" t="str">
        <f t="shared" si="1"/>
        <v>Bio-Techne Integration</v>
      </c>
    </row>
    <row r="5" spans="1:4">
      <c r="A5">
        <v>14106</v>
      </c>
      <c r="B5" t="s">
        <v>13294</v>
      </c>
      <c r="C5" t="str">
        <f t="shared" si="0"/>
        <v>L000014106</v>
      </c>
      <c r="D5" t="str">
        <f t="shared" si="1"/>
        <v>LS Communications Head Office</v>
      </c>
    </row>
    <row r="6" spans="1:4">
      <c r="A6">
        <v>14107</v>
      </c>
      <c r="B6" t="s">
        <v>13295</v>
      </c>
      <c r="C6" t="str">
        <f t="shared" si="0"/>
        <v>L000014107</v>
      </c>
      <c r="D6" t="str">
        <f t="shared" si="1"/>
        <v>LS Sales Meetings</v>
      </c>
    </row>
    <row r="7" spans="1:4">
      <c r="A7">
        <v>14108</v>
      </c>
      <c r="B7" t="s">
        <v>13296</v>
      </c>
      <c r="C7" t="str">
        <f t="shared" si="0"/>
        <v>L000014108</v>
      </c>
      <c r="D7" t="str">
        <f t="shared" si="1"/>
        <v>Leuven Operations -G</v>
      </c>
    </row>
    <row r="8" spans="1:4">
      <c r="A8">
        <v>14109</v>
      </c>
      <c r="B8" t="s">
        <v>13297</v>
      </c>
      <c r="C8" t="str">
        <f t="shared" si="0"/>
        <v>L000014109</v>
      </c>
      <c r="D8" t="str">
        <f t="shared" si="1"/>
        <v>Buchs Income Materials</v>
      </c>
    </row>
    <row r="9" spans="1:4">
      <c r="A9">
        <v>14110</v>
      </c>
      <c r="B9" t="s">
        <v>13298</v>
      </c>
      <c r="C9" t="str">
        <f t="shared" si="0"/>
        <v>L000014110</v>
      </c>
      <c r="D9" t="str">
        <f t="shared" si="1"/>
        <v>Buchs Production</v>
      </c>
    </row>
    <row r="10" spans="1:4">
      <c r="A10">
        <v>14111</v>
      </c>
      <c r="B10" t="s">
        <v>13299</v>
      </c>
      <c r="C10" t="str">
        <f t="shared" si="0"/>
        <v>L000014111</v>
      </c>
      <c r="D10" t="str">
        <f t="shared" si="1"/>
        <v>Buchs Downfilling</v>
      </c>
    </row>
    <row r="11" spans="1:4">
      <c r="A11">
        <v>14112</v>
      </c>
      <c r="B11" t="s">
        <v>13300</v>
      </c>
      <c r="C11" t="str">
        <f t="shared" si="0"/>
        <v>L000014112</v>
      </c>
      <c r="D11" t="str">
        <f t="shared" si="1"/>
        <v>Buchs Quality</v>
      </c>
    </row>
    <row r="12" spans="1:4">
      <c r="A12">
        <v>14113</v>
      </c>
      <c r="B12" t="s">
        <v>13301</v>
      </c>
      <c r="C12" t="str">
        <f t="shared" si="0"/>
        <v>L000014113</v>
      </c>
      <c r="D12" t="str">
        <f t="shared" si="1"/>
        <v>Buchs Eng, Main., Fac.</v>
      </c>
    </row>
    <row r="13" spans="1:4">
      <c r="A13">
        <v>14114</v>
      </c>
      <c r="B13" t="s">
        <v>13302</v>
      </c>
      <c r="C13" t="str">
        <f t="shared" si="0"/>
        <v>L000014114</v>
      </c>
      <c r="D13" t="str">
        <f t="shared" si="1"/>
        <v>Buchs EHS</v>
      </c>
    </row>
    <row r="14" spans="1:4">
      <c r="A14">
        <v>14115</v>
      </c>
      <c r="B14" t="s">
        <v>13303</v>
      </c>
      <c r="C14" t="str">
        <f t="shared" si="0"/>
        <v>L000014115</v>
      </c>
      <c r="D14" t="str">
        <f t="shared" si="1"/>
        <v>Buchs Others</v>
      </c>
    </row>
    <row r="15" spans="1:4">
      <c r="A15">
        <v>14116</v>
      </c>
      <c r="B15" t="s">
        <v>13304</v>
      </c>
      <c r="C15" t="str">
        <f t="shared" si="0"/>
        <v>L000014116</v>
      </c>
      <c r="D15" t="str">
        <f t="shared" si="1"/>
        <v>Buchs Alloc-out Others</v>
      </c>
    </row>
    <row r="16" spans="1:4">
      <c r="A16">
        <v>14117</v>
      </c>
      <c r="B16" t="s">
        <v>13315</v>
      </c>
      <c r="C16" t="str">
        <f t="shared" si="0"/>
        <v>L000014117</v>
      </c>
      <c r="D16" t="str">
        <f t="shared" si="1"/>
        <v>To be deleted - E&amp;M</v>
      </c>
    </row>
    <row r="17" spans="1:4">
      <c r="A17">
        <v>14118</v>
      </c>
      <c r="B17" t="s">
        <v>13316</v>
      </c>
      <c r="C17" t="str">
        <f t="shared" si="0"/>
        <v>L000014118</v>
      </c>
      <c r="D17" t="str">
        <f t="shared" si="1"/>
        <v>Process Engineering</v>
      </c>
    </row>
    <row r="18" spans="1:4">
      <c r="A18">
        <v>14119</v>
      </c>
      <c r="B18" t="s">
        <v>13317</v>
      </c>
      <c r="C18" t="str">
        <f t="shared" si="0"/>
        <v>L000014119</v>
      </c>
      <c r="D18" t="str">
        <f t="shared" si="1"/>
        <v>Project Engineering</v>
      </c>
    </row>
    <row r="19" spans="1:4">
      <c r="A19">
        <v>14120</v>
      </c>
      <c r="B19" t="s">
        <v>13318</v>
      </c>
      <c r="C19" t="str">
        <f t="shared" si="0"/>
        <v>L000014120</v>
      </c>
      <c r="D19" t="str">
        <f t="shared" si="1"/>
        <v>Process Development Engineering</v>
      </c>
    </row>
    <row r="20" spans="1:4">
      <c r="A20">
        <v>14121</v>
      </c>
      <c r="B20" t="s">
        <v>13319</v>
      </c>
      <c r="C20" t="str">
        <f t="shared" si="0"/>
        <v>L000014121</v>
      </c>
      <c r="D20" t="str">
        <f t="shared" si="1"/>
        <v>Innovation &amp; Technology</v>
      </c>
    </row>
    <row r="21" spans="1:4">
      <c r="A21">
        <v>14122</v>
      </c>
      <c r="B21" t="s">
        <v>13320</v>
      </c>
      <c r="C21" t="str">
        <f t="shared" si="0"/>
        <v>L000014122</v>
      </c>
      <c r="D21" t="str">
        <f t="shared" si="1"/>
        <v>Maintenance Central</v>
      </c>
    </row>
    <row r="22" spans="1:4">
      <c r="A22">
        <v>14123</v>
      </c>
      <c r="B22" t="s">
        <v>13321</v>
      </c>
      <c r="C22" t="str">
        <f t="shared" si="0"/>
        <v>L000014123</v>
      </c>
      <c r="D22" t="str">
        <f t="shared" si="1"/>
        <v>Maintenance Operation</v>
      </c>
    </row>
    <row r="23" spans="1:4">
      <c r="A23">
        <v>14124</v>
      </c>
      <c r="B23" t="s">
        <v>13305</v>
      </c>
      <c r="C23" t="str">
        <f t="shared" si="0"/>
        <v>L000014124</v>
      </c>
      <c r="D23" t="str">
        <f t="shared" si="1"/>
        <v>Buchs Start-Up Cost</v>
      </c>
    </row>
    <row r="24" spans="1:4">
      <c r="A24">
        <v>14125</v>
      </c>
      <c r="B24" t="s">
        <v>13306</v>
      </c>
      <c r="C24" t="str">
        <f t="shared" si="0"/>
        <v>L000014125</v>
      </c>
      <c r="D24" t="str">
        <f t="shared" si="1"/>
        <v>Buchs Idle Cost</v>
      </c>
    </row>
    <row r="25" spans="1:4">
      <c r="A25">
        <v>14126</v>
      </c>
      <c r="B25" t="s">
        <v>13325</v>
      </c>
      <c r="C25" t="str">
        <f t="shared" si="0"/>
        <v>L000014126</v>
      </c>
      <c r="D25" t="str">
        <f t="shared" si="1"/>
        <v>To be deleted - FM</v>
      </c>
    </row>
    <row r="26" spans="1:4">
      <c r="A26">
        <v>14127</v>
      </c>
      <c r="B26" t="s">
        <v>13307</v>
      </c>
      <c r="C26" t="str">
        <f t="shared" si="0"/>
        <v>L000014127</v>
      </c>
      <c r="D26" t="str">
        <f t="shared" si="1"/>
        <v>Buchs Absorption</v>
      </c>
    </row>
    <row r="27" spans="1:4">
      <c r="A27">
        <v>14128</v>
      </c>
      <c r="B27" t="s">
        <v>13327</v>
      </c>
      <c r="C27" t="str">
        <f t="shared" si="0"/>
        <v>L000014128</v>
      </c>
      <c r="D27" t="str">
        <f t="shared" si="1"/>
        <v>To be deleted - Quality</v>
      </c>
    </row>
    <row r="28" spans="1:4">
      <c r="A28">
        <v>14129</v>
      </c>
      <c r="B28" t="s">
        <v>13308</v>
      </c>
      <c r="C28" t="str">
        <f t="shared" si="0"/>
        <v>L000014129</v>
      </c>
      <c r="D28" t="str">
        <f t="shared" si="1"/>
        <v>Buchs Other adminstration costs</v>
      </c>
    </row>
    <row r="29" spans="1:4">
      <c r="A29">
        <v>14130</v>
      </c>
      <c r="B29" t="s">
        <v>13328</v>
      </c>
      <c r="C29" t="str">
        <f t="shared" si="0"/>
        <v>L000014130</v>
      </c>
      <c r="D29" t="str">
        <f t="shared" si="1"/>
        <v>BioMonitoring Operations</v>
      </c>
    </row>
    <row r="30" spans="1:4">
      <c r="A30">
        <v>14131</v>
      </c>
      <c r="B30" t="s">
        <v>13329</v>
      </c>
      <c r="C30" t="str">
        <f t="shared" si="0"/>
        <v>L000014131</v>
      </c>
      <c r="D30" t="str">
        <f t="shared" si="1"/>
        <v>Labwater Operations</v>
      </c>
    </row>
    <row r="31" spans="1:4">
      <c r="A31">
        <v>14132</v>
      </c>
      <c r="B31" t="s">
        <v>13330</v>
      </c>
      <c r="C31" t="str">
        <f t="shared" si="0"/>
        <v>L000014132</v>
      </c>
      <c r="D31" t="str">
        <f t="shared" si="1"/>
        <v>Mol AS Management</v>
      </c>
    </row>
    <row r="32" spans="1:4">
      <c r="A32">
        <v>14133</v>
      </c>
      <c r="B32" t="s">
        <v>13331</v>
      </c>
      <c r="C32" t="str">
        <f t="shared" si="0"/>
        <v>L000014133</v>
      </c>
      <c r="D32" t="str">
        <f t="shared" si="1"/>
        <v>To be deleted - AS</v>
      </c>
    </row>
    <row r="33" spans="1:4">
      <c r="A33">
        <v>14134</v>
      </c>
      <c r="B33" t="s">
        <v>13332</v>
      </c>
      <c r="C33" t="str">
        <f t="shared" si="0"/>
        <v>L000014134</v>
      </c>
      <c r="D33" t="str">
        <f t="shared" si="1"/>
        <v>To be deleted - PS</v>
      </c>
    </row>
    <row r="34" spans="1:4">
      <c r="A34">
        <v>14135</v>
      </c>
      <c r="B34" t="s">
        <v>13309</v>
      </c>
      <c r="C34" t="str">
        <f t="shared" si="0"/>
        <v>L000014135</v>
      </c>
      <c r="D34" t="str">
        <f t="shared" si="1"/>
        <v>AS HeadOffice</v>
      </c>
    </row>
    <row r="35" spans="1:4">
      <c r="A35">
        <v>14136</v>
      </c>
      <c r="B35" t="s">
        <v>13310</v>
      </c>
      <c r="C35" t="str">
        <f t="shared" si="0"/>
        <v>L000014136</v>
      </c>
      <c r="D35" t="str">
        <f t="shared" si="1"/>
        <v>AS Miscellaneous</v>
      </c>
    </row>
    <row r="36" spans="1:4">
      <c r="A36">
        <v>14137</v>
      </c>
      <c r="B36" t="s">
        <v>13311</v>
      </c>
      <c r="C36" t="str">
        <f t="shared" si="0"/>
        <v>L000014137</v>
      </c>
      <c r="D36" t="str">
        <f t="shared" si="1"/>
        <v>AS Sales meetings</v>
      </c>
    </row>
    <row r="37" spans="1:4">
      <c r="A37">
        <v>14138</v>
      </c>
      <c r="B37" t="s">
        <v>13312</v>
      </c>
      <c r="C37" t="str">
        <f t="shared" si="0"/>
        <v>L000014138</v>
      </c>
      <c r="D37" t="str">
        <f t="shared" si="1"/>
        <v>AS Special Projects</v>
      </c>
    </row>
    <row r="38" spans="1:4">
      <c r="A38">
        <v>14139</v>
      </c>
      <c r="B38" t="s">
        <v>13313</v>
      </c>
      <c r="C38" t="str">
        <f t="shared" si="0"/>
        <v>L000014139</v>
      </c>
      <c r="D38" t="str">
        <f t="shared" si="1"/>
        <v>Com Analytics &amp; Solution Deliv</v>
      </c>
    </row>
    <row r="39" spans="1:4">
      <c r="A39">
        <v>14140</v>
      </c>
      <c r="B39" t="s">
        <v>13314</v>
      </c>
      <c r="C39" t="str">
        <f t="shared" si="0"/>
        <v>L000014140</v>
      </c>
      <c r="D39" t="str">
        <f t="shared" si="1"/>
        <v>Engineering &amp; Maintenance</v>
      </c>
    </row>
    <row r="40" spans="1:4">
      <c r="A40">
        <v>14141</v>
      </c>
      <c r="B40" t="s">
        <v>13322</v>
      </c>
      <c r="C40" t="str">
        <f t="shared" si="0"/>
        <v>L000014141</v>
      </c>
      <c r="D40" t="str">
        <f t="shared" si="1"/>
        <v>To be deleted - Sup Fcts</v>
      </c>
    </row>
    <row r="41" spans="1:4">
      <c r="A41">
        <v>14142</v>
      </c>
      <c r="B41" t="s">
        <v>13324</v>
      </c>
      <c r="C41" t="str">
        <f t="shared" si="0"/>
        <v>L000014142</v>
      </c>
      <c r="D41" t="str">
        <f t="shared" si="1"/>
        <v>Facility Management</v>
      </c>
    </row>
    <row r="42" spans="1:4">
      <c r="A42">
        <v>14143</v>
      </c>
      <c r="B42" t="s">
        <v>13326</v>
      </c>
      <c r="C42" t="str">
        <f t="shared" si="0"/>
        <v>L000014143</v>
      </c>
      <c r="D42" t="str">
        <f t="shared" si="1"/>
        <v>Quality</v>
      </c>
    </row>
    <row r="43" spans="1:4">
      <c r="A43">
        <v>14144</v>
      </c>
      <c r="B43" t="s">
        <v>8305</v>
      </c>
      <c r="C43" t="str">
        <f t="shared" si="0"/>
        <v>L000014144</v>
      </c>
      <c r="D43" t="str">
        <f t="shared" si="1"/>
        <v>Advanced Solutions</v>
      </c>
    </row>
    <row r="44" spans="1:4">
      <c r="A44">
        <v>14145</v>
      </c>
      <c r="B44" t="s">
        <v>13334</v>
      </c>
      <c r="C44" t="str">
        <f t="shared" si="0"/>
        <v>L000014145</v>
      </c>
      <c r="D44" t="str">
        <f t="shared" si="1"/>
        <v>Sales EMEA (BM)</v>
      </c>
    </row>
    <row r="45" spans="1:4">
      <c r="A45">
        <v>14146</v>
      </c>
      <c r="B45" t="s">
        <v>13335</v>
      </c>
      <c r="C45" t="str">
        <f t="shared" si="0"/>
        <v>L000014146</v>
      </c>
      <c r="D45" t="str">
        <f t="shared" si="1"/>
        <v>LW EMEA</v>
      </c>
    </row>
    <row r="46" spans="1:4">
      <c r="A46">
        <v>14147</v>
      </c>
      <c r="B46" t="s">
        <v>13336</v>
      </c>
      <c r="C46" t="str">
        <f t="shared" si="0"/>
        <v>L000014147</v>
      </c>
      <c r="D46" t="str">
        <f t="shared" si="1"/>
        <v>Enterprise Architecture</v>
      </c>
    </row>
    <row r="47" spans="1:4">
      <c r="A47">
        <v>14148</v>
      </c>
      <c r="B47" t="s">
        <v>13337</v>
      </c>
      <c r="C47" t="str">
        <f t="shared" si="0"/>
        <v>L000014148</v>
      </c>
      <c r="D47" t="str">
        <f t="shared" si="1"/>
        <v>Legacy &amp; Acquired Technology Development</v>
      </c>
    </row>
    <row r="48" spans="1:4">
      <c r="A48">
        <v>14149</v>
      </c>
      <c r="B48" t="s">
        <v>13338</v>
      </c>
      <c r="C48" t="str">
        <f t="shared" si="0"/>
        <v>L000014149</v>
      </c>
      <c r="D48" t="str">
        <f t="shared" si="1"/>
        <v>ART Development</v>
      </c>
    </row>
    <row r="49" spans="1:4">
      <c r="A49">
        <v>14150</v>
      </c>
      <c r="B49" t="s">
        <v>13339</v>
      </c>
      <c r="C49" t="str">
        <f t="shared" si="0"/>
        <v>L000014150</v>
      </c>
      <c r="D49" t="str">
        <f t="shared" si="1"/>
        <v>Infrastructure &amp; Shared Services</v>
      </c>
    </row>
    <row r="50" spans="1:4">
      <c r="A50">
        <v>14151</v>
      </c>
      <c r="B50" t="s">
        <v>13340</v>
      </c>
      <c r="C50" t="str">
        <f t="shared" si="0"/>
        <v>L000014151</v>
      </c>
      <c r="D50" t="str">
        <f t="shared" si="1"/>
        <v>SUIS Applications</v>
      </c>
    </row>
    <row r="51" spans="1:4">
      <c r="A51">
        <v>14152</v>
      </c>
      <c r="B51" t="s">
        <v>13341</v>
      </c>
      <c r="C51" t="str">
        <f t="shared" si="0"/>
        <v>L000014152</v>
      </c>
      <c r="D51" t="str">
        <f t="shared" si="1"/>
        <v>Single Use Products</v>
      </c>
    </row>
    <row r="52" spans="1:4">
      <c r="A52">
        <v>14153</v>
      </c>
      <c r="B52" t="s">
        <v>13342</v>
      </c>
      <c r="C52" t="str">
        <f t="shared" si="0"/>
        <v>L000014153</v>
      </c>
      <c r="D52" t="str">
        <f t="shared" si="1"/>
        <v>Automated Integrity &amp; Mixing Systems</v>
      </c>
    </row>
    <row r="53" spans="1:4">
      <c r="A53">
        <v>14154</v>
      </c>
      <c r="B53" t="s">
        <v>13343</v>
      </c>
      <c r="C53" t="str">
        <f t="shared" si="0"/>
        <v>L000014154</v>
      </c>
      <c r="D53" t="str">
        <f t="shared" si="1"/>
        <v>Raman Technology</v>
      </c>
    </row>
    <row r="54" spans="1:4">
      <c r="A54">
        <v>14155</v>
      </c>
      <c r="B54" t="s">
        <v>13344</v>
      </c>
      <c r="C54" t="str">
        <f t="shared" si="0"/>
        <v>L000014155</v>
      </c>
      <c r="D54" t="str">
        <f t="shared" si="1"/>
        <v>Systems Development</v>
      </c>
    </row>
    <row r="55" spans="1:4">
      <c r="A55">
        <v>14156</v>
      </c>
      <c r="B55" t="s">
        <v>13345</v>
      </c>
      <c r="C55" t="str">
        <f t="shared" si="0"/>
        <v>L000014156</v>
      </c>
      <c r="D55" t="str">
        <f t="shared" si="1"/>
        <v>Systems Technology</v>
      </c>
    </row>
    <row r="56" spans="1:4">
      <c r="A56">
        <v>14157</v>
      </c>
      <c r="B56" t="s">
        <v>13346</v>
      </c>
      <c r="C56" t="str">
        <f t="shared" si="0"/>
        <v>L000014157</v>
      </c>
      <c r="D56" t="str">
        <f t="shared" si="1"/>
        <v>Analytical Technologies</v>
      </c>
    </row>
    <row r="57" spans="1:4">
      <c r="A57">
        <v>14158</v>
      </c>
      <c r="B57" t="s">
        <v>13348</v>
      </c>
      <c r="C57" t="str">
        <f t="shared" si="0"/>
        <v>L000014158</v>
      </c>
      <c r="D57" t="str">
        <f t="shared" si="1"/>
        <v>Bioanalytical Technologies</v>
      </c>
    </row>
    <row r="58" spans="1:4">
      <c r="A58">
        <v>14159</v>
      </c>
      <c r="B58" t="s">
        <v>13359</v>
      </c>
      <c r="C58" t="str">
        <f t="shared" si="0"/>
        <v>L000014159</v>
      </c>
      <c r="D58" t="str">
        <f t="shared" si="1"/>
        <v>Application Lab Shanghai</v>
      </c>
    </row>
    <row r="59" spans="1:4">
      <c r="A59">
        <v>14160</v>
      </c>
      <c r="B59" t="s">
        <v>13360</v>
      </c>
      <c r="C59" t="str">
        <f t="shared" si="0"/>
        <v>L000014160</v>
      </c>
      <c r="D59" t="str">
        <f t="shared" si="1"/>
        <v>Application Lab Mumbai</v>
      </c>
    </row>
    <row r="60" spans="1:4">
      <c r="A60">
        <v>14161</v>
      </c>
      <c r="B60" t="s">
        <v>13349</v>
      </c>
      <c r="C60" t="str">
        <f t="shared" si="0"/>
        <v>L000014161</v>
      </c>
      <c r="D60" t="str">
        <f t="shared" si="1"/>
        <v>Validation &amp; Applications Center</v>
      </c>
    </row>
    <row r="61" spans="1:4">
      <c r="A61">
        <v>14162</v>
      </c>
      <c r="B61" t="s">
        <v>13350</v>
      </c>
      <c r="C61" t="str">
        <f t="shared" si="0"/>
        <v>L000014162</v>
      </c>
      <c r="D61" t="str">
        <f t="shared" si="1"/>
        <v>Microbiological Sciences</v>
      </c>
    </row>
    <row r="62" spans="1:4">
      <c r="A62">
        <v>14163</v>
      </c>
      <c r="B62" t="s">
        <v>13351</v>
      </c>
      <c r="C62" t="str">
        <f t="shared" si="0"/>
        <v>L000014163</v>
      </c>
      <c r="D62" t="str">
        <f t="shared" si="1"/>
        <v>Virology</v>
      </c>
    </row>
    <row r="63" spans="1:4">
      <c r="A63">
        <v>14164</v>
      </c>
      <c r="B63" t="s">
        <v>13352</v>
      </c>
      <c r="C63" t="str">
        <f t="shared" si="0"/>
        <v>L000014164</v>
      </c>
      <c r="D63" t="str">
        <f t="shared" si="1"/>
        <v>Quality &amp; Site Operations</v>
      </c>
    </row>
    <row r="64" spans="1:4">
      <c r="A64">
        <v>14165</v>
      </c>
      <c r="B64" t="s">
        <v>13353</v>
      </c>
      <c r="C64" t="str">
        <f t="shared" si="0"/>
        <v>L000014165</v>
      </c>
      <c r="D64" t="str">
        <f t="shared" si="1"/>
        <v>Industrialization</v>
      </c>
    </row>
    <row r="65" spans="1:4">
      <c r="A65">
        <v>14166</v>
      </c>
      <c r="B65" t="s">
        <v>13354</v>
      </c>
      <c r="C65" t="str">
        <f t="shared" si="0"/>
        <v>L000014166</v>
      </c>
      <c r="D65" t="str">
        <f t="shared" si="1"/>
        <v>Downstream Applications</v>
      </c>
    </row>
    <row r="66" spans="1:4">
      <c r="A66">
        <v>14167</v>
      </c>
      <c r="B66" t="s">
        <v>13355</v>
      </c>
      <c r="C66" t="str">
        <f t="shared" si="0"/>
        <v>L000014167</v>
      </c>
      <c r="D66" t="str">
        <f t="shared" si="1"/>
        <v>Expression Systems &amp; Biopharm Materials</v>
      </c>
    </row>
    <row r="67" spans="1:4">
      <c r="A67">
        <v>14168</v>
      </c>
      <c r="B67" t="s">
        <v>13356</v>
      </c>
      <c r="C67" t="str">
        <f t="shared" ref="C67:C118" si="2">+$A$1&amp;A67</f>
        <v>L000014168</v>
      </c>
      <c r="D67" t="str">
        <f t="shared" ref="D67:D118" si="3">B67</f>
        <v>Cell Culture Media &amp; Process Development</v>
      </c>
    </row>
    <row r="68" spans="1:4">
      <c r="A68">
        <v>14169</v>
      </c>
      <c r="B68" t="s">
        <v>13357</v>
      </c>
      <c r="C68" t="str">
        <f t="shared" si="2"/>
        <v>L000014169</v>
      </c>
      <c r="D68" t="str">
        <f t="shared" si="3"/>
        <v>Raw Material &amp; Manufacturing Innovation</v>
      </c>
    </row>
    <row r="69" spans="1:4">
      <c r="A69">
        <v>14170</v>
      </c>
      <c r="B69" t="s">
        <v>13358</v>
      </c>
      <c r="C69" t="str">
        <f t="shared" si="2"/>
        <v>L000014170</v>
      </c>
      <c r="D69" t="str">
        <f t="shared" si="3"/>
        <v>Excipients R&amp;D</v>
      </c>
    </row>
    <row r="70" spans="1:4">
      <c r="A70">
        <v>14171</v>
      </c>
      <c r="B70" t="s">
        <v>13361</v>
      </c>
      <c r="C70" t="str">
        <f t="shared" si="2"/>
        <v>L000014171</v>
      </c>
      <c r="D70" t="str">
        <f t="shared" si="3"/>
        <v>FMA Upstream</v>
      </c>
    </row>
    <row r="71" spans="1:4">
      <c r="A71">
        <v>14172</v>
      </c>
      <c r="B71" t="s">
        <v>13362</v>
      </c>
      <c r="C71" t="str">
        <f t="shared" si="2"/>
        <v>L000014172</v>
      </c>
      <c r="D71" t="str">
        <f t="shared" si="3"/>
        <v>FMA Downstream</v>
      </c>
    </row>
    <row r="72" spans="1:4">
      <c r="A72">
        <v>14173</v>
      </c>
      <c r="B72" t="s">
        <v>13363</v>
      </c>
      <c r="C72" t="str">
        <f t="shared" si="2"/>
        <v>L000014173</v>
      </c>
      <c r="D72" t="str">
        <f t="shared" si="3"/>
        <v>FMA Intensification &amp; PAT</v>
      </c>
    </row>
    <row r="73" spans="1:4">
      <c r="A73">
        <v>14174</v>
      </c>
      <c r="B73" t="s">
        <v>13364</v>
      </c>
      <c r="C73" t="str">
        <f t="shared" si="2"/>
        <v>L000014174</v>
      </c>
      <c r="D73" t="str">
        <f t="shared" si="3"/>
        <v>Application Development</v>
      </c>
    </row>
    <row r="74" spans="1:4">
      <c r="A74">
        <v>14175</v>
      </c>
      <c r="B74" t="s">
        <v>13365</v>
      </c>
      <c r="C74" t="str">
        <f t="shared" si="2"/>
        <v>L000014175</v>
      </c>
      <c r="D74" t="str">
        <f t="shared" si="3"/>
        <v>External Innovation</v>
      </c>
    </row>
    <row r="75" spans="1:4">
      <c r="A75">
        <v>14176</v>
      </c>
      <c r="B75" t="s">
        <v>13366</v>
      </c>
      <c r="C75" t="str">
        <f t="shared" si="2"/>
        <v>L000014176</v>
      </c>
      <c r="D75" t="str">
        <f t="shared" si="3"/>
        <v>Global Process Owner</v>
      </c>
    </row>
    <row r="76" spans="1:4">
      <c r="A76">
        <v>14177</v>
      </c>
      <c r="B76" t="s">
        <v>13367</v>
      </c>
      <c r="C76" t="str">
        <f t="shared" si="2"/>
        <v>L000014177</v>
      </c>
      <c r="D76" t="str">
        <f t="shared" si="3"/>
        <v>Speciality Order Management</v>
      </c>
    </row>
    <row r="77" spans="1:4">
      <c r="A77">
        <v>14178</v>
      </c>
      <c r="B77" t="s">
        <v>13368</v>
      </c>
      <c r="C77" t="str">
        <f t="shared" si="2"/>
        <v>L000014178</v>
      </c>
      <c r="D77" t="str">
        <f t="shared" si="3"/>
        <v xml:space="preserve">CS Americas NAB </v>
      </c>
    </row>
    <row r="78" spans="1:4">
      <c r="A78">
        <v>14179</v>
      </c>
      <c r="B78" t="s">
        <v>13369</v>
      </c>
      <c r="C78" t="str">
        <f t="shared" si="2"/>
        <v>L000014179</v>
      </c>
      <c r="D78" t="str">
        <f t="shared" si="3"/>
        <v>Specialty Support</v>
      </c>
    </row>
    <row r="79" spans="1:4">
      <c r="A79">
        <v>14180</v>
      </c>
      <c r="B79" t="s">
        <v>13370</v>
      </c>
      <c r="C79" t="str">
        <f t="shared" si="2"/>
        <v>L000014180</v>
      </c>
      <c r="D79" t="str">
        <f t="shared" si="3"/>
        <v>Order Resolution</v>
      </c>
    </row>
    <row r="80" spans="1:4">
      <c r="A80">
        <v>14181</v>
      </c>
      <c r="B80" t="s">
        <v>13371</v>
      </c>
      <c r="C80" t="str">
        <f t="shared" si="2"/>
        <v>L000014181</v>
      </c>
      <c r="D80" t="str">
        <f t="shared" si="3"/>
        <v>NEA - Customer and Sales Excellence</v>
      </c>
    </row>
    <row r="81" spans="1:4">
      <c r="A81">
        <v>14182</v>
      </c>
      <c r="B81" t="s">
        <v>13372</v>
      </c>
      <c r="C81" t="str">
        <f t="shared" si="2"/>
        <v>L000014182</v>
      </c>
      <c r="D81" t="str">
        <f t="shared" si="3"/>
        <v>NEE - Customer Service EEMEA</v>
      </c>
    </row>
    <row r="82" spans="1:4">
      <c r="A82">
        <v>14183</v>
      </c>
      <c r="B82" t="s">
        <v>13373</v>
      </c>
      <c r="C82" t="str">
        <f t="shared" si="2"/>
        <v>L000014183</v>
      </c>
      <c r="D82" t="str">
        <f t="shared" si="3"/>
        <v>NEP - Customer Service EMEA</v>
      </c>
    </row>
    <row r="83" spans="1:4">
      <c r="A83">
        <v>14184</v>
      </c>
      <c r="B83" t="s">
        <v>13374</v>
      </c>
      <c r="C83" t="str">
        <f t="shared" si="2"/>
        <v>L000014184</v>
      </c>
      <c r="D83" t="str">
        <f t="shared" si="3"/>
        <v>NEG - Customer Service EMEA</v>
      </c>
    </row>
    <row r="84" spans="1:4">
      <c r="A84">
        <v>14185</v>
      </c>
      <c r="B84" t="s">
        <v>13375</v>
      </c>
      <c r="C84" t="str">
        <f t="shared" si="2"/>
        <v>L000014185</v>
      </c>
      <c r="D84" t="str">
        <f t="shared" si="3"/>
        <v>Customer Service APAC</v>
      </c>
    </row>
    <row r="85" spans="1:4">
      <c r="A85">
        <v>14186</v>
      </c>
      <c r="B85" t="s">
        <v>13376</v>
      </c>
      <c r="C85" t="str">
        <f t="shared" si="2"/>
        <v>L000014186</v>
      </c>
      <c r="D85" t="str">
        <f t="shared" si="3"/>
        <v>SEA Taiwan Aus</v>
      </c>
    </row>
    <row r="86" spans="1:4">
      <c r="A86">
        <v>14187</v>
      </c>
      <c r="B86" t="s">
        <v>13377</v>
      </c>
      <c r="C86" t="str">
        <f t="shared" si="2"/>
        <v>L000014187</v>
      </c>
      <c r="D86" t="str">
        <f t="shared" si="3"/>
        <v>GSA Pharma 1</v>
      </c>
    </row>
    <row r="87" spans="1:4">
      <c r="A87">
        <v>14188</v>
      </c>
      <c r="B87" t="s">
        <v>13378</v>
      </c>
      <c r="C87" t="str">
        <f t="shared" si="2"/>
        <v>L000014188</v>
      </c>
      <c r="D87" t="str">
        <f t="shared" si="3"/>
        <v>GSA Pharma 2</v>
      </c>
    </row>
    <row r="88" spans="1:4">
      <c r="A88">
        <v>14189</v>
      </c>
      <c r="B88" t="s">
        <v>13379</v>
      </c>
      <c r="C88" t="str">
        <f t="shared" si="2"/>
        <v>L000014189</v>
      </c>
      <c r="D88" t="str">
        <f t="shared" si="3"/>
        <v>GSA DxRM &amp; Pharma</v>
      </c>
    </row>
    <row r="89" spans="1:4">
      <c r="A89">
        <v>14190</v>
      </c>
      <c r="B89" t="s">
        <v>13380</v>
      </c>
      <c r="C89" t="str">
        <f t="shared" si="2"/>
        <v>L000014190</v>
      </c>
      <c r="D89" t="str">
        <f t="shared" si="3"/>
        <v>Export North America</v>
      </c>
    </row>
    <row r="90" spans="1:4">
      <c r="A90">
        <v>14191</v>
      </c>
      <c r="B90" t="s">
        <v>13381</v>
      </c>
      <c r="C90" t="str">
        <f t="shared" si="2"/>
        <v>L000014191</v>
      </c>
      <c r="D90" t="str">
        <f t="shared" si="3"/>
        <v>Global export Ops</v>
      </c>
    </row>
    <row r="91" spans="1:4">
      <c r="A91">
        <v>14192</v>
      </c>
      <c r="B91" t="s">
        <v>13382</v>
      </c>
      <c r="C91" t="str">
        <f t="shared" si="2"/>
        <v>L000014192</v>
      </c>
      <c r="D91" t="str">
        <f t="shared" si="3"/>
        <v>BSP EMEA</v>
      </c>
    </row>
    <row r="92" spans="1:4">
      <c r="A92">
        <v>14193</v>
      </c>
      <c r="B92" t="s">
        <v>13383</v>
      </c>
      <c r="C92" t="str">
        <f t="shared" si="2"/>
        <v>L000014193</v>
      </c>
      <c r="D92" t="str">
        <f t="shared" si="3"/>
        <v>BSP Americas</v>
      </c>
    </row>
    <row r="93" spans="1:4">
      <c r="A93">
        <v>14194</v>
      </c>
      <c r="B93" t="s">
        <v>13384</v>
      </c>
      <c r="C93" t="str">
        <f t="shared" si="2"/>
        <v>L000014194</v>
      </c>
      <c r="D93" t="str">
        <f t="shared" si="3"/>
        <v xml:space="preserve">Process Excel Data Analytics &amp; Insights </v>
      </c>
    </row>
    <row r="94" spans="1:4">
      <c r="A94">
        <v>14195</v>
      </c>
      <c r="B94" t="s">
        <v>13385</v>
      </c>
      <c r="C94" t="str">
        <f t="shared" si="2"/>
        <v>L000014195</v>
      </c>
      <c r="D94" t="str">
        <f t="shared" si="3"/>
        <v>Digital &amp; Strategic Initiatives</v>
      </c>
    </row>
    <row r="95" spans="1:4">
      <c r="A95">
        <v>14196</v>
      </c>
      <c r="B95" t="s">
        <v>13386</v>
      </c>
      <c r="C95" t="str">
        <f t="shared" si="2"/>
        <v>L000014196</v>
      </c>
      <c r="D95" t="str">
        <f t="shared" si="3"/>
        <v>Business System &amp; Processes APeC</v>
      </c>
    </row>
    <row r="96" spans="1:4">
      <c r="A96">
        <v>14197</v>
      </c>
      <c r="B96" t="s">
        <v>13387</v>
      </c>
      <c r="C96" t="str">
        <f t="shared" si="2"/>
        <v>L000014197</v>
      </c>
      <c r="D96" t="str">
        <f t="shared" si="3"/>
        <v>Business System &amp; Processes Americas</v>
      </c>
    </row>
    <row r="97" spans="1:4">
      <c r="A97">
        <v>14198</v>
      </c>
      <c r="B97" t="s">
        <v>13388</v>
      </c>
      <c r="C97" t="str">
        <f t="shared" si="2"/>
        <v>L000014198</v>
      </c>
      <c r="D97" t="str">
        <f t="shared" si="3"/>
        <v>Business System &amp; Processes EMEA</v>
      </c>
    </row>
    <row r="98" spans="1:4">
      <c r="A98">
        <v>14199</v>
      </c>
      <c r="B98" t="s">
        <v>13389</v>
      </c>
      <c r="C98" t="str">
        <f t="shared" si="2"/>
        <v>L000014199</v>
      </c>
      <c r="D98" t="str">
        <f t="shared" si="3"/>
        <v>Process Excel - Operational Excellence</v>
      </c>
    </row>
    <row r="99" spans="1:4">
      <c r="A99">
        <v>14200</v>
      </c>
      <c r="B99" t="s">
        <v>13390</v>
      </c>
      <c r="C99" t="str">
        <f t="shared" si="2"/>
        <v>L000014200</v>
      </c>
      <c r="D99" t="str">
        <f t="shared" si="3"/>
        <v>Process Excel - Quality management</v>
      </c>
    </row>
    <row r="100" spans="1:4">
      <c r="A100">
        <v>14201</v>
      </c>
      <c r="B100" t="s">
        <v>13391</v>
      </c>
      <c r="C100" t="str">
        <f t="shared" si="2"/>
        <v>L000014201</v>
      </c>
      <c r="D100" t="str">
        <f t="shared" si="3"/>
        <v>SU - Fluid Management</v>
      </c>
    </row>
    <row r="101" spans="1:4">
      <c r="A101">
        <v>14202</v>
      </c>
      <c r="B101" t="s">
        <v>13392</v>
      </c>
      <c r="C101" t="str">
        <f t="shared" si="2"/>
        <v>L000014202</v>
      </c>
      <c r="D101" t="str">
        <f t="shared" si="3"/>
        <v>SU - Segment Strategy</v>
      </c>
    </row>
    <row r="102" spans="1:4">
      <c r="A102">
        <v>14203</v>
      </c>
      <c r="B102" t="s">
        <v>13393</v>
      </c>
      <c r="C102" t="str">
        <f t="shared" si="2"/>
        <v>L000014203</v>
      </c>
      <c r="D102" t="str">
        <f t="shared" si="3"/>
        <v xml:space="preserve">SU - Downstream Platform </v>
      </c>
    </row>
    <row r="103" spans="1:4">
      <c r="A103">
        <v>14204</v>
      </c>
      <c r="B103" t="s">
        <v>13404</v>
      </c>
      <c r="C103" t="str">
        <f t="shared" si="2"/>
        <v>L000014204</v>
      </c>
      <c r="D103" t="str">
        <f t="shared" si="3"/>
        <v>LS-SC-MDSG NEO PG-3 Production</v>
      </c>
    </row>
    <row r="104" spans="1:4">
      <c r="A104">
        <v>14205</v>
      </c>
      <c r="B104" t="s">
        <v>13405</v>
      </c>
      <c r="C104" t="str">
        <f t="shared" si="2"/>
        <v>L000014205</v>
      </c>
      <c r="D104" t="str">
        <f t="shared" si="3"/>
        <v>LS-SC-MDSG NEO PG-8 Production</v>
      </c>
    </row>
    <row r="105" spans="1:4">
      <c r="A105">
        <v>14206</v>
      </c>
      <c r="B105" t="s">
        <v>13394</v>
      </c>
      <c r="C105" t="str">
        <f t="shared" si="2"/>
        <v>L000014206</v>
      </c>
      <c r="D105" t="str">
        <f t="shared" si="3"/>
        <v>SU - Software &amp; Automation</v>
      </c>
    </row>
    <row r="106" spans="1:4">
      <c r="A106">
        <v>14207</v>
      </c>
      <c r="B106" t="s">
        <v>13395</v>
      </c>
      <c r="C106" t="str">
        <f t="shared" si="2"/>
        <v>L000014207</v>
      </c>
      <c r="D106" t="str">
        <f t="shared" si="3"/>
        <v>SU - Upstream &amp; Fluid Management Platfm</v>
      </c>
    </row>
    <row r="107" spans="1:4">
      <c r="A107">
        <v>14208</v>
      </c>
      <c r="B107" t="s">
        <v>13407</v>
      </c>
      <c r="C107" t="str">
        <f t="shared" si="2"/>
        <v>L000014208</v>
      </c>
      <c r="D107" t="str">
        <f t="shared" si="3"/>
        <v>Data &amp; Solutions Delivery</v>
      </c>
    </row>
    <row r="108" spans="1:4">
      <c r="A108">
        <v>14209</v>
      </c>
      <c r="B108" t="s">
        <v>13396</v>
      </c>
      <c r="C108" t="str">
        <f t="shared" si="2"/>
        <v>L000014209</v>
      </c>
      <c r="D108" t="str">
        <f t="shared" si="3"/>
        <v>Validation Service Lab Delivery China</v>
      </c>
    </row>
    <row r="109" spans="1:4">
      <c r="A109">
        <v>14210</v>
      </c>
      <c r="B109" t="s">
        <v>13397</v>
      </c>
      <c r="C109" t="str">
        <f t="shared" si="2"/>
        <v>L000014210</v>
      </c>
      <c r="D109" t="str">
        <f t="shared" si="3"/>
        <v>Validation Service Lab Delivery EU</v>
      </c>
    </row>
    <row r="110" spans="1:4">
      <c r="A110">
        <v>14211</v>
      </c>
      <c r="B110" t="s">
        <v>13398</v>
      </c>
      <c r="C110" t="str">
        <f t="shared" si="2"/>
        <v>L000014211</v>
      </c>
      <c r="D110" t="str">
        <f t="shared" si="3"/>
        <v>Validation Service Lab Delivery India</v>
      </c>
    </row>
    <row r="111" spans="1:4">
      <c r="A111">
        <v>14212</v>
      </c>
      <c r="B111" t="s">
        <v>13399</v>
      </c>
      <c r="C111" t="str">
        <f t="shared" si="2"/>
        <v>L000014212</v>
      </c>
      <c r="D111" t="str">
        <f t="shared" si="3"/>
        <v>Validation Service Lab Delivery Japan</v>
      </c>
    </row>
    <row r="112" spans="1:4">
      <c r="A112">
        <v>14213</v>
      </c>
      <c r="B112" t="s">
        <v>13400</v>
      </c>
      <c r="C112" t="str">
        <f t="shared" si="2"/>
        <v>L000014213</v>
      </c>
      <c r="D112" t="str">
        <f t="shared" si="3"/>
        <v>Validation Service Lab Delivery US</v>
      </c>
    </row>
    <row r="113" spans="1:4">
      <c r="A113">
        <v>14214</v>
      </c>
      <c r="B113" t="s">
        <v>13401</v>
      </c>
      <c r="C113" t="str">
        <f t="shared" si="2"/>
        <v>L000014214</v>
      </c>
      <c r="D113" t="str">
        <f t="shared" si="3"/>
        <v>Quality Validation Services</v>
      </c>
    </row>
    <row r="114" spans="1:4">
      <c r="A114">
        <v>14215</v>
      </c>
      <c r="B114" t="s">
        <v>13402</v>
      </c>
      <c r="C114" t="str">
        <f t="shared" si="2"/>
        <v>L000014215</v>
      </c>
      <c r="D114" t="str">
        <f t="shared" si="3"/>
        <v>Validation Services Globals Tech Serv</v>
      </c>
    </row>
    <row r="115" spans="1:4">
      <c r="A115">
        <v>14216</v>
      </c>
      <c r="B115" t="s">
        <v>13403</v>
      </c>
      <c r="C115" t="str">
        <f t="shared" si="2"/>
        <v>L000014216</v>
      </c>
      <c r="D115" t="str">
        <f t="shared" si="3"/>
        <v>LS-SC-MDSG NEO PG Production</v>
      </c>
    </row>
    <row r="116" spans="1:4">
      <c r="A116">
        <v>14217</v>
      </c>
      <c r="B116" t="s">
        <v>13406</v>
      </c>
      <c r="C116" t="str">
        <f t="shared" si="2"/>
        <v>L000014217</v>
      </c>
      <c r="D116" t="str">
        <f t="shared" si="3"/>
        <v>Legal Mgmnt Adjustments</v>
      </c>
    </row>
    <row r="117" spans="1:4">
      <c r="A117">
        <v>14218</v>
      </c>
      <c r="B117" t="s">
        <v>13295</v>
      </c>
      <c r="C117" t="str">
        <f t="shared" si="2"/>
        <v>L000014218</v>
      </c>
      <c r="D117" t="str">
        <f t="shared" si="3"/>
        <v>LS Sales Meetings</v>
      </c>
    </row>
    <row r="118" spans="1:4">
      <c r="A118">
        <v>14219</v>
      </c>
      <c r="B118" t="s">
        <v>3903</v>
      </c>
      <c r="C118" t="str">
        <f t="shared" si="2"/>
        <v>L000014219</v>
      </c>
      <c r="D118" t="str">
        <f t="shared" si="3"/>
        <v>Business Planning &amp; Implementation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6942E-E440-4CBE-B5C2-B2C8EF94F772}">
  <dimension ref="A1:C233"/>
  <sheetViews>
    <sheetView workbookViewId="0">
      <selection activeCell="C1" sqref="C1"/>
    </sheetView>
  </sheetViews>
  <sheetFormatPr defaultRowHeight="15"/>
  <cols>
    <col min="1" max="1" width="11.7109375" bestFit="1" customWidth="1"/>
    <col min="2" max="2" width="52.28515625" bestFit="1" customWidth="1"/>
  </cols>
  <sheetData>
    <row r="1" spans="1:3">
      <c r="A1" t="s">
        <v>11543</v>
      </c>
      <c r="B1" t="s">
        <v>13718</v>
      </c>
      <c r="C1" t="str">
        <f>MID(B1,12,LEN(B1))</f>
        <v>GGT Customer Enablement</v>
      </c>
    </row>
    <row r="2" spans="1:3">
      <c r="A2" t="s">
        <v>11544</v>
      </c>
      <c r="B2" t="s">
        <v>13719</v>
      </c>
      <c r="C2" t="str">
        <f t="shared" ref="C2:C65" si="0">MID(B2,12,LEN(B2))</f>
        <v>GGU Customer Service</v>
      </c>
    </row>
    <row r="3" spans="1:3">
      <c r="A3" t="s">
        <v>2684</v>
      </c>
      <c r="B3" t="s">
        <v>13720</v>
      </c>
      <c r="C3" t="str">
        <f t="shared" si="0"/>
        <v>EL-CT-P Process Development</v>
      </c>
    </row>
    <row r="4" spans="1:3">
      <c r="A4" t="s">
        <v>4638</v>
      </c>
      <c r="B4" t="s">
        <v>13721</v>
      </c>
      <c r="C4" t="str">
        <f t="shared" si="0"/>
        <v>EL-CT-P Process Development_General</v>
      </c>
    </row>
    <row r="5" spans="1:3">
      <c r="A5" t="s">
        <v>4661</v>
      </c>
      <c r="B5" t="s">
        <v>13722</v>
      </c>
      <c r="C5" t="str">
        <f t="shared" si="0"/>
        <v>EL-CT-P Projects</v>
      </c>
    </row>
    <row r="6" spans="1:3">
      <c r="A6" t="s">
        <v>4663</v>
      </c>
      <c r="B6" t="s">
        <v>13723</v>
      </c>
      <c r="C6" t="str">
        <f t="shared" si="0"/>
        <v>EL-CT-P  Investments</v>
      </c>
    </row>
    <row r="7" spans="1:3">
      <c r="A7" t="s">
        <v>8796</v>
      </c>
      <c r="B7" t="s">
        <v>13724</v>
      </c>
      <c r="C7" t="str">
        <f t="shared" si="0"/>
        <v>EL-CT-P  IO</v>
      </c>
    </row>
    <row r="8" spans="1:3">
      <c r="A8" t="s">
        <v>8896</v>
      </c>
      <c r="B8" t="s">
        <v>13725</v>
      </c>
      <c r="C8" t="str">
        <f t="shared" si="0"/>
        <v>EL-CT-P Organisation</v>
      </c>
    </row>
    <row r="9" spans="1:3">
      <c r="A9" t="s">
        <v>8909</v>
      </c>
      <c r="B9" t="s">
        <v>13726</v>
      </c>
      <c r="C9" t="str">
        <f t="shared" si="0"/>
        <v>EL-CT-P  Other</v>
      </c>
    </row>
    <row r="10" spans="1:3">
      <c r="A10" t="s">
        <v>4640</v>
      </c>
      <c r="B10" t="s">
        <v>13727</v>
      </c>
      <c r="C10" t="str">
        <f t="shared" si="0"/>
        <v>EL-CT-PD  Process Development Optronics</v>
      </c>
    </row>
    <row r="11" spans="1:3">
      <c r="A11" t="s">
        <v>4657</v>
      </c>
      <c r="B11" t="s">
        <v>13728</v>
      </c>
      <c r="C11" t="str">
        <f t="shared" si="0"/>
        <v>EL-CT-PD Optronics Projects</v>
      </c>
    </row>
    <row r="12" spans="1:3">
      <c r="A12" t="s">
        <v>4659</v>
      </c>
      <c r="B12" t="s">
        <v>13729</v>
      </c>
      <c r="C12" t="str">
        <f t="shared" si="0"/>
        <v>EL-CT-PD Optronics Investments</v>
      </c>
    </row>
    <row r="13" spans="1:3">
      <c r="A13" t="s">
        <v>5920</v>
      </c>
      <c r="B13" t="s">
        <v>13730</v>
      </c>
      <c r="C13" t="str">
        <f t="shared" si="0"/>
        <v>EL-CT-PD Optronics IO</v>
      </c>
    </row>
    <row r="14" spans="1:3">
      <c r="A14" t="s">
        <v>8897</v>
      </c>
      <c r="B14" t="s">
        <v>13731</v>
      </c>
      <c r="C14" t="str">
        <f t="shared" si="0"/>
        <v>EL-CT-PD Optronics Organisation</v>
      </c>
    </row>
    <row r="15" spans="1:3">
      <c r="A15" t="s">
        <v>8910</v>
      </c>
      <c r="B15" t="s">
        <v>13732</v>
      </c>
      <c r="C15" t="str">
        <f t="shared" si="0"/>
        <v>EL-CT-PD Optronics Other</v>
      </c>
    </row>
    <row r="16" spans="1:3">
      <c r="A16" t="s">
        <v>4642</v>
      </c>
      <c r="B16" t="s">
        <v>13733</v>
      </c>
      <c r="C16" t="str">
        <f t="shared" si="0"/>
        <v>EL-CT-PE Process Development Engineering</v>
      </c>
    </row>
    <row r="17" spans="1:3">
      <c r="A17" t="s">
        <v>4665</v>
      </c>
      <c r="B17" t="s">
        <v>13734</v>
      </c>
      <c r="C17" t="str">
        <f t="shared" si="0"/>
        <v>EL-CT-PE Projects</v>
      </c>
    </row>
    <row r="18" spans="1:3">
      <c r="A18" t="s">
        <v>4667</v>
      </c>
      <c r="B18" t="s">
        <v>13735</v>
      </c>
      <c r="C18" t="str">
        <f t="shared" si="0"/>
        <v>EL-CT-PE Investments</v>
      </c>
    </row>
    <row r="19" spans="1:3">
      <c r="A19" t="s">
        <v>8799</v>
      </c>
      <c r="B19" t="s">
        <v>13736</v>
      </c>
      <c r="C19" t="str">
        <f t="shared" si="0"/>
        <v>EL-CT-PE IO</v>
      </c>
    </row>
    <row r="20" spans="1:3">
      <c r="A20" t="s">
        <v>8898</v>
      </c>
      <c r="B20" t="s">
        <v>13737</v>
      </c>
      <c r="C20" t="str">
        <f t="shared" si="0"/>
        <v>EL-CT-PE Organisation</v>
      </c>
    </row>
    <row r="21" spans="1:3">
      <c r="A21" t="s">
        <v>8911</v>
      </c>
      <c r="B21" t="s">
        <v>13738</v>
      </c>
      <c r="C21" t="str">
        <f t="shared" si="0"/>
        <v>EL-CT-PE Other</v>
      </c>
    </row>
    <row r="22" spans="1:3">
      <c r="A22" t="s">
        <v>4644</v>
      </c>
      <c r="B22" t="s">
        <v>13739</v>
      </c>
      <c r="C22" t="str">
        <f t="shared" si="0"/>
        <v>EL-CT-PF Safety Engineering</v>
      </c>
    </row>
    <row r="23" spans="1:3">
      <c r="A23" t="s">
        <v>4669</v>
      </c>
      <c r="B23" t="s">
        <v>13740</v>
      </c>
      <c r="C23" t="str">
        <f t="shared" si="0"/>
        <v>EL-CT-PF Projects</v>
      </c>
    </row>
    <row r="24" spans="1:3">
      <c r="A24" t="s">
        <v>4671</v>
      </c>
      <c r="B24" t="s">
        <v>13741</v>
      </c>
      <c r="C24" t="str">
        <f t="shared" si="0"/>
        <v>EL-CT-PF Investments</v>
      </c>
    </row>
    <row r="25" spans="1:3">
      <c r="A25" t="s">
        <v>8801</v>
      </c>
      <c r="B25" t="s">
        <v>13742</v>
      </c>
      <c r="C25" t="str">
        <f t="shared" si="0"/>
        <v>EL-CT-PF IO</v>
      </c>
    </row>
    <row r="26" spans="1:3">
      <c r="A26" t="s">
        <v>8899</v>
      </c>
      <c r="B26" t="s">
        <v>13743</v>
      </c>
      <c r="C26" t="str">
        <f t="shared" si="0"/>
        <v>EL-CT-PF Organisation</v>
      </c>
    </row>
    <row r="27" spans="1:3">
      <c r="A27" t="s">
        <v>8912</v>
      </c>
      <c r="B27" t="s">
        <v>13744</v>
      </c>
      <c r="C27" t="str">
        <f t="shared" si="0"/>
        <v>EL-CT-PF Other</v>
      </c>
    </row>
    <row r="28" spans="1:3">
      <c r="A28" t="s">
        <v>4646</v>
      </c>
      <c r="B28" t="s">
        <v>13745</v>
      </c>
      <c r="C28" t="str">
        <f t="shared" si="0"/>
        <v>EL-CT-PI Process Development Semiconduct</v>
      </c>
    </row>
    <row r="29" spans="1:3">
      <c r="A29" t="s">
        <v>4673</v>
      </c>
      <c r="B29" t="s">
        <v>13746</v>
      </c>
      <c r="C29" t="str">
        <f t="shared" si="0"/>
        <v>EL-CT-PI Projects</v>
      </c>
    </row>
    <row r="30" spans="1:3">
      <c r="A30" t="s">
        <v>4675</v>
      </c>
      <c r="B30" t="s">
        <v>13747</v>
      </c>
      <c r="C30" t="str">
        <f t="shared" si="0"/>
        <v>EL-CT-PI Investments</v>
      </c>
    </row>
    <row r="31" spans="1:3">
      <c r="A31" t="s">
        <v>8803</v>
      </c>
      <c r="B31" t="s">
        <v>13748</v>
      </c>
      <c r="C31" t="str">
        <f t="shared" si="0"/>
        <v>EL-CT-PF IO 2</v>
      </c>
    </row>
    <row r="32" spans="1:3">
      <c r="A32" t="s">
        <v>8900</v>
      </c>
      <c r="B32" t="s">
        <v>13749</v>
      </c>
      <c r="C32" t="str">
        <f t="shared" si="0"/>
        <v>EL-CT-PI Organisation</v>
      </c>
    </row>
    <row r="33" spans="1:3">
      <c r="A33" t="s">
        <v>8913</v>
      </c>
      <c r="B33" t="s">
        <v>13750</v>
      </c>
      <c r="C33" t="str">
        <f t="shared" si="0"/>
        <v>EL-CT-PI Other</v>
      </c>
    </row>
    <row r="34" spans="1:3">
      <c r="A34" t="s">
        <v>4648</v>
      </c>
      <c r="B34" t="s">
        <v>13751</v>
      </c>
      <c r="C34" t="str">
        <f t="shared" si="0"/>
        <v>EL-CT-PP Process Development Surface &amp; E</v>
      </c>
    </row>
    <row r="35" spans="1:3">
      <c r="A35" t="s">
        <v>4689</v>
      </c>
      <c r="B35" t="s">
        <v>13752</v>
      </c>
      <c r="C35" t="str">
        <f t="shared" si="0"/>
        <v>EL-CT-PP Projects</v>
      </c>
    </row>
    <row r="36" spans="1:3">
      <c r="A36" t="s">
        <v>4691</v>
      </c>
      <c r="B36" t="s">
        <v>13753</v>
      </c>
      <c r="C36" t="str">
        <f t="shared" si="0"/>
        <v>EL-CT-PP Investments</v>
      </c>
    </row>
    <row r="37" spans="1:3">
      <c r="A37" t="s">
        <v>4650</v>
      </c>
      <c r="B37" t="s">
        <v>13754</v>
      </c>
      <c r="C37" t="str">
        <f t="shared" si="0"/>
        <v>EL-CT-PX Process Development Project Ena</v>
      </c>
    </row>
    <row r="38" spans="1:3">
      <c r="A38" t="s">
        <v>4677</v>
      </c>
      <c r="B38" t="s">
        <v>13755</v>
      </c>
      <c r="C38" t="str">
        <f t="shared" si="0"/>
        <v>EL-CT-PX Projects</v>
      </c>
    </row>
    <row r="39" spans="1:3">
      <c r="A39" t="s">
        <v>4679</v>
      </c>
      <c r="B39" t="s">
        <v>13756</v>
      </c>
      <c r="C39" t="str">
        <f t="shared" si="0"/>
        <v>EL-CT-PX Investments</v>
      </c>
    </row>
    <row r="40" spans="1:3">
      <c r="A40" t="s">
        <v>8804</v>
      </c>
      <c r="B40" t="s">
        <v>13757</v>
      </c>
      <c r="C40" t="str">
        <f t="shared" si="0"/>
        <v>EL-CT-PX IO</v>
      </c>
    </row>
    <row r="41" spans="1:3">
      <c r="A41" t="s">
        <v>8901</v>
      </c>
      <c r="B41" t="s">
        <v>13758</v>
      </c>
      <c r="C41" t="str">
        <f t="shared" si="0"/>
        <v>EL-CT-PX Organisation</v>
      </c>
    </row>
    <row r="42" spans="1:3">
      <c r="A42" t="s">
        <v>8914</v>
      </c>
      <c r="B42" t="s">
        <v>13759</v>
      </c>
      <c r="C42" t="str">
        <f t="shared" si="0"/>
        <v>EL-CT-PX Other</v>
      </c>
    </row>
    <row r="43" spans="1:3">
      <c r="A43" t="s">
        <v>4652</v>
      </c>
      <c r="B43" t="s">
        <v>13760</v>
      </c>
      <c r="C43" t="str">
        <f t="shared" si="0"/>
        <v>EL-CT-PS Process Development Synthesis</v>
      </c>
    </row>
    <row r="44" spans="1:3">
      <c r="A44" t="s">
        <v>4681</v>
      </c>
      <c r="B44" t="s">
        <v>13761</v>
      </c>
      <c r="C44" t="str">
        <f t="shared" si="0"/>
        <v>EL-CT-PS Projects</v>
      </c>
    </row>
    <row r="45" spans="1:3">
      <c r="A45" t="s">
        <v>4683</v>
      </c>
      <c r="B45" t="s">
        <v>13762</v>
      </c>
      <c r="C45" t="str">
        <f t="shared" si="0"/>
        <v>EL-CT-PS Investments</v>
      </c>
    </row>
    <row r="46" spans="1:3">
      <c r="A46" t="s">
        <v>8806</v>
      </c>
      <c r="B46" t="s">
        <v>13763</v>
      </c>
      <c r="C46" t="str">
        <f t="shared" si="0"/>
        <v>EL-CT-PS IO</v>
      </c>
    </row>
    <row r="47" spans="1:3">
      <c r="A47" t="s">
        <v>8902</v>
      </c>
      <c r="B47" t="s">
        <v>13764</v>
      </c>
      <c r="C47" t="str">
        <f t="shared" si="0"/>
        <v>EL-CT-PS Organisation</v>
      </c>
    </row>
    <row r="48" spans="1:3">
      <c r="A48" t="s">
        <v>8915</v>
      </c>
      <c r="B48" t="s">
        <v>13765</v>
      </c>
      <c r="C48" t="str">
        <f t="shared" si="0"/>
        <v>EL-CT-PS Other</v>
      </c>
    </row>
    <row r="49" spans="1:3">
      <c r="A49" t="s">
        <v>4654</v>
      </c>
      <c r="B49" t="s">
        <v>13766</v>
      </c>
      <c r="C49" t="str">
        <f t="shared" si="0"/>
        <v>EL-CT-PU Process Development Pilot Plant</v>
      </c>
    </row>
    <row r="50" spans="1:3">
      <c r="A50" t="s">
        <v>4685</v>
      </c>
      <c r="B50" t="s">
        <v>13767</v>
      </c>
      <c r="C50" t="str">
        <f t="shared" si="0"/>
        <v>EL-CT-PU Pilot Plant Projects</v>
      </c>
    </row>
    <row r="51" spans="1:3">
      <c r="A51" t="s">
        <v>4687</v>
      </c>
      <c r="B51" t="s">
        <v>13768</v>
      </c>
      <c r="C51" t="str">
        <f t="shared" si="0"/>
        <v>EL-CT-PU Investments</v>
      </c>
    </row>
    <row r="52" spans="1:3">
      <c r="A52" t="s">
        <v>8808</v>
      </c>
      <c r="B52" t="s">
        <v>13769</v>
      </c>
      <c r="C52" t="str">
        <f t="shared" si="0"/>
        <v>EL-CT-PU IO</v>
      </c>
    </row>
    <row r="53" spans="1:3">
      <c r="A53" t="s">
        <v>8903</v>
      </c>
      <c r="B53" t="s">
        <v>13770</v>
      </c>
      <c r="C53" t="str">
        <f t="shared" si="0"/>
        <v>EL-CT-PU Pilot Plant Organisation</v>
      </c>
    </row>
    <row r="54" spans="1:3">
      <c r="A54" t="s">
        <v>8916</v>
      </c>
      <c r="B54" t="s">
        <v>13771</v>
      </c>
      <c r="C54" t="str">
        <f t="shared" si="0"/>
        <v>EL-CT-PU Pilot Plant Other</v>
      </c>
    </row>
    <row r="55" spans="1:3">
      <c r="A55" t="s">
        <v>7797</v>
      </c>
      <c r="B55" t="s">
        <v>13772</v>
      </c>
      <c r="C55" t="str">
        <f t="shared" si="0"/>
        <v>EL-CT-PI Process Development Hometown Pi</v>
      </c>
    </row>
    <row r="56" spans="1:3">
      <c r="A56" t="s">
        <v>8904</v>
      </c>
      <c r="B56" t="s">
        <v>13773</v>
      </c>
      <c r="C56" t="str">
        <f t="shared" si="0"/>
        <v>EL-CT-PI Organisation 2</v>
      </c>
    </row>
    <row r="57" spans="1:3">
      <c r="A57" t="s">
        <v>8917</v>
      </c>
      <c r="B57" t="s">
        <v>13774</v>
      </c>
      <c r="C57" t="str">
        <f t="shared" si="0"/>
        <v>EL-CT-PI Other 2</v>
      </c>
    </row>
    <row r="58" spans="1:3">
      <c r="A58" t="s">
        <v>8920</v>
      </c>
      <c r="B58" t="s">
        <v>13775</v>
      </c>
      <c r="C58" t="str">
        <f t="shared" si="0"/>
        <v>EL-CT-PI Projects 2</v>
      </c>
    </row>
    <row r="59" spans="1:3">
      <c r="A59" t="s">
        <v>7806</v>
      </c>
      <c r="B59" t="s">
        <v>13776</v>
      </c>
      <c r="C59" t="str">
        <f t="shared" si="0"/>
        <v>EL-CT-PG Semiconductor</v>
      </c>
    </row>
    <row r="60" spans="1:3">
      <c r="A60" t="s">
        <v>8905</v>
      </c>
      <c r="B60" t="s">
        <v>13777</v>
      </c>
      <c r="C60" t="str">
        <f t="shared" si="0"/>
        <v>EL-CT-PG Organisation</v>
      </c>
    </row>
    <row r="61" spans="1:3">
      <c r="A61" t="s">
        <v>8918</v>
      </c>
      <c r="B61" t="s">
        <v>13778</v>
      </c>
      <c r="C61" t="str">
        <f t="shared" si="0"/>
        <v>EL-CT-PG Other</v>
      </c>
    </row>
    <row r="62" spans="1:3">
      <c r="A62" t="s">
        <v>8919</v>
      </c>
      <c r="B62" t="s">
        <v>13779</v>
      </c>
      <c r="C62" t="str">
        <f t="shared" si="0"/>
        <v>EL-CT-PG Projects</v>
      </c>
    </row>
    <row r="63" spans="1:3">
      <c r="A63" t="s">
        <v>7807</v>
      </c>
      <c r="B63" t="s">
        <v>13780</v>
      </c>
      <c r="C63" t="str">
        <f t="shared" si="0"/>
        <v>EL-CT-PU Service Lab</v>
      </c>
    </row>
    <row r="64" spans="1:3">
      <c r="A64" t="s">
        <v>8906</v>
      </c>
      <c r="B64" t="s">
        <v>13781</v>
      </c>
      <c r="C64" t="str">
        <f t="shared" si="0"/>
        <v>EL-CT-PU Service Lab Organisation</v>
      </c>
    </row>
    <row r="65" spans="1:3">
      <c r="A65" t="s">
        <v>8907</v>
      </c>
      <c r="B65" t="s">
        <v>13782</v>
      </c>
      <c r="C65" t="str">
        <f t="shared" si="0"/>
        <v>EL-CT-PU Service Lab Projects</v>
      </c>
    </row>
    <row r="66" spans="1:3">
      <c r="A66" t="s">
        <v>8908</v>
      </c>
      <c r="B66" t="s">
        <v>13783</v>
      </c>
      <c r="C66" t="str">
        <f t="shared" ref="C66:C129" si="1">MID(B66,12,LEN(B66))</f>
        <v>EL-CT-PU Service Lab Other</v>
      </c>
    </row>
    <row r="67" spans="1:3">
      <c r="A67" t="s">
        <v>13168</v>
      </c>
      <c r="B67" t="s">
        <v>13784</v>
      </c>
      <c r="C67" t="str">
        <f t="shared" si="1"/>
        <v>EL-CT-I Intermolecular</v>
      </c>
    </row>
    <row r="68" spans="1:3">
      <c r="A68" t="s">
        <v>4722</v>
      </c>
      <c r="B68" t="s">
        <v>13785</v>
      </c>
      <c r="C68" t="str">
        <f t="shared" si="1"/>
        <v>EL-CT-I Capex-Related Opex</v>
      </c>
    </row>
    <row r="69" spans="1:3">
      <c r="A69" t="s">
        <v>12171</v>
      </c>
      <c r="B69" t="s">
        <v>13786</v>
      </c>
      <c r="C69" t="str">
        <f t="shared" si="1"/>
        <v>EL-CT-PS LS Projects</v>
      </c>
    </row>
    <row r="70" spans="1:3">
      <c r="A70" t="s">
        <v>12172</v>
      </c>
      <c r="B70" t="s">
        <v>13787</v>
      </c>
      <c r="C70" t="str">
        <f t="shared" si="1"/>
        <v>EL-CT-PS HC Projects</v>
      </c>
    </row>
    <row r="71" spans="1:3">
      <c r="A71" t="s">
        <v>2192</v>
      </c>
      <c r="B71" t="s">
        <v>13788</v>
      </c>
      <c r="C71" t="str">
        <f t="shared" si="1"/>
        <v>EL-PA Patterning Head</v>
      </c>
    </row>
    <row r="72" spans="1:3">
      <c r="A72" t="s">
        <v>2544</v>
      </c>
      <c r="B72" t="s">
        <v>13789</v>
      </c>
      <c r="C72" t="str">
        <f t="shared" si="1"/>
        <v>EL-PA-R Patterning R&amp;D</v>
      </c>
    </row>
    <row r="73" spans="1:3">
      <c r="A73" t="s">
        <v>2542</v>
      </c>
      <c r="B73" t="s">
        <v>13790</v>
      </c>
      <c r="C73" t="str">
        <f t="shared" si="1"/>
        <v>EL-PA-R Patterning R&amp;D Projects</v>
      </c>
    </row>
    <row r="74" spans="1:3">
      <c r="A74" t="s">
        <v>2545</v>
      </c>
      <c r="B74" t="s">
        <v>13791</v>
      </c>
      <c r="C74" t="str">
        <f t="shared" si="1"/>
        <v>EL-PA-R Patterning R&amp;D Organization</v>
      </c>
    </row>
    <row r="75" spans="1:3">
      <c r="A75" t="s">
        <v>2547</v>
      </c>
      <c r="B75" t="s">
        <v>13792</v>
      </c>
      <c r="C75" t="str">
        <f t="shared" si="1"/>
        <v>EL-PA-R Patterning R&amp;D Other</v>
      </c>
    </row>
    <row r="76" spans="1:3">
      <c r="A76" t="s">
        <v>8876</v>
      </c>
      <c r="B76" t="s">
        <v>13793</v>
      </c>
      <c r="C76" t="str">
        <f t="shared" si="1"/>
        <v>EL-PA-R Patterning R&amp;D Patents</v>
      </c>
    </row>
    <row r="77" spans="1:3">
      <c r="A77" t="s">
        <v>2190</v>
      </c>
      <c r="B77" t="s">
        <v>13794</v>
      </c>
      <c r="C77" t="str">
        <f t="shared" si="1"/>
        <v>EL-PA-S Sales Patterning</v>
      </c>
    </row>
    <row r="78" spans="1:3">
      <c r="A78" t="s">
        <v>3189</v>
      </c>
      <c r="B78" t="s">
        <v>13795</v>
      </c>
      <c r="C78" t="str">
        <f t="shared" si="1"/>
        <v>EL-PA-S Patterning SABF Commercial</v>
      </c>
    </row>
    <row r="79" spans="1:3">
      <c r="A79" t="s">
        <v>2193</v>
      </c>
      <c r="B79" t="s">
        <v>13796</v>
      </c>
      <c r="C79" t="str">
        <f t="shared" si="1"/>
        <v>EL-PA-S Patterning Sales LE</v>
      </c>
    </row>
    <row r="80" spans="1:3">
      <c r="A80" t="s">
        <v>2197</v>
      </c>
      <c r="B80" t="s">
        <v>13797</v>
      </c>
      <c r="C80" t="str">
        <f t="shared" si="1"/>
        <v>EL-PA-S Patterning Sales Head</v>
      </c>
    </row>
    <row r="81" spans="1:3">
      <c r="A81" t="s">
        <v>2195</v>
      </c>
      <c r="B81" t="s">
        <v>13798</v>
      </c>
      <c r="C81" t="str">
        <f t="shared" si="1"/>
        <v>EL-PA-P PAT Global Product Mgmt</v>
      </c>
    </row>
    <row r="82" spans="1:3">
      <c r="A82" t="s">
        <v>3190</v>
      </c>
      <c r="B82" t="s">
        <v>13799</v>
      </c>
      <c r="C82" t="str">
        <f t="shared" si="1"/>
        <v>EL-PA-P PAT Global Product Mgmt Head</v>
      </c>
    </row>
    <row r="83" spans="1:3">
      <c r="A83" t="s">
        <v>2199</v>
      </c>
      <c r="B83" t="s">
        <v>13800</v>
      </c>
      <c r="C83" t="str">
        <f t="shared" si="1"/>
        <v>EL-PA-M Patterning Marketing</v>
      </c>
    </row>
    <row r="84" spans="1:3">
      <c r="A84" t="s">
        <v>8875</v>
      </c>
      <c r="B84" t="s">
        <v>13801</v>
      </c>
      <c r="C84" t="str">
        <f t="shared" si="1"/>
        <v>EL-PA-M Patterning Marketing Head</v>
      </c>
    </row>
    <row r="85" spans="1:3">
      <c r="A85" t="s">
        <v>2201</v>
      </c>
      <c r="B85" t="s">
        <v>13802</v>
      </c>
      <c r="C85" t="str">
        <f t="shared" si="1"/>
        <v>EL-PA Patterning Sales &amp; COGs</v>
      </c>
    </row>
    <row r="86" spans="1:3">
      <c r="A86" t="s">
        <v>2203</v>
      </c>
      <c r="B86" t="s">
        <v>13803</v>
      </c>
      <c r="C86" t="str">
        <f t="shared" si="1"/>
        <v>EL-PA-A PAT Customer Applications</v>
      </c>
    </row>
    <row r="87" spans="1:3">
      <c r="A87" t="s">
        <v>2207</v>
      </c>
      <c r="B87" t="s">
        <v>13804</v>
      </c>
      <c r="C87" t="str">
        <f t="shared" si="1"/>
        <v>EL-PA-AC Customer Applications, Core Pr</v>
      </c>
    </row>
    <row r="88" spans="1:3">
      <c r="A88" t="s">
        <v>2209</v>
      </c>
      <c r="B88" t="s">
        <v>13805</v>
      </c>
      <c r="C88" t="str">
        <f t="shared" si="1"/>
        <v>EL-PA-ACU Core Pr, Lithography US/EU</v>
      </c>
    </row>
    <row r="89" spans="1:3">
      <c r="A89" t="s">
        <v>2211</v>
      </c>
      <c r="B89" t="s">
        <v>13806</v>
      </c>
      <c r="C89" t="str">
        <f t="shared" si="1"/>
        <v>EL-PA-ACJ Core Pr, Lithography JP/KR</v>
      </c>
    </row>
    <row r="90" spans="1:3">
      <c r="A90" t="s">
        <v>2217</v>
      </c>
      <c r="B90" t="s">
        <v>13807</v>
      </c>
      <c r="C90" t="str">
        <f t="shared" si="1"/>
        <v>EL-PA-ACT Core Pr, Lithography TW/SEA</v>
      </c>
    </row>
    <row r="91" spans="1:3">
      <c r="A91" t="s">
        <v>2219</v>
      </c>
      <c r="B91" t="s">
        <v>13808</v>
      </c>
      <c r="C91" t="str">
        <f t="shared" si="1"/>
        <v>EL-PA-ACS Core Products, SP&amp;C</v>
      </c>
    </row>
    <row r="92" spans="1:3">
      <c r="A92" t="s">
        <v>13194</v>
      </c>
      <c r="B92" t="s">
        <v>13809</v>
      </c>
      <c r="C92" t="str">
        <f t="shared" si="1"/>
        <v>EL-PA-AI Customer Applications, Innovat</v>
      </c>
    </row>
    <row r="93" spans="1:3">
      <c r="A93" t="s">
        <v>8863</v>
      </c>
      <c r="B93" t="s">
        <v>13810</v>
      </c>
      <c r="C93" t="str">
        <f t="shared" si="1"/>
        <v>EL-PA-A PAT Customer Applications Head</v>
      </c>
    </row>
    <row r="94" spans="1:3">
      <c r="A94" t="s">
        <v>5232</v>
      </c>
      <c r="B94" t="s">
        <v>13811</v>
      </c>
      <c r="C94" t="str">
        <f t="shared" si="1"/>
        <v>EL-PA-C Patterning Silica</v>
      </c>
    </row>
    <row r="95" spans="1:3">
      <c r="A95" t="s">
        <v>2245</v>
      </c>
      <c r="B95" t="s">
        <v>13812</v>
      </c>
      <c r="C95" t="str">
        <f t="shared" si="1"/>
        <v>EL-PA-CM Martin, USA</v>
      </c>
    </row>
    <row r="96" spans="1:3">
      <c r="A96" t="s">
        <v>2250</v>
      </c>
      <c r="B96" t="s">
        <v>13813</v>
      </c>
      <c r="C96" t="str">
        <f t="shared" si="1"/>
        <v>EL-PA-CL Lamotte, France</v>
      </c>
    </row>
    <row r="97" spans="1:3">
      <c r="A97" t="s">
        <v>8864</v>
      </c>
      <c r="B97" t="s">
        <v>13814</v>
      </c>
      <c r="C97" t="str">
        <f t="shared" si="1"/>
        <v>EL-PA-C PAT Silica Materials Head</v>
      </c>
    </row>
    <row r="98" spans="1:3">
      <c r="A98" t="s">
        <v>8865</v>
      </c>
      <c r="B98" t="s">
        <v>13815</v>
      </c>
      <c r="C98" t="str">
        <f t="shared" si="1"/>
        <v>EL-PA-CS Silica Sales &amp; Marketing</v>
      </c>
    </row>
    <row r="99" spans="1:3">
      <c r="A99" t="s">
        <v>8866</v>
      </c>
      <c r="B99" t="s">
        <v>13816</v>
      </c>
      <c r="C99" t="str">
        <f t="shared" si="1"/>
        <v>EL-PA-CP Silica Project Management</v>
      </c>
    </row>
    <row r="100" spans="1:3">
      <c r="A100" t="s">
        <v>8867</v>
      </c>
      <c r="B100" t="s">
        <v>13817</v>
      </c>
      <c r="C100" t="str">
        <f t="shared" si="1"/>
        <v>EL-PA-CK Silica Materials, Kaohsiung</v>
      </c>
    </row>
    <row r="101" spans="1:3">
      <c r="A101" t="s">
        <v>8868</v>
      </c>
      <c r="B101" t="s">
        <v>13818</v>
      </c>
      <c r="C101" t="str">
        <f t="shared" si="1"/>
        <v>EL-PA-CQ Silica, Quality &amp; Product Eng.</v>
      </c>
    </row>
    <row r="102" spans="1:3">
      <c r="A102" t="s">
        <v>8870</v>
      </c>
      <c r="B102" t="s">
        <v>13819</v>
      </c>
      <c r="C102" t="str">
        <f t="shared" si="1"/>
        <v>EL-PA-CR Silica Materials R&amp;D</v>
      </c>
    </row>
    <row r="103" spans="1:3">
      <c r="A103" t="s">
        <v>9981</v>
      </c>
      <c r="B103" t="s">
        <v>13820</v>
      </c>
      <c r="C103" t="str">
        <f t="shared" si="1"/>
        <v>EL-PA Technical Objects</v>
      </c>
    </row>
    <row r="104" spans="1:3">
      <c r="A104" t="s">
        <v>10011</v>
      </c>
      <c r="B104" t="s">
        <v>13821</v>
      </c>
      <c r="C104" t="str">
        <f t="shared" si="1"/>
        <v>EL-PA Intangibles</v>
      </c>
    </row>
    <row r="105" spans="1:3">
      <c r="A105" t="s">
        <v>10012</v>
      </c>
      <c r="B105" t="s">
        <v>13822</v>
      </c>
      <c r="C105" t="str">
        <f t="shared" si="1"/>
        <v>EL-PA Litigations</v>
      </c>
    </row>
    <row r="106" spans="1:3">
      <c r="A106" t="s">
        <v>10013</v>
      </c>
      <c r="B106" t="s">
        <v>13823</v>
      </c>
      <c r="C106" t="str">
        <f t="shared" si="1"/>
        <v>EL-PA Capital Gains &amp; Losses</v>
      </c>
    </row>
    <row r="107" spans="1:3">
      <c r="A107" t="s">
        <v>10015</v>
      </c>
      <c r="B107" t="s">
        <v>13824</v>
      </c>
      <c r="C107" t="str">
        <f t="shared" si="1"/>
        <v>EL-PA Cross-Charges</v>
      </c>
    </row>
    <row r="108" spans="1:3">
      <c r="A108" t="s">
        <v>2305</v>
      </c>
      <c r="B108" t="s">
        <v>13825</v>
      </c>
      <c r="C108" t="str">
        <f t="shared" si="1"/>
        <v>EL-PL Planarization Head</v>
      </c>
    </row>
    <row r="109" spans="1:3">
      <c r="A109" t="s">
        <v>2551</v>
      </c>
      <c r="B109" t="s">
        <v>13826</v>
      </c>
      <c r="C109" t="str">
        <f t="shared" si="1"/>
        <v>EL-PL-R Planarization R&amp;D</v>
      </c>
    </row>
    <row r="110" spans="1:3">
      <c r="A110" t="s">
        <v>2549</v>
      </c>
      <c r="B110" t="s">
        <v>13827</v>
      </c>
      <c r="C110" t="str">
        <f t="shared" si="1"/>
        <v>EL-PL-R Planarization R&amp;D Projects</v>
      </c>
    </row>
    <row r="111" spans="1:3">
      <c r="A111" t="s">
        <v>2552</v>
      </c>
      <c r="B111" t="s">
        <v>13828</v>
      </c>
      <c r="C111" t="str">
        <f t="shared" si="1"/>
        <v>EL-PL-R Planarization R&amp;D Organization</v>
      </c>
    </row>
    <row r="112" spans="1:3">
      <c r="A112" t="s">
        <v>2554</v>
      </c>
      <c r="B112" t="s">
        <v>13829</v>
      </c>
      <c r="C112" t="str">
        <f t="shared" si="1"/>
        <v>EL-PL-R Planarization R&amp;D Other</v>
      </c>
    </row>
    <row r="113" spans="1:3">
      <c r="A113" t="s">
        <v>8861</v>
      </c>
      <c r="B113" t="s">
        <v>13830</v>
      </c>
      <c r="C113" t="str">
        <f t="shared" si="1"/>
        <v>EL-PL-R Planarization R&amp;D Patents</v>
      </c>
    </row>
    <row r="114" spans="1:3">
      <c r="A114" t="s">
        <v>2232</v>
      </c>
      <c r="B114" t="s">
        <v>13831</v>
      </c>
      <c r="C114" t="str">
        <f t="shared" si="1"/>
        <v>XXX PLA Ops &amp; Analytical Tech</v>
      </c>
    </row>
    <row r="115" spans="1:3">
      <c r="A115" t="s">
        <v>2303</v>
      </c>
      <c r="B115" t="s">
        <v>13832</v>
      </c>
      <c r="C115" t="str">
        <f t="shared" si="1"/>
        <v>EL-PL-S PLA Global Sales</v>
      </c>
    </row>
    <row r="116" spans="1:3">
      <c r="A116" t="s">
        <v>2306</v>
      </c>
      <c r="B116" t="s">
        <v>13833</v>
      </c>
      <c r="C116" t="str">
        <f t="shared" si="1"/>
        <v>EL-PL-M PLA Global Business Marketing</v>
      </c>
    </row>
    <row r="117" spans="1:3">
      <c r="A117" t="s">
        <v>2308</v>
      </c>
      <c r="B117" t="s">
        <v>13834</v>
      </c>
      <c r="C117" t="str">
        <f t="shared" si="1"/>
        <v>EL-PL-A PLA Applications Asia</v>
      </c>
    </row>
    <row r="118" spans="1:3">
      <c r="A118" t="s">
        <v>8862</v>
      </c>
      <c r="B118" t="s">
        <v>13835</v>
      </c>
      <c r="C118" t="str">
        <f t="shared" si="1"/>
        <v>EL-PL Planarization Sales &amp; COGs</v>
      </c>
    </row>
    <row r="119" spans="1:3">
      <c r="A119" t="s">
        <v>9982</v>
      </c>
      <c r="B119" t="s">
        <v>13836</v>
      </c>
      <c r="C119" t="str">
        <f t="shared" si="1"/>
        <v>EL-PL Technical Objects</v>
      </c>
    </row>
    <row r="120" spans="1:3">
      <c r="A120" t="s">
        <v>10016</v>
      </c>
      <c r="B120" t="s">
        <v>13837</v>
      </c>
      <c r="C120" t="str">
        <f t="shared" si="1"/>
        <v>EL-PL Intangibles</v>
      </c>
    </row>
    <row r="121" spans="1:3">
      <c r="A121" t="s">
        <v>10017</v>
      </c>
      <c r="B121" t="s">
        <v>13838</v>
      </c>
      <c r="C121" t="str">
        <f t="shared" si="1"/>
        <v>EL-PL Litigations</v>
      </c>
    </row>
    <row r="122" spans="1:3">
      <c r="A122" t="s">
        <v>10018</v>
      </c>
      <c r="B122" t="s">
        <v>13839</v>
      </c>
      <c r="C122" t="str">
        <f t="shared" si="1"/>
        <v>EL-PL Capital Gains &amp; Losses</v>
      </c>
    </row>
    <row r="123" spans="1:3">
      <c r="A123" t="s">
        <v>10020</v>
      </c>
      <c r="B123" t="s">
        <v>13840</v>
      </c>
      <c r="C123" t="str">
        <f t="shared" si="1"/>
        <v>EL-PL Cross-Charges</v>
      </c>
    </row>
    <row r="124" spans="1:3">
      <c r="A124" t="s">
        <v>8021</v>
      </c>
      <c r="B124" t="s">
        <v>13841</v>
      </c>
      <c r="C124" t="str">
        <f t="shared" si="1"/>
        <v>EL-SC-R ISC Strategy Realization</v>
      </c>
    </row>
    <row r="125" spans="1:3">
      <c r="A125" t="s">
        <v>2732</v>
      </c>
      <c r="B125" t="s">
        <v>13842</v>
      </c>
      <c r="C125" t="str">
        <f t="shared" si="1"/>
        <v>EL-SC-RD Digital Solutions</v>
      </c>
    </row>
    <row r="126" spans="1:3">
      <c r="A126" t="s">
        <v>8023</v>
      </c>
      <c r="B126" t="s">
        <v>13843</v>
      </c>
      <c r="C126" t="str">
        <f t="shared" si="1"/>
        <v>EL-SC-RN Network Optimization</v>
      </c>
    </row>
    <row r="127" spans="1:3">
      <c r="A127" t="s">
        <v>8022</v>
      </c>
      <c r="B127" t="s">
        <v>13844</v>
      </c>
      <c r="C127" t="str">
        <f t="shared" si="1"/>
        <v>EL-SC-RP Processes &amp; Systems</v>
      </c>
    </row>
    <row r="128" spans="1:3">
      <c r="A128" t="s">
        <v>8024</v>
      </c>
      <c r="B128" t="s">
        <v>13845</v>
      </c>
      <c r="C128" t="str">
        <f t="shared" si="1"/>
        <v>EL-SC-RF Smart Prod. FOR/OP/Equip</v>
      </c>
    </row>
    <row r="129" spans="1:3">
      <c r="A129" t="s">
        <v>8025</v>
      </c>
      <c r="B129" t="s">
        <v>13846</v>
      </c>
      <c r="C129" t="str">
        <f t="shared" si="1"/>
        <v>EL-SC-RS Smart Prod. SYN/PUR/SCM</v>
      </c>
    </row>
    <row r="130" spans="1:3">
      <c r="A130" t="s">
        <v>3889</v>
      </c>
      <c r="B130" t="s">
        <v>13847</v>
      </c>
      <c r="C130" t="str">
        <f t="shared" ref="C130:C193" si="2">MID(B130,12,LEN(B130))</f>
        <v>Forecast Adjustments</v>
      </c>
    </row>
    <row r="131" spans="1:3">
      <c r="A131" t="s">
        <v>6555</v>
      </c>
      <c r="B131" t="s">
        <v>13848</v>
      </c>
      <c r="C131" t="str">
        <f t="shared" si="2"/>
        <v>Placeholder 1</v>
      </c>
    </row>
    <row r="132" spans="1:3">
      <c r="A132" t="s">
        <v>6556</v>
      </c>
      <c r="B132" t="s">
        <v>13849</v>
      </c>
      <c r="C132" t="str">
        <f t="shared" si="2"/>
        <v>Placeholder 2</v>
      </c>
    </row>
    <row r="133" spans="1:3">
      <c r="A133" t="s">
        <v>4879</v>
      </c>
      <c r="B133" t="s">
        <v>13850</v>
      </c>
      <c r="C133" t="str">
        <f t="shared" si="2"/>
        <v>LS-QR Regulatory Management -G</v>
      </c>
    </row>
    <row r="134" spans="1:3">
      <c r="A134" t="s">
        <v>13412</v>
      </c>
      <c r="B134" t="s">
        <v>13851</v>
      </c>
      <c r="C134" t="str">
        <f t="shared" si="2"/>
        <v>Tech Leadership Fund - RapidBio</v>
      </c>
    </row>
    <row r="135" spans="1:3">
      <c r="A135" t="s">
        <v>3904</v>
      </c>
      <c r="B135" t="s">
        <v>13852</v>
      </c>
      <c r="C135" t="str">
        <f t="shared" si="2"/>
        <v>Alloc-out Warehousing/Distribution</v>
      </c>
    </row>
    <row r="136" spans="1:3">
      <c r="A136" t="s">
        <v>13415</v>
      </c>
      <c r="B136" t="s">
        <v>13853</v>
      </c>
      <c r="C136" t="str">
        <f t="shared" si="2"/>
        <v>1870 - FR Molsheim RTU3-G</v>
      </c>
    </row>
    <row r="137" spans="1:3">
      <c r="A137" t="s">
        <v>13417</v>
      </c>
      <c r="B137" t="s">
        <v>13854</v>
      </c>
      <c r="C137" t="str">
        <f t="shared" si="2"/>
        <v>1871 - FR Molsheim BOTTLE2-G</v>
      </c>
    </row>
    <row r="138" spans="1:3">
      <c r="A138" t="s">
        <v>13419</v>
      </c>
      <c r="B138" t="s">
        <v>13855</v>
      </c>
      <c r="C138" t="str">
        <f t="shared" si="2"/>
        <v>1880 - FR Molsheim Mycoplasma-G</v>
      </c>
    </row>
    <row r="139" spans="1:3">
      <c r="A139" t="s">
        <v>13421</v>
      </c>
      <c r="B139" t="s">
        <v>13856</v>
      </c>
      <c r="C139" t="str">
        <f t="shared" si="2"/>
        <v>1884 - FR Molsheim Tubes &amp; bags-G</v>
      </c>
    </row>
    <row r="140" spans="1:3">
      <c r="A140" t="s">
        <v>13423</v>
      </c>
      <c r="B140" t="s">
        <v>13857</v>
      </c>
      <c r="C140" t="str">
        <f t="shared" si="2"/>
        <v>FR1051 - 1051 FR Molsheim EZ Pak-G</v>
      </c>
    </row>
    <row r="141" spans="1:3">
      <c r="A141" t="s">
        <v>13425</v>
      </c>
      <c r="B141" t="s">
        <v>13858</v>
      </c>
      <c r="C141" t="str">
        <f t="shared" si="2"/>
        <v>FR1054 - 1054 FR Molsheim Media-G</v>
      </c>
    </row>
    <row r="142" spans="1:3">
      <c r="A142" t="s">
        <v>13427</v>
      </c>
      <c r="B142" t="s">
        <v>13859</v>
      </c>
      <c r="C142" t="str">
        <f t="shared" si="2"/>
        <v>FR1055 - 1055 FR Molsheim Membrane-G</v>
      </c>
    </row>
    <row r="143" spans="1:3">
      <c r="A143" t="s">
        <v>13429</v>
      </c>
      <c r="B143" t="s">
        <v>13860</v>
      </c>
      <c r="C143" t="str">
        <f t="shared" si="2"/>
        <v>FR1056 Molsheim Sterilisation-G</v>
      </c>
    </row>
    <row r="144" spans="1:3">
      <c r="A144" t="s">
        <v>13431</v>
      </c>
      <c r="B144" t="s">
        <v>13861</v>
      </c>
      <c r="C144" t="str">
        <f t="shared" si="2"/>
        <v>FR1057 - 1057 FR Molsheim Millidisc-G</v>
      </c>
    </row>
    <row r="145" spans="1:3">
      <c r="A145" t="s">
        <v>13433</v>
      </c>
      <c r="B145" t="s">
        <v>13862</v>
      </c>
      <c r="C145" t="str">
        <f t="shared" si="2"/>
        <v>FR1058 - 1058 FR Molsheim Molding-G</v>
      </c>
    </row>
    <row r="146" spans="1:3">
      <c r="A146" t="s">
        <v>13435</v>
      </c>
      <c r="B146" t="s">
        <v>13863</v>
      </c>
      <c r="C146" t="str">
        <f t="shared" si="2"/>
        <v>FR1058POV Molsheim Molding-G</v>
      </c>
    </row>
    <row r="147" spans="1:3">
      <c r="A147" t="s">
        <v>13436</v>
      </c>
      <c r="B147" t="s">
        <v>13864</v>
      </c>
      <c r="C147" t="str">
        <f t="shared" si="2"/>
        <v>FR1059 - 1059 FR Molsheim Milliflex-G</v>
      </c>
    </row>
    <row r="148" spans="1:3">
      <c r="A148" t="s">
        <v>13438</v>
      </c>
      <c r="B148" t="s">
        <v>13865</v>
      </c>
      <c r="C148" t="str">
        <f t="shared" si="2"/>
        <v>FR1067 - 1067 FR Molsheim Sterivac-G</v>
      </c>
    </row>
    <row r="149" spans="1:3">
      <c r="A149" t="s">
        <v>13440</v>
      </c>
      <c r="B149" t="s">
        <v>13866</v>
      </c>
      <c r="C149" t="str">
        <f t="shared" si="2"/>
        <v>FR1072 Molsheim Steritest EZ-G</v>
      </c>
    </row>
    <row r="150" spans="1:3">
      <c r="A150" t="s">
        <v>13442</v>
      </c>
      <c r="B150" t="s">
        <v>13867</v>
      </c>
      <c r="C150" t="str">
        <f t="shared" si="2"/>
        <v>FR1074 - 1074 FR Molsheim Kiting-G</v>
      </c>
    </row>
    <row r="151" spans="1:3">
      <c r="A151" t="s">
        <v>13444</v>
      </c>
      <c r="B151" t="s">
        <v>13868</v>
      </c>
      <c r="C151" t="str">
        <f t="shared" si="2"/>
        <v>FR1084 - 1084 FR Molsheim RTU media-G</v>
      </c>
    </row>
    <row r="152" spans="1:3">
      <c r="A152" t="s">
        <v>13446</v>
      </c>
      <c r="B152" t="s">
        <v>13869</v>
      </c>
      <c r="C152" t="str">
        <f t="shared" si="2"/>
        <v>FR1091 - 1091 FR Molsheim Bottles-G</v>
      </c>
    </row>
    <row r="153" spans="1:3">
      <c r="A153" t="s">
        <v>13448</v>
      </c>
      <c r="B153" t="s">
        <v>13870</v>
      </c>
      <c r="C153" t="str">
        <f t="shared" si="2"/>
        <v>FR1248 Hycon media production-G</v>
      </c>
    </row>
    <row r="154" spans="1:3">
      <c r="A154" t="s">
        <v>13450</v>
      </c>
      <c r="B154" t="s">
        <v>13871</v>
      </c>
      <c r="C154" t="str">
        <f t="shared" si="2"/>
        <v>FR1310 Molsheim Membrane Bioscience-G</v>
      </c>
    </row>
    <row r="155" spans="1:3">
      <c r="A155" t="s">
        <v>13452</v>
      </c>
      <c r="B155" t="s">
        <v>13872</v>
      </c>
      <c r="C155" t="str">
        <f t="shared" si="2"/>
        <v>FR1312 - 1312 FR Hycon packaging-G</v>
      </c>
    </row>
    <row r="156" spans="1:3">
      <c r="A156" t="s">
        <v>13454</v>
      </c>
      <c r="B156" t="s">
        <v>13873</v>
      </c>
      <c r="C156" t="str">
        <f t="shared" si="2"/>
        <v>FR2013 Molsheim Building A - PP-G</v>
      </c>
    </row>
    <row r="157" spans="1:3">
      <c r="A157" t="s">
        <v>13456</v>
      </c>
      <c r="B157" t="s">
        <v>13874</v>
      </c>
      <c r="C157" t="str">
        <f t="shared" si="2"/>
        <v>FR2017 Molsheim Bldg A Plant Mgmt-G</v>
      </c>
    </row>
    <row r="158" spans="1:3">
      <c r="A158" t="s">
        <v>13458</v>
      </c>
      <c r="B158" t="s">
        <v>13875</v>
      </c>
      <c r="C158" t="str">
        <f t="shared" si="2"/>
        <v>2073 - Molsheim DEVICES Idle Costs-G</v>
      </c>
    </row>
    <row r="159" spans="1:3">
      <c r="A159" t="s">
        <v>13460</v>
      </c>
      <c r="B159" t="s">
        <v>13876</v>
      </c>
      <c r="C159" t="str">
        <f t="shared" si="2"/>
        <v>1879 FR Molsheim BioM Hardware-G</v>
      </c>
    </row>
    <row r="160" spans="1:3">
      <c r="A160" t="s">
        <v>13462</v>
      </c>
      <c r="B160" t="s">
        <v>13877</v>
      </c>
      <c r="C160" t="str">
        <f t="shared" si="2"/>
        <v>1885 Mols Contract Mfg BioM Hrdw EP-G</v>
      </c>
    </row>
    <row r="161" spans="1:3">
      <c r="A161" t="s">
        <v>13464</v>
      </c>
      <c r="B161" t="s">
        <v>13878</v>
      </c>
      <c r="C161" t="str">
        <f t="shared" si="2"/>
        <v>FR1052 Molsheim Millex 50/Aervent-G</v>
      </c>
    </row>
    <row r="162" spans="1:3">
      <c r="A162" t="s">
        <v>13466</v>
      </c>
      <c r="B162" t="s">
        <v>13879</v>
      </c>
      <c r="C162" t="str">
        <f t="shared" si="2"/>
        <v>FR1062 Molsheim LW Consumables-G</v>
      </c>
    </row>
    <row r="163" spans="1:3">
      <c r="A163" t="s">
        <v>13468</v>
      </c>
      <c r="B163" t="s">
        <v>13880</v>
      </c>
      <c r="C163" t="str">
        <f t="shared" si="2"/>
        <v>FR1062MPV FR Molsheim LW Consumable-G</v>
      </c>
    </row>
    <row r="164" spans="1:3">
      <c r="A164" t="s">
        <v>13469</v>
      </c>
      <c r="B164" t="s">
        <v>13881</v>
      </c>
      <c r="C164" t="str">
        <f t="shared" si="2"/>
        <v>FR1062POV FR Molsheim LW Consumable-G</v>
      </c>
    </row>
    <row r="165" spans="1:3">
      <c r="A165" t="s">
        <v>13470</v>
      </c>
      <c r="B165" t="s">
        <v>13882</v>
      </c>
      <c r="C165" t="str">
        <f t="shared" si="2"/>
        <v>FR1065 Molsheim LW Instruments-G</v>
      </c>
    </row>
    <row r="166" spans="1:3">
      <c r="A166" t="s">
        <v>13472</v>
      </c>
      <c r="B166" t="s">
        <v>13883</v>
      </c>
      <c r="C166" t="str">
        <f t="shared" si="2"/>
        <v>FR1089 Molsheim Hycon instruments-G</v>
      </c>
    </row>
    <row r="167" spans="1:3">
      <c r="A167" t="s">
        <v>13474</v>
      </c>
      <c r="B167" t="s">
        <v>13884</v>
      </c>
      <c r="C167" t="str">
        <f t="shared" si="2"/>
        <v>FR1585 Molsheim - LabWater EDI-G</v>
      </c>
    </row>
    <row r="168" spans="1:3">
      <c r="A168" t="s">
        <v>13476</v>
      </c>
      <c r="B168" t="s">
        <v>13885</v>
      </c>
      <c r="C168" t="str">
        <f t="shared" si="2"/>
        <v>FR2034 Molsheim LW Mfg Management-G</v>
      </c>
    </row>
    <row r="169" spans="1:3">
      <c r="A169" t="s">
        <v>13478</v>
      </c>
      <c r="B169" t="s">
        <v>13886</v>
      </c>
      <c r="C169" t="str">
        <f t="shared" si="2"/>
        <v>FR2035 Start-up Costs Prod LabW-G</v>
      </c>
    </row>
    <row r="170" spans="1:3">
      <c r="A170" t="s">
        <v>13480</v>
      </c>
      <c r="B170" t="s">
        <v>13887</v>
      </c>
      <c r="C170" t="str">
        <f t="shared" si="2"/>
        <v>FR2534 Molsheim LW Prod Planning-G</v>
      </c>
    </row>
    <row r="171" spans="1:3">
      <c r="A171" t="s">
        <v>13482</v>
      </c>
      <c r="B171" t="s">
        <v>13888</v>
      </c>
      <c r="C171" t="str">
        <f t="shared" si="2"/>
        <v>FR2728 Molsheim Idle capacity cost-G</v>
      </c>
    </row>
    <row r="172" spans="1:3">
      <c r="A172" t="s">
        <v>13484</v>
      </c>
      <c r="B172" t="s">
        <v>13889</v>
      </c>
      <c r="C172" t="str">
        <f t="shared" si="2"/>
        <v>Molsheim Operation-SSU</v>
      </c>
    </row>
    <row r="173" spans="1:3">
      <c r="A173" t="s">
        <v>13485</v>
      </c>
      <c r="B173" t="s">
        <v>13890</v>
      </c>
      <c r="C173" t="str">
        <f t="shared" si="2"/>
        <v>FR1045 Molsheim HSO Novaseptic-G</v>
      </c>
    </row>
    <row r="174" spans="1:3">
      <c r="A174" t="s">
        <v>13487</v>
      </c>
      <c r="B174" t="s">
        <v>13891</v>
      </c>
      <c r="C174" t="str">
        <f t="shared" si="2"/>
        <v>FR1047 Molsheim HSO Hardware-G</v>
      </c>
    </row>
    <row r="175" spans="1:3">
      <c r="A175" t="s">
        <v>13489</v>
      </c>
      <c r="B175" t="s">
        <v>13892</v>
      </c>
      <c r="C175" t="str">
        <f t="shared" si="2"/>
        <v>FR1064 Molsheim HSO Systems-G</v>
      </c>
    </row>
    <row r="176" spans="1:3">
      <c r="A176" t="s">
        <v>13491</v>
      </c>
      <c r="B176" t="s">
        <v>13893</v>
      </c>
      <c r="C176" t="str">
        <f t="shared" si="2"/>
        <v>FR1066 Molsheim HSO Housings-G</v>
      </c>
    </row>
    <row r="177" spans="1:3">
      <c r="A177" t="s">
        <v>13493</v>
      </c>
      <c r="B177" t="s">
        <v>13894</v>
      </c>
      <c r="C177" t="str">
        <f t="shared" si="2"/>
        <v>FR1073 Molsheim HSO Chroma Columns-G</v>
      </c>
    </row>
    <row r="178" spans="1:3">
      <c r="A178" t="s">
        <v>13495</v>
      </c>
      <c r="B178" t="s">
        <v>13895</v>
      </c>
      <c r="C178" t="str">
        <f t="shared" si="2"/>
        <v>FR1077 Molsheim HSO System Assembly-G</v>
      </c>
    </row>
    <row r="179" spans="1:3">
      <c r="A179" t="s">
        <v>13497</v>
      </c>
      <c r="B179" t="s">
        <v>13896</v>
      </c>
      <c r="C179" t="str">
        <f t="shared" si="2"/>
        <v>FR1083 Molsheim HSO Systems Engine.-G</v>
      </c>
    </row>
    <row r="180" spans="1:3">
      <c r="A180" t="s">
        <v>13499</v>
      </c>
      <c r="B180" t="s">
        <v>13897</v>
      </c>
      <c r="C180" t="str">
        <f t="shared" si="2"/>
        <v>FR2031 Molsheim HSO Process Excelle-G</v>
      </c>
    </row>
    <row r="181" spans="1:3">
      <c r="A181" t="s">
        <v>13501</v>
      </c>
      <c r="B181" t="s">
        <v>13898</v>
      </c>
      <c r="C181" t="str">
        <f t="shared" si="2"/>
        <v>FR2554 Molsheim HSO Prod Planning-G</v>
      </c>
    </row>
    <row r="182" spans="1:3">
      <c r="A182" t="s">
        <v>13503</v>
      </c>
      <c r="B182" t="s">
        <v>13899</v>
      </c>
      <c r="C182" t="str">
        <f t="shared" si="2"/>
        <v>FR2620 BPS outsourced manufacturing-G</v>
      </c>
    </row>
    <row r="183" spans="1:3">
      <c r="A183" t="s">
        <v>13505</v>
      </c>
      <c r="B183" t="s">
        <v>13900</v>
      </c>
      <c r="C183" t="str">
        <f t="shared" si="2"/>
        <v>1108 - FR Mobius Europe Assembly-G</v>
      </c>
    </row>
    <row r="184" spans="1:3">
      <c r="A184" t="s">
        <v>13507</v>
      </c>
      <c r="B184" t="s">
        <v>13901</v>
      </c>
      <c r="C184" t="str">
        <f t="shared" si="2"/>
        <v>2079 - FR Mobius Prod Planning-G</v>
      </c>
    </row>
    <row r="185" spans="1:3">
      <c r="A185" t="s">
        <v>13509</v>
      </c>
      <c r="B185" t="s">
        <v>13902</v>
      </c>
      <c r="C185" t="str">
        <f t="shared" si="2"/>
        <v>1050 - FR Mobius - Sterilization-G</v>
      </c>
    </row>
    <row r="186" spans="1:3">
      <c r="A186" t="s">
        <v>13511</v>
      </c>
      <c r="B186" t="s">
        <v>13903</v>
      </c>
      <c r="C186" t="str">
        <f t="shared" si="2"/>
        <v>1111 - FR Mobius - Bag making-G</v>
      </c>
    </row>
    <row r="187" spans="1:3">
      <c r="A187" t="s">
        <v>13513</v>
      </c>
      <c r="B187" t="s">
        <v>13904</v>
      </c>
      <c r="C187" t="str">
        <f t="shared" si="2"/>
        <v>2090 - FR Mobius - Idl-G</v>
      </c>
    </row>
    <row r="188" spans="1:3">
      <c r="A188" t="s">
        <v>13515</v>
      </c>
      <c r="B188" t="s">
        <v>13905</v>
      </c>
      <c r="C188" t="str">
        <f t="shared" si="2"/>
        <v>2097 - FR Mobius - Start-up costs-G</v>
      </c>
    </row>
    <row r="189" spans="1:3">
      <c r="A189" t="s">
        <v>13517</v>
      </c>
      <c r="B189" t="s">
        <v>13906</v>
      </c>
      <c r="C189" t="str">
        <f t="shared" si="2"/>
        <v>1105 - FR Mobius - EU Assembly FT2-G</v>
      </c>
    </row>
    <row r="190" spans="1:3">
      <c r="A190" t="s">
        <v>13519</v>
      </c>
      <c r="B190" t="s">
        <v>13907</v>
      </c>
      <c r="C190" t="str">
        <f t="shared" si="2"/>
        <v>2096 - FR Molsheim Building Mobius-G (L0</v>
      </c>
    </row>
    <row r="191" spans="1:3">
      <c r="A191" t="s">
        <v>13521</v>
      </c>
      <c r="B191" t="s">
        <v>13908</v>
      </c>
      <c r="C191" t="str">
        <f t="shared" si="2"/>
        <v>FR1044 Molsheim Novaseptum-G</v>
      </c>
    </row>
    <row r="192" spans="1:3">
      <c r="A192" t="s">
        <v>13523</v>
      </c>
      <c r="B192" t="s">
        <v>13909</v>
      </c>
      <c r="C192" t="str">
        <f t="shared" si="2"/>
        <v>Sales APAC &amp; SEA (BM) -G</v>
      </c>
    </row>
    <row r="193" spans="1:3">
      <c r="A193" t="s">
        <v>13525</v>
      </c>
      <c r="B193" t="s">
        <v>13910</v>
      </c>
      <c r="C193" t="str">
        <f t="shared" si="2"/>
        <v>LW APAC</v>
      </c>
    </row>
    <row r="194" spans="1:3">
      <c r="A194" t="s">
        <v>1919</v>
      </c>
      <c r="B194" t="s">
        <v>13911</v>
      </c>
      <c r="C194" t="str">
        <f t="shared" ref="C194:C233" si="3">MID(B194,12,LEN(B194))</f>
        <v>LW Sales &amp; Service-APAC SEA -G</v>
      </c>
    </row>
    <row r="195" spans="1:3">
      <c r="A195" t="s">
        <v>13528</v>
      </c>
      <c r="B195" t="s">
        <v>13912</v>
      </c>
      <c r="C195" t="str">
        <f t="shared" si="3"/>
        <v>LW - Field Service APAC SEA -G</v>
      </c>
    </row>
    <row r="196" spans="1:3">
      <c r="A196" t="s">
        <v>13530</v>
      </c>
      <c r="B196" t="s">
        <v>13913</v>
      </c>
      <c r="C196" t="str">
        <f t="shared" si="3"/>
        <v>LW - Sales APAC SEA -G</v>
      </c>
    </row>
    <row r="197" spans="1:3">
      <c r="A197" t="s">
        <v>13532</v>
      </c>
      <c r="B197" t="s">
        <v>13914</v>
      </c>
      <c r="C197" t="str">
        <f t="shared" si="3"/>
        <v>LW Sales &amp; Service- APAC 6 -G</v>
      </c>
    </row>
    <row r="198" spans="1:3">
      <c r="A198" t="s">
        <v>13534</v>
      </c>
      <c r="B198" t="s">
        <v>13915</v>
      </c>
      <c r="C198" t="str">
        <f t="shared" si="3"/>
        <v>LW - Sales APAC 6 -G</v>
      </c>
    </row>
    <row r="199" spans="1:3">
      <c r="A199" t="s">
        <v>13536</v>
      </c>
      <c r="B199" t="s">
        <v>13916</v>
      </c>
      <c r="C199" t="str">
        <f t="shared" si="3"/>
        <v>LW - Field Service APAC 6 -G</v>
      </c>
    </row>
    <row r="200" spans="1:3">
      <c r="A200" t="s">
        <v>13538</v>
      </c>
      <c r="B200" t="s">
        <v>13917</v>
      </c>
      <c r="C200" t="str">
        <f t="shared" si="3"/>
        <v>LW-APAC-SBS-G</v>
      </c>
    </row>
    <row r="201" spans="1:3">
      <c r="A201" t="s">
        <v>1918</v>
      </c>
      <c r="B201" t="s">
        <v>13918</v>
      </c>
      <c r="C201" t="str">
        <f t="shared" si="3"/>
        <v>LW - APAC SBS -G</v>
      </c>
    </row>
    <row r="202" spans="1:3">
      <c r="A202" t="s">
        <v>3960</v>
      </c>
      <c r="B202" t="s">
        <v>13919</v>
      </c>
      <c r="C202" t="str">
        <f t="shared" si="3"/>
        <v>PS Product Development</v>
      </c>
    </row>
    <row r="203" spans="1:3">
      <c r="A203" t="s">
        <v>13542</v>
      </c>
      <c r="B203" t="s">
        <v>13920</v>
      </c>
      <c r="C203" t="str">
        <f t="shared" si="3"/>
        <v>Innovation Management -G</v>
      </c>
    </row>
    <row r="204" spans="1:3">
      <c r="A204" t="s">
        <v>13347</v>
      </c>
      <c r="B204" t="s">
        <v>13921</v>
      </c>
      <c r="C204" t="str">
        <f t="shared" si="3"/>
        <v>Scientific &amp; Validation Services -G</v>
      </c>
    </row>
    <row r="205" spans="1:3">
      <c r="A205" t="s">
        <v>3500</v>
      </c>
      <c r="B205" t="s">
        <v>13922</v>
      </c>
      <c r="C205" t="str">
        <f t="shared" si="3"/>
        <v>Filtration R&amp;D -G</v>
      </c>
    </row>
    <row r="206" spans="1:3">
      <c r="A206" t="s">
        <v>3502</v>
      </c>
      <c r="B206" t="s">
        <v>13923</v>
      </c>
      <c r="C206" t="str">
        <f t="shared" si="3"/>
        <v>Purification R&amp;D -G</v>
      </c>
    </row>
    <row r="207" spans="1:3">
      <c r="A207" t="s">
        <v>13547</v>
      </c>
      <c r="B207" t="s">
        <v>13924</v>
      </c>
      <c r="C207" t="str">
        <f t="shared" si="3"/>
        <v>PSMMOR1937.6103 6103 Natrix (R&amp;D)-G</v>
      </c>
    </row>
    <row r="208" spans="1:3">
      <c r="A208" t="s">
        <v>13549</v>
      </c>
      <c r="B208" t="s">
        <v>13925</v>
      </c>
      <c r="C208" t="str">
        <f t="shared" si="3"/>
        <v>PS14670000000005 5Research &amp; Develo-G</v>
      </c>
    </row>
    <row r="209" spans="1:3">
      <c r="A209" t="s">
        <v>3504</v>
      </c>
      <c r="B209" t="s">
        <v>13926</v>
      </c>
      <c r="C209" t="str">
        <f t="shared" si="3"/>
        <v>Upstream &amp; Process Materials R&amp;D</v>
      </c>
    </row>
    <row r="210" spans="1:3">
      <c r="A210" t="s">
        <v>8474</v>
      </c>
      <c r="B210" t="s">
        <v>13927</v>
      </c>
      <c r="C210" t="str">
        <f t="shared" si="3"/>
        <v>Customer Excellence (NA) -G</v>
      </c>
    </row>
    <row r="211" spans="1:3">
      <c r="A211" t="s">
        <v>8475</v>
      </c>
      <c r="B211" t="s">
        <v>13928</v>
      </c>
      <c r="C211" t="str">
        <f t="shared" si="3"/>
        <v>LATAM - CEX -G</v>
      </c>
    </row>
    <row r="212" spans="1:3">
      <c r="A212" t="s">
        <v>3527</v>
      </c>
      <c r="B212" t="s">
        <v>13929</v>
      </c>
      <c r="C212" t="str">
        <f t="shared" si="3"/>
        <v>CS APAC</v>
      </c>
    </row>
    <row r="213" spans="1:3">
      <c r="A213" t="s">
        <v>8486</v>
      </c>
      <c r="B213" t="s">
        <v>13930</v>
      </c>
      <c r="C213" t="str">
        <f t="shared" si="3"/>
        <v>Export Operations -G</v>
      </c>
    </row>
    <row r="214" spans="1:3">
      <c r="A214" t="s">
        <v>3978</v>
      </c>
      <c r="B214" t="s">
        <v>13931</v>
      </c>
      <c r="C214" t="str">
        <f t="shared" si="3"/>
        <v>Business Excellence Planning &amp; Implem</v>
      </c>
    </row>
    <row r="215" spans="1:3">
      <c r="A215" t="s">
        <v>8494</v>
      </c>
      <c r="B215" t="s">
        <v>13932</v>
      </c>
      <c r="C215" t="str">
        <f t="shared" si="3"/>
        <v>CaSE Operations WE -G</v>
      </c>
    </row>
    <row r="216" spans="1:3">
      <c r="A216" t="s">
        <v>12232</v>
      </c>
      <c r="B216" t="s">
        <v>13933</v>
      </c>
      <c r="C216" t="str">
        <f t="shared" si="3"/>
        <v>Biopharma Chemicals and Solutions</v>
      </c>
    </row>
    <row r="217" spans="1:3">
      <c r="A217" t="s">
        <v>3494</v>
      </c>
      <c r="B217" t="s">
        <v>13934</v>
      </c>
      <c r="C217" t="str">
        <f t="shared" si="3"/>
        <v>SU &amp; Integrated Systems Business Line -G</v>
      </c>
    </row>
    <row r="218" spans="1:3">
      <c r="A218" t="s">
        <v>13560</v>
      </c>
      <c r="B218" t="s">
        <v>13935</v>
      </c>
      <c r="C218" t="str">
        <f t="shared" si="3"/>
        <v>PS7210$$$0000021402 BioProcessing M-G</v>
      </c>
    </row>
    <row r="219" spans="1:3">
      <c r="A219" t="s">
        <v>13562</v>
      </c>
      <c r="B219" t="s">
        <v>13936</v>
      </c>
      <c r="C219" t="str">
        <f t="shared" si="3"/>
        <v>PSMMOR1945.1104 1104 Resolution Spe-G</v>
      </c>
    </row>
    <row r="220" spans="1:3">
      <c r="A220" t="s">
        <v>6002</v>
      </c>
      <c r="B220" t="s">
        <v>13937</v>
      </c>
      <c r="C220" t="str">
        <f t="shared" si="3"/>
        <v>PSMMOR1945.9226 9226 PS-US&amp;SU Lit-G</v>
      </c>
    </row>
    <row r="221" spans="1:3">
      <c r="A221" t="s">
        <v>3479</v>
      </c>
      <c r="B221" t="s">
        <v>13938</v>
      </c>
      <c r="C221" t="str">
        <f t="shared" si="3"/>
        <v>BioContinuum Franchise</v>
      </c>
    </row>
    <row r="222" spans="1:3">
      <c r="A222" t="s">
        <v>4140</v>
      </c>
      <c r="B222" t="s">
        <v>13939</v>
      </c>
      <c r="C222" t="str">
        <f t="shared" si="3"/>
        <v>GSO_Field Services</v>
      </c>
    </row>
    <row r="223" spans="1:3">
      <c r="A223" t="s">
        <v>4074</v>
      </c>
      <c r="B223" t="s">
        <v>13940</v>
      </c>
      <c r="C223" t="str">
        <f t="shared" si="3"/>
        <v>GSO_Bio4C (Commercial Incubator)</v>
      </c>
    </row>
    <row r="224" spans="1:3">
      <c r="A224" t="s">
        <v>5987</v>
      </c>
      <c r="B224" t="s">
        <v>13941</v>
      </c>
      <c r="C224" t="str">
        <f t="shared" si="3"/>
        <v>GSO_Mgmt</v>
      </c>
    </row>
    <row r="225" spans="1:3">
      <c r="A225" t="s">
        <v>5989</v>
      </c>
      <c r="B225" t="s">
        <v>13942</v>
      </c>
      <c r="C225" t="str">
        <f t="shared" si="3"/>
        <v>GSO_DSS BO</v>
      </c>
    </row>
    <row r="226" spans="1:3">
      <c r="A226" t="s">
        <v>4855</v>
      </c>
      <c r="B226" t="s">
        <v>13943</v>
      </c>
      <c r="C226" t="str">
        <f t="shared" si="3"/>
        <v>Single Use - Core</v>
      </c>
    </row>
    <row r="227" spans="1:3">
      <c r="A227" t="s">
        <v>13571</v>
      </c>
      <c r="B227" t="s">
        <v>13944</v>
      </c>
      <c r="C227" t="str">
        <f t="shared" si="3"/>
        <v>PS14670000000008 BioP DSP-G</v>
      </c>
    </row>
    <row r="228" spans="1:3">
      <c r="A228" t="s">
        <v>13573</v>
      </c>
      <c r="B228" t="s">
        <v>13945</v>
      </c>
      <c r="C228" t="str">
        <f t="shared" si="3"/>
        <v>PS70006101MS3213 Purification-G</v>
      </c>
    </row>
    <row r="229" spans="1:3">
      <c r="A229" t="s">
        <v>4142</v>
      </c>
      <c r="B229" t="s">
        <v>13946</v>
      </c>
      <c r="C229" t="str">
        <f t="shared" si="3"/>
        <v>GSO_Validation Services</v>
      </c>
    </row>
    <row r="230" spans="1:3">
      <c r="A230" t="s">
        <v>5988</v>
      </c>
      <c r="B230" t="s">
        <v>13947</v>
      </c>
      <c r="C230" t="str">
        <f t="shared" si="3"/>
        <v>GSO_Quality Global Services</v>
      </c>
    </row>
    <row r="231" spans="1:3">
      <c r="A231" t="s">
        <v>12185</v>
      </c>
      <c r="B231" t="s">
        <v>13948</v>
      </c>
      <c r="C231" t="str">
        <f t="shared" si="3"/>
        <v>AS Tradeshows Tier 1</v>
      </c>
    </row>
    <row r="232" spans="1:3">
      <c r="A232" t="s">
        <v>13024</v>
      </c>
      <c r="B232" t="s">
        <v>13949</v>
      </c>
      <c r="C232" t="str">
        <f t="shared" si="3"/>
        <v>Cork Operations - Media -G</v>
      </c>
    </row>
    <row r="233" spans="1:3">
      <c r="A233" t="s">
        <v>13714</v>
      </c>
      <c r="B233" t="s">
        <v>13950</v>
      </c>
      <c r="C233" t="str">
        <f t="shared" si="3"/>
        <v>FP&amp;A CO BS91 - 2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856D4-BBD3-4385-84BC-E4791BE1F1F4}">
  <dimension ref="A1:B43"/>
  <sheetViews>
    <sheetView workbookViewId="0">
      <selection activeCell="A30" sqref="A30:B43"/>
    </sheetView>
  </sheetViews>
  <sheetFormatPr defaultRowHeight="15"/>
  <sheetData>
    <row r="1" spans="1:2">
      <c r="A1" t="s">
        <v>13254</v>
      </c>
      <c r="B1" t="s">
        <v>3655</v>
      </c>
    </row>
    <row r="2" spans="1:2">
      <c r="A2" t="s">
        <v>13255</v>
      </c>
      <c r="B2" t="s">
        <v>3655</v>
      </c>
    </row>
    <row r="3" spans="1:2">
      <c r="A3" t="s">
        <v>13256</v>
      </c>
      <c r="B3" t="s">
        <v>9849</v>
      </c>
    </row>
    <row r="4" spans="1:2">
      <c r="A4" t="s">
        <v>13257</v>
      </c>
      <c r="B4" t="s">
        <v>13256</v>
      </c>
    </row>
    <row r="5" spans="1:2">
      <c r="A5" t="s">
        <v>13258</v>
      </c>
      <c r="B5" t="s">
        <v>13256</v>
      </c>
    </row>
    <row r="6" spans="1:2">
      <c r="A6" t="s">
        <v>13259</v>
      </c>
      <c r="B6" t="s">
        <v>13256</v>
      </c>
    </row>
    <row r="7" spans="1:2">
      <c r="A7" t="s">
        <v>13260</v>
      </c>
      <c r="B7" t="s">
        <v>13256</v>
      </c>
    </row>
    <row r="8" spans="1:2">
      <c r="A8" t="s">
        <v>13261</v>
      </c>
      <c r="B8" t="s">
        <v>13256</v>
      </c>
    </row>
    <row r="9" spans="1:2">
      <c r="A9" t="s">
        <v>13262</v>
      </c>
      <c r="B9" t="s">
        <v>13256</v>
      </c>
    </row>
    <row r="10" spans="1:2">
      <c r="A10" t="s">
        <v>13263</v>
      </c>
      <c r="B10" t="s">
        <v>13256</v>
      </c>
    </row>
    <row r="11" spans="1:2">
      <c r="A11" t="s">
        <v>13264</v>
      </c>
      <c r="B11" t="s">
        <v>13256</v>
      </c>
    </row>
    <row r="12" spans="1:2">
      <c r="A12" t="s">
        <v>13265</v>
      </c>
      <c r="B12" t="s">
        <v>13256</v>
      </c>
    </row>
    <row r="13" spans="1:2">
      <c r="A13" t="s">
        <v>13266</v>
      </c>
      <c r="B13" t="s">
        <v>13256</v>
      </c>
    </row>
    <row r="14" spans="1:2">
      <c r="A14" t="s">
        <v>13267</v>
      </c>
      <c r="B14" t="s">
        <v>11538</v>
      </c>
    </row>
    <row r="15" spans="1:2">
      <c r="A15" t="s">
        <v>13268</v>
      </c>
      <c r="B15" t="s">
        <v>6416</v>
      </c>
    </row>
    <row r="16" spans="1:2">
      <c r="A16" t="s">
        <v>13269</v>
      </c>
      <c r="B16" t="s">
        <v>10341</v>
      </c>
    </row>
    <row r="17" spans="1:2">
      <c r="A17" t="s">
        <v>13270</v>
      </c>
      <c r="B17" t="s">
        <v>10388</v>
      </c>
    </row>
    <row r="18" spans="1:2">
      <c r="A18" t="s">
        <v>13277</v>
      </c>
      <c r="B18" t="s">
        <v>2995</v>
      </c>
    </row>
    <row r="19" spans="1:2">
      <c r="A19" t="s">
        <v>13278</v>
      </c>
      <c r="B19" t="s">
        <v>2433</v>
      </c>
    </row>
    <row r="20" spans="1:2">
      <c r="A20" t="s">
        <v>13279</v>
      </c>
      <c r="B20" t="s">
        <v>13278</v>
      </c>
    </row>
    <row r="21" spans="1:2">
      <c r="A21" t="s">
        <v>13280</v>
      </c>
      <c r="B21" t="s">
        <v>2682</v>
      </c>
    </row>
    <row r="22" spans="1:2">
      <c r="A22" t="s">
        <v>13281</v>
      </c>
      <c r="B22" t="s">
        <v>8765</v>
      </c>
    </row>
    <row r="23" spans="1:2">
      <c r="A23" t="s">
        <v>13282</v>
      </c>
      <c r="B23" t="s">
        <v>8765</v>
      </c>
    </row>
    <row r="24" spans="1:2">
      <c r="A24" t="s">
        <v>13283</v>
      </c>
      <c r="B24" t="s">
        <v>8765</v>
      </c>
    </row>
    <row r="25" spans="1:2">
      <c r="A25" t="s">
        <v>13284</v>
      </c>
      <c r="B25" t="s">
        <v>8765</v>
      </c>
    </row>
    <row r="26" spans="1:2">
      <c r="A26" t="s">
        <v>13285</v>
      </c>
      <c r="B26" t="s">
        <v>8765</v>
      </c>
    </row>
    <row r="27" spans="1:2">
      <c r="A27" t="s">
        <v>13286</v>
      </c>
      <c r="B27" t="s">
        <v>8765</v>
      </c>
    </row>
    <row r="28" spans="1:2">
      <c r="A28" t="s">
        <v>13287</v>
      </c>
      <c r="B28" t="s">
        <v>8765</v>
      </c>
    </row>
    <row r="29" spans="1:2">
      <c r="A29" t="s">
        <v>13271</v>
      </c>
      <c r="B29" t="s">
        <v>9059</v>
      </c>
    </row>
    <row r="30" spans="1:2">
      <c r="A30" t="s">
        <v>13014</v>
      </c>
      <c r="B30" t="s">
        <v>6369</v>
      </c>
    </row>
    <row r="31" spans="1:2">
      <c r="A31" t="s">
        <v>12986</v>
      </c>
      <c r="B31" t="s">
        <v>13014</v>
      </c>
    </row>
    <row r="32" spans="1:2">
      <c r="A32" t="s">
        <v>13015</v>
      </c>
      <c r="B32" t="s">
        <v>6300</v>
      </c>
    </row>
    <row r="33" spans="1:2">
      <c r="A33" t="s">
        <v>12988</v>
      </c>
      <c r="B33" t="s">
        <v>13015</v>
      </c>
    </row>
    <row r="34" spans="1:2">
      <c r="A34" t="s">
        <v>13016</v>
      </c>
      <c r="B34" t="s">
        <v>5266</v>
      </c>
    </row>
    <row r="35" spans="1:2">
      <c r="A35" t="s">
        <v>13017</v>
      </c>
      <c r="B35" t="s">
        <v>13016</v>
      </c>
    </row>
    <row r="36" spans="1:2">
      <c r="A36" t="s">
        <v>12991</v>
      </c>
      <c r="B36" t="s">
        <v>13017</v>
      </c>
    </row>
    <row r="37" spans="1:2">
      <c r="A37" t="s">
        <v>13018</v>
      </c>
      <c r="B37" t="s">
        <v>13016</v>
      </c>
    </row>
    <row r="38" spans="1:2">
      <c r="A38" t="s">
        <v>12993</v>
      </c>
      <c r="B38" t="s">
        <v>13018</v>
      </c>
    </row>
    <row r="39" spans="1:2">
      <c r="A39" t="s">
        <v>13019</v>
      </c>
      <c r="B39" t="s">
        <v>13016</v>
      </c>
    </row>
    <row r="40" spans="1:2">
      <c r="A40" t="s">
        <v>12995</v>
      </c>
      <c r="B40" t="s">
        <v>13019</v>
      </c>
    </row>
    <row r="41" spans="1:2">
      <c r="A41" t="s">
        <v>13020</v>
      </c>
      <c r="B41" t="s">
        <v>13016</v>
      </c>
    </row>
    <row r="42" spans="1:2">
      <c r="A42" t="s">
        <v>12997</v>
      </c>
      <c r="B42" t="s">
        <v>13020</v>
      </c>
    </row>
    <row r="43" spans="1:2">
      <c r="A43" t="s">
        <v>12318</v>
      </c>
      <c r="B43" t="s">
        <v>5266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9DD4-9C88-4516-BC66-13AD671547B1}">
  <dimension ref="A1:AA167"/>
  <sheetViews>
    <sheetView topLeftCell="A133" workbookViewId="0">
      <selection activeCell="S19" sqref="S19"/>
    </sheetView>
  </sheetViews>
  <sheetFormatPr defaultRowHeight="15"/>
  <cols>
    <col min="2" max="2" width="41.28515625" bestFit="1" customWidth="1"/>
    <col min="3" max="7" width="2.140625" bestFit="1" customWidth="1"/>
    <col min="9" max="10" width="11.28515625" bestFit="1" customWidth="1"/>
    <col min="12" max="13" width="11.7109375" bestFit="1" customWidth="1"/>
  </cols>
  <sheetData>
    <row r="1" spans="1:27">
      <c r="A1">
        <v>1000</v>
      </c>
      <c r="B1" t="s">
        <v>12983</v>
      </c>
      <c r="I1">
        <v>1000</v>
      </c>
      <c r="J1" t="s">
        <v>12983</v>
      </c>
      <c r="L1">
        <v>1000</v>
      </c>
      <c r="M1" t="s">
        <v>12983</v>
      </c>
      <c r="Q1">
        <v>1000</v>
      </c>
      <c r="Y1">
        <v>1000</v>
      </c>
    </row>
    <row r="2" spans="1:27">
      <c r="A2" t="s">
        <v>13254</v>
      </c>
      <c r="B2" t="s">
        <v>13071</v>
      </c>
      <c r="C2" t="s">
        <v>12984</v>
      </c>
      <c r="D2" t="s">
        <v>12984</v>
      </c>
      <c r="E2" t="s">
        <v>12984</v>
      </c>
      <c r="F2" t="s">
        <v>12984</v>
      </c>
      <c r="G2" t="s">
        <v>12984</v>
      </c>
      <c r="I2" t="s">
        <v>3655</v>
      </c>
      <c r="J2" t="s">
        <v>13254</v>
      </c>
      <c r="L2" t="s">
        <v>13068</v>
      </c>
      <c r="M2" t="s">
        <v>13066</v>
      </c>
      <c r="Q2" s="117" t="s">
        <v>13714</v>
      </c>
      <c r="R2" s="110" t="s">
        <v>13715</v>
      </c>
      <c r="S2" t="s">
        <v>12984</v>
      </c>
      <c r="T2" t="s">
        <v>12984</v>
      </c>
      <c r="U2" t="s">
        <v>12984</v>
      </c>
      <c r="V2" t="s">
        <v>12984</v>
      </c>
      <c r="W2" t="s">
        <v>12984</v>
      </c>
      <c r="Y2" s="117" t="s">
        <v>13714</v>
      </c>
      <c r="Z2" s="110" t="s">
        <v>13715</v>
      </c>
      <c r="AA2" t="s">
        <v>12984</v>
      </c>
    </row>
    <row r="3" spans="1:27">
      <c r="A3" t="s">
        <v>13255</v>
      </c>
      <c r="B3" t="s">
        <v>13072</v>
      </c>
      <c r="C3" t="s">
        <v>12984</v>
      </c>
      <c r="D3" t="s">
        <v>12984</v>
      </c>
      <c r="E3" t="s">
        <v>12984</v>
      </c>
      <c r="F3" t="s">
        <v>12984</v>
      </c>
      <c r="G3" t="s">
        <v>12984</v>
      </c>
      <c r="I3" t="s">
        <v>3655</v>
      </c>
      <c r="J3" t="s">
        <v>13255</v>
      </c>
      <c r="L3" t="s">
        <v>9652</v>
      </c>
      <c r="M3" t="s">
        <v>13067</v>
      </c>
    </row>
    <row r="4" spans="1:27">
      <c r="A4" t="s">
        <v>13256</v>
      </c>
      <c r="B4" t="s">
        <v>13073</v>
      </c>
      <c r="C4" t="s">
        <v>12984</v>
      </c>
      <c r="D4" t="s">
        <v>12984</v>
      </c>
      <c r="E4" t="s">
        <v>12984</v>
      </c>
      <c r="F4" t="s">
        <v>12984</v>
      </c>
      <c r="G4" t="s">
        <v>12984</v>
      </c>
      <c r="I4" t="s">
        <v>9849</v>
      </c>
      <c r="J4" t="s">
        <v>13256</v>
      </c>
      <c r="L4" t="s">
        <v>275</v>
      </c>
      <c r="M4" t="s">
        <v>9857</v>
      </c>
    </row>
    <row r="5" spans="1:27">
      <c r="A5" t="s">
        <v>13257</v>
      </c>
      <c r="B5" t="s">
        <v>13074</v>
      </c>
      <c r="C5" t="s">
        <v>12984</v>
      </c>
      <c r="D5" t="s">
        <v>12984</v>
      </c>
      <c r="E5" t="s">
        <v>12984</v>
      </c>
      <c r="F5" t="s">
        <v>12984</v>
      </c>
      <c r="G5" t="s">
        <v>12984</v>
      </c>
      <c r="I5" t="s">
        <v>13256</v>
      </c>
      <c r="J5" t="s">
        <v>13257</v>
      </c>
      <c r="L5" t="s">
        <v>13279</v>
      </c>
      <c r="M5" t="s">
        <v>2427</v>
      </c>
    </row>
    <row r="6" spans="1:27">
      <c r="A6" t="s">
        <v>13258</v>
      </c>
      <c r="B6" t="s">
        <v>13075</v>
      </c>
      <c r="C6" t="s">
        <v>12984</v>
      </c>
      <c r="D6" t="s">
        <v>12984</v>
      </c>
      <c r="E6" t="s">
        <v>12984</v>
      </c>
      <c r="F6" t="s">
        <v>12984</v>
      </c>
      <c r="G6" t="s">
        <v>12984</v>
      </c>
      <c r="I6" t="s">
        <v>13256</v>
      </c>
      <c r="J6" t="s">
        <v>13258</v>
      </c>
      <c r="L6" t="s">
        <v>2435</v>
      </c>
      <c r="M6" t="s">
        <v>8043</v>
      </c>
    </row>
    <row r="7" spans="1:27">
      <c r="A7" t="s">
        <v>13259</v>
      </c>
      <c r="B7" t="s">
        <v>13076</v>
      </c>
      <c r="C7" t="s">
        <v>12984</v>
      </c>
      <c r="D7" t="s">
        <v>12984</v>
      </c>
      <c r="E7" t="s">
        <v>12984</v>
      </c>
      <c r="F7" t="s">
        <v>12984</v>
      </c>
      <c r="G7" t="s">
        <v>12984</v>
      </c>
      <c r="I7" t="s">
        <v>13256</v>
      </c>
      <c r="J7" t="s">
        <v>13259</v>
      </c>
      <c r="L7" t="s">
        <v>2435</v>
      </c>
      <c r="M7" t="s">
        <v>2234</v>
      </c>
    </row>
    <row r="8" spans="1:27">
      <c r="A8" t="s">
        <v>13260</v>
      </c>
      <c r="B8" t="s">
        <v>13077</v>
      </c>
      <c r="C8" t="s">
        <v>12984</v>
      </c>
      <c r="D8" t="s">
        <v>12984</v>
      </c>
      <c r="E8" t="s">
        <v>12984</v>
      </c>
      <c r="F8" t="s">
        <v>12984</v>
      </c>
      <c r="G8" t="s">
        <v>12984</v>
      </c>
      <c r="I8" t="s">
        <v>13256</v>
      </c>
      <c r="J8" t="s">
        <v>13260</v>
      </c>
      <c r="L8" t="s">
        <v>2306</v>
      </c>
      <c r="M8" t="s">
        <v>2235</v>
      </c>
    </row>
    <row r="9" spans="1:27">
      <c r="A9" t="s">
        <v>13261</v>
      </c>
      <c r="B9" t="s">
        <v>13078</v>
      </c>
      <c r="C9" t="s">
        <v>12984</v>
      </c>
      <c r="D9" t="s">
        <v>12984</v>
      </c>
      <c r="E9" t="s">
        <v>12984</v>
      </c>
      <c r="F9" t="s">
        <v>12984</v>
      </c>
      <c r="G9" t="s">
        <v>12984</v>
      </c>
      <c r="I9" t="s">
        <v>13256</v>
      </c>
      <c r="J9" t="s">
        <v>13261</v>
      </c>
      <c r="L9" t="s">
        <v>12177</v>
      </c>
      <c r="M9" t="s">
        <v>2237</v>
      </c>
    </row>
    <row r="10" spans="1:27">
      <c r="A10" t="s">
        <v>13262</v>
      </c>
      <c r="B10" t="s">
        <v>13079</v>
      </c>
      <c r="C10" t="s">
        <v>12984</v>
      </c>
      <c r="D10" t="s">
        <v>12984</v>
      </c>
      <c r="E10" t="s">
        <v>12984</v>
      </c>
      <c r="F10" t="s">
        <v>12984</v>
      </c>
      <c r="G10" t="s">
        <v>12984</v>
      </c>
      <c r="I10" t="s">
        <v>13256</v>
      </c>
      <c r="J10" t="s">
        <v>13262</v>
      </c>
      <c r="L10" t="s">
        <v>12177</v>
      </c>
      <c r="M10" t="s">
        <v>2239</v>
      </c>
    </row>
    <row r="11" spans="1:27">
      <c r="A11" t="s">
        <v>13263</v>
      </c>
      <c r="B11" t="s">
        <v>13080</v>
      </c>
      <c r="C11" t="s">
        <v>12984</v>
      </c>
      <c r="D11" t="s">
        <v>12984</v>
      </c>
      <c r="E11" t="s">
        <v>12984</v>
      </c>
      <c r="F11" t="s">
        <v>12984</v>
      </c>
      <c r="G11" t="s">
        <v>12984</v>
      </c>
      <c r="I11" t="s">
        <v>13256</v>
      </c>
      <c r="J11" t="s">
        <v>13263</v>
      </c>
      <c r="L11" t="s">
        <v>2306</v>
      </c>
      <c r="M11" t="s">
        <v>2241</v>
      </c>
    </row>
    <row r="12" spans="1:27">
      <c r="A12" t="s">
        <v>13264</v>
      </c>
      <c r="B12" t="s">
        <v>13081</v>
      </c>
      <c r="C12" t="s">
        <v>12984</v>
      </c>
      <c r="D12" t="s">
        <v>12984</v>
      </c>
      <c r="E12" t="s">
        <v>12984</v>
      </c>
      <c r="F12" t="s">
        <v>12984</v>
      </c>
      <c r="G12" t="s">
        <v>12984</v>
      </c>
      <c r="I12" t="s">
        <v>13256</v>
      </c>
      <c r="J12" t="s">
        <v>13264</v>
      </c>
      <c r="L12" t="s">
        <v>4628</v>
      </c>
      <c r="M12" t="s">
        <v>7849</v>
      </c>
    </row>
    <row r="13" spans="1:27">
      <c r="A13" t="s">
        <v>13265</v>
      </c>
      <c r="B13" t="s">
        <v>13082</v>
      </c>
      <c r="C13" t="s">
        <v>12984</v>
      </c>
      <c r="D13" t="s">
        <v>12984</v>
      </c>
      <c r="E13" t="s">
        <v>12984</v>
      </c>
      <c r="F13" t="s">
        <v>12984</v>
      </c>
      <c r="G13" t="s">
        <v>12984</v>
      </c>
      <c r="I13" t="s">
        <v>13256</v>
      </c>
      <c r="J13" t="s">
        <v>13265</v>
      </c>
      <c r="L13" t="s">
        <v>8031</v>
      </c>
      <c r="M13" t="s">
        <v>2178</v>
      </c>
    </row>
    <row r="14" spans="1:27">
      <c r="A14" t="s">
        <v>13266</v>
      </c>
      <c r="B14" t="s">
        <v>13074</v>
      </c>
      <c r="C14" t="s">
        <v>12984</v>
      </c>
      <c r="D14" t="s">
        <v>12984</v>
      </c>
      <c r="E14" t="s">
        <v>12984</v>
      </c>
      <c r="F14" t="s">
        <v>12984</v>
      </c>
      <c r="G14" t="s">
        <v>12984</v>
      </c>
      <c r="I14" t="s">
        <v>13256</v>
      </c>
      <c r="J14" t="s">
        <v>13266</v>
      </c>
      <c r="L14" t="s">
        <v>2686</v>
      </c>
      <c r="M14" t="s">
        <v>2423</v>
      </c>
    </row>
    <row r="15" spans="1:27">
      <c r="A15" t="s">
        <v>13267</v>
      </c>
      <c r="B15" t="s">
        <v>13083</v>
      </c>
      <c r="C15" t="s">
        <v>12984</v>
      </c>
      <c r="D15" t="s">
        <v>12984</v>
      </c>
      <c r="E15" t="s">
        <v>12984</v>
      </c>
      <c r="F15" t="s">
        <v>12984</v>
      </c>
      <c r="G15" t="s">
        <v>12984</v>
      </c>
      <c r="I15" t="s">
        <v>11538</v>
      </c>
      <c r="J15" t="s">
        <v>13267</v>
      </c>
      <c r="L15" t="s">
        <v>275</v>
      </c>
      <c r="M15" t="s">
        <v>9985</v>
      </c>
    </row>
    <row r="16" spans="1:27">
      <c r="A16" t="s">
        <v>13268</v>
      </c>
      <c r="B16" t="s">
        <v>13084</v>
      </c>
      <c r="C16" t="s">
        <v>12984</v>
      </c>
      <c r="D16" t="s">
        <v>12984</v>
      </c>
      <c r="E16" t="s">
        <v>12984</v>
      </c>
      <c r="F16" t="s">
        <v>12984</v>
      </c>
      <c r="G16" t="s">
        <v>12984</v>
      </c>
      <c r="I16" t="s">
        <v>6416</v>
      </c>
      <c r="J16" t="s">
        <v>13268</v>
      </c>
      <c r="L16" t="s">
        <v>275</v>
      </c>
      <c r="M16" t="s">
        <v>4290</v>
      </c>
    </row>
    <row r="17" spans="1:13">
      <c r="A17" t="s">
        <v>11543</v>
      </c>
      <c r="B17" t="s">
        <v>13085</v>
      </c>
      <c r="C17" t="s">
        <v>12984</v>
      </c>
      <c r="D17" t="s">
        <v>12984</v>
      </c>
      <c r="E17" t="s">
        <v>12984</v>
      </c>
      <c r="F17" t="s">
        <v>12984</v>
      </c>
      <c r="G17" t="s">
        <v>12984</v>
      </c>
      <c r="I17" t="s">
        <v>10341</v>
      </c>
      <c r="J17" t="s">
        <v>13269</v>
      </c>
      <c r="L17" t="s">
        <v>275</v>
      </c>
      <c r="M17" t="s">
        <v>2640</v>
      </c>
    </row>
    <row r="18" spans="1:13">
      <c r="A18" t="s">
        <v>11544</v>
      </c>
      <c r="B18" t="s">
        <v>13086</v>
      </c>
      <c r="C18" t="s">
        <v>12984</v>
      </c>
      <c r="D18" t="s">
        <v>12984</v>
      </c>
      <c r="E18" t="s">
        <v>12984</v>
      </c>
      <c r="F18" t="s">
        <v>12984</v>
      </c>
      <c r="G18" t="s">
        <v>12984</v>
      </c>
      <c r="I18" t="s">
        <v>10388</v>
      </c>
      <c r="J18" t="s">
        <v>13270</v>
      </c>
      <c r="L18" t="s">
        <v>275</v>
      </c>
      <c r="M18" t="s">
        <v>5826</v>
      </c>
    </row>
    <row r="19" spans="1:13">
      <c r="A19" t="s">
        <v>13269</v>
      </c>
      <c r="B19" t="s">
        <v>13089</v>
      </c>
      <c r="C19" t="s">
        <v>12984</v>
      </c>
      <c r="D19" t="s">
        <v>12984</v>
      </c>
      <c r="E19" t="s">
        <v>12984</v>
      </c>
      <c r="F19" t="s">
        <v>12984</v>
      </c>
      <c r="G19" t="s">
        <v>12984</v>
      </c>
      <c r="I19" t="s">
        <v>2995</v>
      </c>
      <c r="J19" t="s">
        <v>13277</v>
      </c>
      <c r="L19" t="s">
        <v>275</v>
      </c>
      <c r="M19" t="s">
        <v>9990</v>
      </c>
    </row>
    <row r="20" spans="1:13">
      <c r="A20" t="s">
        <v>13270</v>
      </c>
      <c r="B20" t="s">
        <v>13090</v>
      </c>
      <c r="C20" t="s">
        <v>12984</v>
      </c>
      <c r="D20" t="s">
        <v>12984</v>
      </c>
      <c r="E20" t="s">
        <v>12984</v>
      </c>
      <c r="F20" t="s">
        <v>12984</v>
      </c>
      <c r="G20" t="s">
        <v>12984</v>
      </c>
      <c r="I20" t="s">
        <v>2433</v>
      </c>
      <c r="J20" t="s">
        <v>13278</v>
      </c>
      <c r="L20" t="s">
        <v>275</v>
      </c>
      <c r="M20" t="s">
        <v>1621</v>
      </c>
    </row>
    <row r="21" spans="1:13">
      <c r="A21" t="s">
        <v>13277</v>
      </c>
      <c r="B21" t="s">
        <v>13093</v>
      </c>
      <c r="C21" t="s">
        <v>12984</v>
      </c>
      <c r="D21" t="s">
        <v>12984</v>
      </c>
      <c r="E21" t="s">
        <v>12984</v>
      </c>
      <c r="F21" t="s">
        <v>12984</v>
      </c>
      <c r="G21" t="s">
        <v>12984</v>
      </c>
      <c r="I21" t="s">
        <v>13278</v>
      </c>
      <c r="J21" t="s">
        <v>13279</v>
      </c>
      <c r="L21" t="s">
        <v>275</v>
      </c>
      <c r="M21" t="s">
        <v>2700</v>
      </c>
    </row>
    <row r="22" spans="1:13">
      <c r="A22" t="s">
        <v>13278</v>
      </c>
      <c r="B22" t="s">
        <v>13094</v>
      </c>
      <c r="C22" t="s">
        <v>12984</v>
      </c>
      <c r="D22" t="s">
        <v>12984</v>
      </c>
      <c r="E22" t="s">
        <v>12984</v>
      </c>
      <c r="F22" t="s">
        <v>12984</v>
      </c>
      <c r="G22" t="s">
        <v>12984</v>
      </c>
      <c r="I22" t="s">
        <v>2682</v>
      </c>
      <c r="J22" t="s">
        <v>13280</v>
      </c>
      <c r="L22" t="s">
        <v>275</v>
      </c>
      <c r="M22" t="s">
        <v>13240</v>
      </c>
    </row>
    <row r="23" spans="1:13">
      <c r="A23" t="s">
        <v>13279</v>
      </c>
      <c r="B23" t="s">
        <v>13095</v>
      </c>
      <c r="C23" t="s">
        <v>12984</v>
      </c>
      <c r="D23" t="s">
        <v>12984</v>
      </c>
      <c r="E23" t="s">
        <v>12984</v>
      </c>
      <c r="F23" t="s">
        <v>12984</v>
      </c>
      <c r="G23" t="s">
        <v>12984</v>
      </c>
      <c r="I23" t="s">
        <v>8765</v>
      </c>
      <c r="J23" t="s">
        <v>13281</v>
      </c>
      <c r="L23" t="s">
        <v>275</v>
      </c>
      <c r="M23" t="s">
        <v>13241</v>
      </c>
    </row>
    <row r="24" spans="1:13">
      <c r="A24" t="s">
        <v>13280</v>
      </c>
      <c r="B24" t="s">
        <v>13096</v>
      </c>
      <c r="C24" t="s">
        <v>12984</v>
      </c>
      <c r="D24" t="s">
        <v>12984</v>
      </c>
      <c r="E24" t="s">
        <v>12984</v>
      </c>
      <c r="F24" t="s">
        <v>12984</v>
      </c>
      <c r="G24" t="s">
        <v>12984</v>
      </c>
      <c r="I24" t="s">
        <v>8765</v>
      </c>
      <c r="J24" t="s">
        <v>13282</v>
      </c>
      <c r="L24" t="s">
        <v>275</v>
      </c>
      <c r="M24" t="s">
        <v>13242</v>
      </c>
    </row>
    <row r="25" spans="1:13">
      <c r="A25" t="s">
        <v>13281</v>
      </c>
      <c r="B25" t="s">
        <v>13097</v>
      </c>
      <c r="C25" t="s">
        <v>12984</v>
      </c>
      <c r="D25" t="s">
        <v>12984</v>
      </c>
      <c r="E25" t="s">
        <v>12984</v>
      </c>
      <c r="F25" t="s">
        <v>12984</v>
      </c>
      <c r="G25" t="s">
        <v>12984</v>
      </c>
      <c r="I25" t="s">
        <v>8765</v>
      </c>
      <c r="J25" t="s">
        <v>13283</v>
      </c>
      <c r="L25" t="s">
        <v>275</v>
      </c>
      <c r="M25" t="s">
        <v>2702</v>
      </c>
    </row>
    <row r="26" spans="1:13">
      <c r="A26" t="s">
        <v>13282</v>
      </c>
      <c r="B26" t="s">
        <v>13098</v>
      </c>
      <c r="C26" t="s">
        <v>12984</v>
      </c>
      <c r="D26" t="s">
        <v>12984</v>
      </c>
      <c r="E26" t="s">
        <v>12984</v>
      </c>
      <c r="F26" t="s">
        <v>12984</v>
      </c>
      <c r="G26" t="s">
        <v>12984</v>
      </c>
      <c r="I26" t="s">
        <v>8765</v>
      </c>
      <c r="J26" t="s">
        <v>13284</v>
      </c>
      <c r="L26" t="s">
        <v>275</v>
      </c>
      <c r="M26" t="s">
        <v>2704</v>
      </c>
    </row>
    <row r="27" spans="1:13">
      <c r="A27" t="s">
        <v>13283</v>
      </c>
      <c r="B27" t="s">
        <v>13099</v>
      </c>
      <c r="C27" t="s">
        <v>12984</v>
      </c>
      <c r="D27" t="s">
        <v>12984</v>
      </c>
      <c r="E27" t="s">
        <v>12984</v>
      </c>
      <c r="F27" t="s">
        <v>12984</v>
      </c>
      <c r="G27" t="s">
        <v>12984</v>
      </c>
      <c r="I27" t="s">
        <v>8765</v>
      </c>
      <c r="J27" t="s">
        <v>13285</v>
      </c>
      <c r="L27" t="s">
        <v>275</v>
      </c>
      <c r="M27" t="s">
        <v>2706</v>
      </c>
    </row>
    <row r="28" spans="1:13">
      <c r="A28" t="s">
        <v>13284</v>
      </c>
      <c r="B28" t="s">
        <v>13100</v>
      </c>
      <c r="C28" t="s">
        <v>12984</v>
      </c>
      <c r="D28" t="s">
        <v>12984</v>
      </c>
      <c r="E28" t="s">
        <v>12984</v>
      </c>
      <c r="F28" t="s">
        <v>12984</v>
      </c>
      <c r="G28" t="s">
        <v>12984</v>
      </c>
      <c r="I28" t="s">
        <v>8765</v>
      </c>
      <c r="J28" t="s">
        <v>13286</v>
      </c>
      <c r="L28" t="s">
        <v>275</v>
      </c>
      <c r="M28" t="s">
        <v>2472</v>
      </c>
    </row>
    <row r="29" spans="1:13">
      <c r="A29" t="s">
        <v>13285</v>
      </c>
      <c r="B29" t="s">
        <v>13101</v>
      </c>
      <c r="C29" t="s">
        <v>12984</v>
      </c>
      <c r="D29" t="s">
        <v>12984</v>
      </c>
      <c r="E29" t="s">
        <v>12984</v>
      </c>
      <c r="F29" t="s">
        <v>12984</v>
      </c>
      <c r="G29" t="s">
        <v>12984</v>
      </c>
      <c r="I29" t="s">
        <v>8765</v>
      </c>
      <c r="J29" t="s">
        <v>13287</v>
      </c>
      <c r="L29" t="s">
        <v>275</v>
      </c>
      <c r="M29" t="s">
        <v>2494</v>
      </c>
    </row>
    <row r="30" spans="1:13">
      <c r="A30" t="s">
        <v>13286</v>
      </c>
      <c r="B30" t="s">
        <v>13102</v>
      </c>
      <c r="C30" t="s">
        <v>12984</v>
      </c>
      <c r="D30" t="s">
        <v>12984</v>
      </c>
      <c r="E30" t="s">
        <v>12984</v>
      </c>
      <c r="F30" t="s">
        <v>12984</v>
      </c>
      <c r="G30" t="s">
        <v>12984</v>
      </c>
      <c r="I30" t="s">
        <v>9059</v>
      </c>
      <c r="J30" t="s">
        <v>13271</v>
      </c>
      <c r="L30" t="s">
        <v>275</v>
      </c>
      <c r="M30" t="s">
        <v>2496</v>
      </c>
    </row>
    <row r="31" spans="1:13">
      <c r="A31" t="s">
        <v>13287</v>
      </c>
      <c r="B31" t="s">
        <v>13103</v>
      </c>
      <c r="C31" t="s">
        <v>12984</v>
      </c>
      <c r="D31" t="s">
        <v>12984</v>
      </c>
      <c r="E31" t="s">
        <v>12984</v>
      </c>
      <c r="F31" t="s">
        <v>12984</v>
      </c>
      <c r="G31" t="s">
        <v>12984</v>
      </c>
      <c r="L31" t="s">
        <v>275</v>
      </c>
      <c r="M31" t="s">
        <v>13243</v>
      </c>
    </row>
    <row r="32" spans="1:13">
      <c r="A32" t="s">
        <v>2684</v>
      </c>
      <c r="B32" t="s">
        <v>13104</v>
      </c>
      <c r="C32" t="s">
        <v>12984</v>
      </c>
      <c r="D32" t="s">
        <v>12984</v>
      </c>
      <c r="E32" t="s">
        <v>12984</v>
      </c>
      <c r="F32" t="s">
        <v>12984</v>
      </c>
      <c r="G32" t="s">
        <v>12984</v>
      </c>
      <c r="L32" t="s">
        <v>275</v>
      </c>
      <c r="M32" t="s">
        <v>2500</v>
      </c>
    </row>
    <row r="33" spans="1:13">
      <c r="A33" t="s">
        <v>4638</v>
      </c>
      <c r="B33" t="s">
        <v>13105</v>
      </c>
      <c r="C33" t="s">
        <v>12984</v>
      </c>
      <c r="D33" t="s">
        <v>12984</v>
      </c>
      <c r="E33" t="s">
        <v>12984</v>
      </c>
      <c r="F33" t="s">
        <v>12984</v>
      </c>
      <c r="G33" t="s">
        <v>12984</v>
      </c>
      <c r="L33" t="s">
        <v>275</v>
      </c>
      <c r="M33" t="s">
        <v>2709</v>
      </c>
    </row>
    <row r="34" spans="1:13">
      <c r="A34" t="s">
        <v>4661</v>
      </c>
      <c r="B34" t="s">
        <v>13106</v>
      </c>
      <c r="C34" t="s">
        <v>12984</v>
      </c>
      <c r="D34" t="s">
        <v>12984</v>
      </c>
      <c r="E34" t="s">
        <v>12984</v>
      </c>
      <c r="F34" t="s">
        <v>12984</v>
      </c>
      <c r="G34" t="s">
        <v>12984</v>
      </c>
      <c r="L34" t="s">
        <v>275</v>
      </c>
      <c r="M34" t="s">
        <v>13244</v>
      </c>
    </row>
    <row r="35" spans="1:13">
      <c r="A35" t="s">
        <v>4663</v>
      </c>
      <c r="B35" t="s">
        <v>13107</v>
      </c>
      <c r="C35" t="s">
        <v>12984</v>
      </c>
      <c r="D35" t="s">
        <v>12984</v>
      </c>
      <c r="E35" t="s">
        <v>12984</v>
      </c>
      <c r="F35" t="s">
        <v>12984</v>
      </c>
      <c r="G35" t="s">
        <v>12984</v>
      </c>
      <c r="L35" t="s">
        <v>275</v>
      </c>
      <c r="M35" t="s">
        <v>13245</v>
      </c>
    </row>
    <row r="36" spans="1:13">
      <c r="A36" t="s">
        <v>8796</v>
      </c>
      <c r="B36" t="s">
        <v>13108</v>
      </c>
      <c r="C36" t="s">
        <v>12984</v>
      </c>
      <c r="D36" t="s">
        <v>12984</v>
      </c>
      <c r="E36" t="s">
        <v>12984</v>
      </c>
      <c r="F36" t="s">
        <v>12984</v>
      </c>
      <c r="G36" t="s">
        <v>12984</v>
      </c>
      <c r="L36" t="s">
        <v>275</v>
      </c>
      <c r="M36" t="s">
        <v>13246</v>
      </c>
    </row>
    <row r="37" spans="1:13">
      <c r="A37" t="s">
        <v>8896</v>
      </c>
      <c r="B37" t="s">
        <v>13109</v>
      </c>
      <c r="C37" t="s">
        <v>12984</v>
      </c>
      <c r="D37" t="s">
        <v>12984</v>
      </c>
      <c r="E37" t="s">
        <v>12984</v>
      </c>
      <c r="F37" t="s">
        <v>12984</v>
      </c>
      <c r="G37" t="s">
        <v>12984</v>
      </c>
      <c r="L37" t="s">
        <v>275</v>
      </c>
      <c r="M37" t="s">
        <v>2711</v>
      </c>
    </row>
    <row r="38" spans="1:13">
      <c r="A38" t="s">
        <v>8909</v>
      </c>
      <c r="B38" t="s">
        <v>13110</v>
      </c>
      <c r="C38" t="s">
        <v>12984</v>
      </c>
      <c r="D38" t="s">
        <v>12984</v>
      </c>
      <c r="E38" t="s">
        <v>12984</v>
      </c>
      <c r="F38" t="s">
        <v>12984</v>
      </c>
      <c r="G38" t="s">
        <v>12984</v>
      </c>
      <c r="L38" t="s">
        <v>275</v>
      </c>
      <c r="M38" t="s">
        <v>2713</v>
      </c>
    </row>
    <row r="39" spans="1:13">
      <c r="A39" t="s">
        <v>4640</v>
      </c>
      <c r="B39" t="s">
        <v>13111</v>
      </c>
      <c r="C39" t="s">
        <v>12984</v>
      </c>
      <c r="D39" t="s">
        <v>12984</v>
      </c>
      <c r="E39" t="s">
        <v>12984</v>
      </c>
      <c r="F39" t="s">
        <v>12984</v>
      </c>
      <c r="G39" t="s">
        <v>12984</v>
      </c>
      <c r="L39" t="s">
        <v>275</v>
      </c>
      <c r="M39" t="s">
        <v>2715</v>
      </c>
    </row>
    <row r="40" spans="1:13">
      <c r="A40" t="s">
        <v>4657</v>
      </c>
      <c r="B40" t="s">
        <v>13112</v>
      </c>
      <c r="C40" t="s">
        <v>12984</v>
      </c>
      <c r="D40" t="s">
        <v>12984</v>
      </c>
      <c r="E40" t="s">
        <v>12984</v>
      </c>
      <c r="F40" t="s">
        <v>12984</v>
      </c>
      <c r="G40" t="s">
        <v>12984</v>
      </c>
      <c r="L40" t="s">
        <v>275</v>
      </c>
      <c r="M40" t="s">
        <v>2717</v>
      </c>
    </row>
    <row r="41" spans="1:13">
      <c r="A41" t="s">
        <v>4659</v>
      </c>
      <c r="B41" t="s">
        <v>13113</v>
      </c>
      <c r="C41" t="s">
        <v>12984</v>
      </c>
      <c r="D41" t="s">
        <v>12984</v>
      </c>
      <c r="E41" t="s">
        <v>12984</v>
      </c>
      <c r="F41" t="s">
        <v>12984</v>
      </c>
      <c r="G41" t="s">
        <v>12984</v>
      </c>
      <c r="L41" t="s">
        <v>275</v>
      </c>
      <c r="M41" t="s">
        <v>2498</v>
      </c>
    </row>
    <row r="42" spans="1:13">
      <c r="A42" t="s">
        <v>5920</v>
      </c>
      <c r="B42" t="s">
        <v>13114</v>
      </c>
      <c r="C42" t="s">
        <v>12984</v>
      </c>
      <c r="D42" t="s">
        <v>12984</v>
      </c>
      <c r="E42" t="s">
        <v>12984</v>
      </c>
      <c r="F42" t="s">
        <v>12984</v>
      </c>
      <c r="G42" t="s">
        <v>12984</v>
      </c>
      <c r="L42" t="s">
        <v>275</v>
      </c>
      <c r="M42" t="s">
        <v>2511</v>
      </c>
    </row>
    <row r="43" spans="1:13">
      <c r="A43" t="s">
        <v>8897</v>
      </c>
      <c r="B43" t="s">
        <v>13115</v>
      </c>
      <c r="C43" t="s">
        <v>12984</v>
      </c>
      <c r="D43" t="s">
        <v>12984</v>
      </c>
      <c r="E43" t="s">
        <v>12984</v>
      </c>
      <c r="F43" t="s">
        <v>12984</v>
      </c>
      <c r="G43" t="s">
        <v>12984</v>
      </c>
      <c r="L43" t="s">
        <v>275</v>
      </c>
      <c r="M43" t="s">
        <v>13247</v>
      </c>
    </row>
    <row r="44" spans="1:13">
      <c r="A44" t="s">
        <v>8910</v>
      </c>
      <c r="B44" t="s">
        <v>13116</v>
      </c>
      <c r="C44" t="s">
        <v>12984</v>
      </c>
      <c r="D44" t="s">
        <v>12984</v>
      </c>
      <c r="E44" t="s">
        <v>12984</v>
      </c>
      <c r="F44" t="s">
        <v>12984</v>
      </c>
      <c r="G44" t="s">
        <v>12984</v>
      </c>
      <c r="L44" t="s">
        <v>275</v>
      </c>
      <c r="M44" t="s">
        <v>9994</v>
      </c>
    </row>
    <row r="45" spans="1:13">
      <c r="A45" t="s">
        <v>4642</v>
      </c>
      <c r="B45" t="s">
        <v>13117</v>
      </c>
      <c r="C45" t="s">
        <v>12984</v>
      </c>
      <c r="D45" t="s">
        <v>12984</v>
      </c>
      <c r="E45" t="s">
        <v>12984</v>
      </c>
      <c r="F45" t="s">
        <v>12984</v>
      </c>
      <c r="G45" t="s">
        <v>12984</v>
      </c>
      <c r="L45" t="s">
        <v>275</v>
      </c>
      <c r="M45" t="s">
        <v>9999</v>
      </c>
    </row>
    <row r="46" spans="1:13">
      <c r="A46" t="s">
        <v>4665</v>
      </c>
      <c r="B46" t="s">
        <v>13118</v>
      </c>
      <c r="C46" t="s">
        <v>12984</v>
      </c>
      <c r="D46" t="s">
        <v>12984</v>
      </c>
      <c r="E46" t="s">
        <v>12984</v>
      </c>
      <c r="F46" t="s">
        <v>12984</v>
      </c>
      <c r="G46" t="s">
        <v>12984</v>
      </c>
      <c r="L46" t="s">
        <v>275</v>
      </c>
      <c r="M46" t="s">
        <v>10004</v>
      </c>
    </row>
    <row r="47" spans="1:13">
      <c r="A47" t="s">
        <v>4667</v>
      </c>
      <c r="B47" t="s">
        <v>13119</v>
      </c>
      <c r="C47" t="s">
        <v>12984</v>
      </c>
      <c r="D47" t="s">
        <v>12984</v>
      </c>
      <c r="E47" t="s">
        <v>12984</v>
      </c>
      <c r="F47" t="s">
        <v>12984</v>
      </c>
      <c r="G47" t="s">
        <v>12984</v>
      </c>
      <c r="L47" t="s">
        <v>275</v>
      </c>
      <c r="M47" t="s">
        <v>1633</v>
      </c>
    </row>
    <row r="48" spans="1:13">
      <c r="A48" t="s">
        <v>8799</v>
      </c>
      <c r="B48" t="s">
        <v>13120</v>
      </c>
      <c r="C48" t="s">
        <v>12984</v>
      </c>
      <c r="D48" t="s">
        <v>12984</v>
      </c>
      <c r="E48" t="s">
        <v>12984</v>
      </c>
      <c r="F48" t="s">
        <v>12984</v>
      </c>
      <c r="G48" t="s">
        <v>12984</v>
      </c>
      <c r="L48" t="s">
        <v>275</v>
      </c>
      <c r="M48" t="s">
        <v>4926</v>
      </c>
    </row>
    <row r="49" spans="1:13">
      <c r="A49" t="s">
        <v>8898</v>
      </c>
      <c r="B49" t="s">
        <v>13121</v>
      </c>
      <c r="C49" t="s">
        <v>12984</v>
      </c>
      <c r="D49" t="s">
        <v>12984</v>
      </c>
      <c r="E49" t="s">
        <v>12984</v>
      </c>
      <c r="F49" t="s">
        <v>12984</v>
      </c>
      <c r="G49" t="s">
        <v>12984</v>
      </c>
      <c r="L49" t="s">
        <v>275</v>
      </c>
      <c r="M49" t="s">
        <v>10009</v>
      </c>
    </row>
    <row r="50" spans="1:13">
      <c r="A50" t="s">
        <v>8911</v>
      </c>
      <c r="B50" t="s">
        <v>13122</v>
      </c>
      <c r="C50" t="s">
        <v>12984</v>
      </c>
      <c r="D50" t="s">
        <v>12984</v>
      </c>
      <c r="E50" t="s">
        <v>12984</v>
      </c>
      <c r="F50" t="s">
        <v>12984</v>
      </c>
      <c r="G50" t="s">
        <v>12984</v>
      </c>
      <c r="L50" t="s">
        <v>275</v>
      </c>
      <c r="M50" t="s">
        <v>2205</v>
      </c>
    </row>
    <row r="51" spans="1:13">
      <c r="A51" t="s">
        <v>4644</v>
      </c>
      <c r="B51" t="s">
        <v>13123</v>
      </c>
      <c r="C51" t="s">
        <v>12984</v>
      </c>
      <c r="D51" t="s">
        <v>12984</v>
      </c>
      <c r="E51" t="s">
        <v>12984</v>
      </c>
      <c r="F51" t="s">
        <v>12984</v>
      </c>
      <c r="G51" t="s">
        <v>12984</v>
      </c>
      <c r="L51" t="s">
        <v>275</v>
      </c>
      <c r="M51" t="s">
        <v>2213</v>
      </c>
    </row>
    <row r="52" spans="1:13">
      <c r="A52" t="s">
        <v>4669</v>
      </c>
      <c r="B52" t="s">
        <v>13124</v>
      </c>
      <c r="C52" t="s">
        <v>12984</v>
      </c>
      <c r="D52" t="s">
        <v>12984</v>
      </c>
      <c r="E52" t="s">
        <v>12984</v>
      </c>
      <c r="F52" t="s">
        <v>12984</v>
      </c>
      <c r="G52" t="s">
        <v>12984</v>
      </c>
      <c r="L52" t="s">
        <v>275</v>
      </c>
      <c r="M52" t="s">
        <v>2215</v>
      </c>
    </row>
    <row r="53" spans="1:13">
      <c r="A53" t="s">
        <v>4671</v>
      </c>
      <c r="B53" t="s">
        <v>13125</v>
      </c>
      <c r="C53" t="s">
        <v>12984</v>
      </c>
      <c r="D53" t="s">
        <v>12984</v>
      </c>
      <c r="E53" t="s">
        <v>12984</v>
      </c>
      <c r="F53" t="s">
        <v>12984</v>
      </c>
      <c r="G53" t="s">
        <v>12984</v>
      </c>
      <c r="L53" t="s">
        <v>275</v>
      </c>
      <c r="M53" t="s">
        <v>13248</v>
      </c>
    </row>
    <row r="54" spans="1:13">
      <c r="A54" t="s">
        <v>8801</v>
      </c>
      <c r="B54" t="s">
        <v>13126</v>
      </c>
      <c r="C54" t="s">
        <v>12984</v>
      </c>
      <c r="D54" t="s">
        <v>12984</v>
      </c>
      <c r="E54" t="s">
        <v>12984</v>
      </c>
      <c r="F54" t="s">
        <v>12984</v>
      </c>
      <c r="G54" t="s">
        <v>12984</v>
      </c>
      <c r="L54" t="s">
        <v>275</v>
      </c>
      <c r="M54" t="s">
        <v>8869</v>
      </c>
    </row>
    <row r="55" spans="1:13">
      <c r="A55" t="s">
        <v>8899</v>
      </c>
      <c r="B55" t="s">
        <v>13127</v>
      </c>
      <c r="C55" t="s">
        <v>12984</v>
      </c>
      <c r="D55" t="s">
        <v>12984</v>
      </c>
      <c r="E55" t="s">
        <v>12984</v>
      </c>
      <c r="F55" t="s">
        <v>12984</v>
      </c>
      <c r="G55" t="s">
        <v>12984</v>
      </c>
      <c r="L55" t="s">
        <v>275</v>
      </c>
      <c r="M55" t="s">
        <v>10014</v>
      </c>
    </row>
    <row r="56" spans="1:13">
      <c r="A56" t="s">
        <v>8912</v>
      </c>
      <c r="B56" t="s">
        <v>13128</v>
      </c>
      <c r="C56" t="s">
        <v>12984</v>
      </c>
      <c r="D56" t="s">
        <v>12984</v>
      </c>
      <c r="E56" t="s">
        <v>12984</v>
      </c>
      <c r="F56" t="s">
        <v>12984</v>
      </c>
      <c r="G56" t="s">
        <v>12984</v>
      </c>
      <c r="L56" t="s">
        <v>275</v>
      </c>
      <c r="M56" t="s">
        <v>10019</v>
      </c>
    </row>
    <row r="57" spans="1:13">
      <c r="A57" t="s">
        <v>4646</v>
      </c>
      <c r="B57" t="s">
        <v>13129</v>
      </c>
      <c r="C57" t="s">
        <v>12984</v>
      </c>
      <c r="D57" t="s">
        <v>12984</v>
      </c>
      <c r="E57" t="s">
        <v>12984</v>
      </c>
      <c r="F57" t="s">
        <v>12984</v>
      </c>
      <c r="G57" t="s">
        <v>12984</v>
      </c>
      <c r="L57" t="s">
        <v>275</v>
      </c>
      <c r="M57" t="s">
        <v>2319</v>
      </c>
    </row>
    <row r="58" spans="1:13">
      <c r="A58" t="s">
        <v>4673</v>
      </c>
      <c r="B58" t="s">
        <v>13130</v>
      </c>
      <c r="C58" t="s">
        <v>12984</v>
      </c>
      <c r="D58" t="s">
        <v>12984</v>
      </c>
      <c r="E58" t="s">
        <v>12984</v>
      </c>
      <c r="F58" t="s">
        <v>12984</v>
      </c>
      <c r="G58" t="s">
        <v>12984</v>
      </c>
      <c r="L58" t="s">
        <v>275</v>
      </c>
      <c r="M58" t="s">
        <v>2317</v>
      </c>
    </row>
    <row r="59" spans="1:13">
      <c r="A59" t="s">
        <v>4675</v>
      </c>
      <c r="B59" t="s">
        <v>13131</v>
      </c>
      <c r="C59" t="s">
        <v>12984</v>
      </c>
      <c r="D59" t="s">
        <v>12984</v>
      </c>
      <c r="E59" t="s">
        <v>12984</v>
      </c>
      <c r="F59" t="s">
        <v>12984</v>
      </c>
      <c r="G59" t="s">
        <v>12984</v>
      </c>
      <c r="L59" t="s">
        <v>275</v>
      </c>
      <c r="M59" t="s">
        <v>13249</v>
      </c>
    </row>
    <row r="60" spans="1:13">
      <c r="A60" t="s">
        <v>8803</v>
      </c>
      <c r="B60" t="s">
        <v>13132</v>
      </c>
      <c r="C60" t="s">
        <v>12984</v>
      </c>
      <c r="D60" t="s">
        <v>12984</v>
      </c>
      <c r="E60" t="s">
        <v>12984</v>
      </c>
      <c r="F60" t="s">
        <v>12984</v>
      </c>
      <c r="G60" t="s">
        <v>12984</v>
      </c>
      <c r="L60" t="s">
        <v>275</v>
      </c>
      <c r="M60" t="s">
        <v>2166</v>
      </c>
    </row>
    <row r="61" spans="1:13">
      <c r="A61" t="s">
        <v>8900</v>
      </c>
      <c r="B61" t="s">
        <v>13133</v>
      </c>
      <c r="C61" t="s">
        <v>12984</v>
      </c>
      <c r="D61" t="s">
        <v>12984</v>
      </c>
      <c r="E61" t="s">
        <v>12984</v>
      </c>
      <c r="F61" t="s">
        <v>12984</v>
      </c>
      <c r="G61" t="s">
        <v>12984</v>
      </c>
      <c r="L61" t="s">
        <v>275</v>
      </c>
      <c r="M61" t="s">
        <v>8044</v>
      </c>
    </row>
    <row r="62" spans="1:13">
      <c r="A62" t="s">
        <v>8913</v>
      </c>
      <c r="B62" t="s">
        <v>13134</v>
      </c>
      <c r="C62" t="s">
        <v>12984</v>
      </c>
      <c r="D62" t="s">
        <v>12984</v>
      </c>
      <c r="E62" t="s">
        <v>12984</v>
      </c>
      <c r="F62" t="s">
        <v>12984</v>
      </c>
      <c r="G62" t="s">
        <v>12984</v>
      </c>
      <c r="L62" t="s">
        <v>275</v>
      </c>
      <c r="M62" t="s">
        <v>2230</v>
      </c>
    </row>
    <row r="63" spans="1:13">
      <c r="A63" t="s">
        <v>4648</v>
      </c>
      <c r="B63" t="s">
        <v>13135</v>
      </c>
      <c r="C63" t="s">
        <v>12984</v>
      </c>
      <c r="D63" t="s">
        <v>12984</v>
      </c>
      <c r="E63" t="s">
        <v>12984</v>
      </c>
      <c r="F63" t="s">
        <v>12984</v>
      </c>
      <c r="G63" t="s">
        <v>12984</v>
      </c>
      <c r="L63" t="s">
        <v>275</v>
      </c>
      <c r="M63" t="s">
        <v>2228</v>
      </c>
    </row>
    <row r="64" spans="1:13">
      <c r="A64" t="s">
        <v>4689</v>
      </c>
      <c r="B64" t="s">
        <v>13136</v>
      </c>
      <c r="C64" t="s">
        <v>12984</v>
      </c>
      <c r="D64" t="s">
        <v>12984</v>
      </c>
      <c r="E64" t="s">
        <v>12984</v>
      </c>
      <c r="F64" t="s">
        <v>12984</v>
      </c>
      <c r="G64" t="s">
        <v>12984</v>
      </c>
      <c r="L64" t="s">
        <v>275</v>
      </c>
      <c r="M64" t="s">
        <v>2224</v>
      </c>
    </row>
    <row r="65" spans="1:14">
      <c r="A65" t="s">
        <v>4691</v>
      </c>
      <c r="B65" t="s">
        <v>13137</v>
      </c>
      <c r="C65" t="s">
        <v>12984</v>
      </c>
      <c r="D65" t="s">
        <v>12984</v>
      </c>
      <c r="E65" t="s">
        <v>12984</v>
      </c>
      <c r="F65" t="s">
        <v>12984</v>
      </c>
      <c r="G65" t="s">
        <v>12984</v>
      </c>
      <c r="L65" t="s">
        <v>275</v>
      </c>
      <c r="M65" t="s">
        <v>13250</v>
      </c>
    </row>
    <row r="66" spans="1:14">
      <c r="A66" t="s">
        <v>4650</v>
      </c>
      <c r="B66" t="s">
        <v>13138</v>
      </c>
      <c r="C66" t="s">
        <v>12984</v>
      </c>
      <c r="D66" t="s">
        <v>12984</v>
      </c>
      <c r="E66" t="s">
        <v>12984</v>
      </c>
      <c r="F66" t="s">
        <v>12984</v>
      </c>
      <c r="G66" t="s">
        <v>12984</v>
      </c>
      <c r="L66" t="s">
        <v>275</v>
      </c>
      <c r="M66" t="s">
        <v>13251</v>
      </c>
    </row>
    <row r="67" spans="1:14">
      <c r="A67" t="s">
        <v>4677</v>
      </c>
      <c r="B67" t="s">
        <v>13139</v>
      </c>
      <c r="C67" t="s">
        <v>12984</v>
      </c>
      <c r="D67" t="s">
        <v>12984</v>
      </c>
      <c r="E67" t="s">
        <v>12984</v>
      </c>
      <c r="F67" t="s">
        <v>12984</v>
      </c>
      <c r="G67" t="s">
        <v>12984</v>
      </c>
      <c r="L67" t="s">
        <v>275</v>
      </c>
      <c r="M67" t="s">
        <v>2088</v>
      </c>
    </row>
    <row r="68" spans="1:14">
      <c r="A68" t="s">
        <v>4679</v>
      </c>
      <c r="B68" t="s">
        <v>13140</v>
      </c>
      <c r="C68" t="s">
        <v>12984</v>
      </c>
      <c r="D68" t="s">
        <v>12984</v>
      </c>
      <c r="E68" t="s">
        <v>12984</v>
      </c>
      <c r="F68" t="s">
        <v>12984</v>
      </c>
      <c r="G68" t="s">
        <v>12984</v>
      </c>
      <c r="L68" t="s">
        <v>275</v>
      </c>
      <c r="M68" t="s">
        <v>2086</v>
      </c>
    </row>
    <row r="69" spans="1:14">
      <c r="A69" t="s">
        <v>8804</v>
      </c>
      <c r="B69" t="s">
        <v>13141</v>
      </c>
      <c r="C69" t="s">
        <v>12984</v>
      </c>
      <c r="D69" t="s">
        <v>12984</v>
      </c>
      <c r="E69" t="s">
        <v>12984</v>
      </c>
      <c r="F69" t="s">
        <v>12984</v>
      </c>
      <c r="G69" t="s">
        <v>12984</v>
      </c>
      <c r="L69" t="s">
        <v>275</v>
      </c>
      <c r="M69" t="s">
        <v>13251</v>
      </c>
    </row>
    <row r="70" spans="1:14">
      <c r="A70" t="s">
        <v>8901</v>
      </c>
      <c r="B70" t="s">
        <v>13142</v>
      </c>
      <c r="C70" t="s">
        <v>12984</v>
      </c>
      <c r="D70" t="s">
        <v>12984</v>
      </c>
      <c r="E70" t="s">
        <v>12984</v>
      </c>
      <c r="F70" t="s">
        <v>12984</v>
      </c>
      <c r="G70" t="s">
        <v>12984</v>
      </c>
      <c r="L70" t="s">
        <v>275</v>
      </c>
      <c r="M70" t="s">
        <v>4575</v>
      </c>
    </row>
    <row r="71" spans="1:14">
      <c r="A71" t="s">
        <v>8914</v>
      </c>
      <c r="B71" t="s">
        <v>13143</v>
      </c>
      <c r="C71" t="s">
        <v>12984</v>
      </c>
      <c r="D71" t="s">
        <v>12984</v>
      </c>
      <c r="E71" t="s">
        <v>12984</v>
      </c>
      <c r="F71" t="s">
        <v>12984</v>
      </c>
      <c r="G71" t="s">
        <v>12984</v>
      </c>
      <c r="L71" t="s">
        <v>275</v>
      </c>
      <c r="M71" t="s">
        <v>3016</v>
      </c>
    </row>
    <row r="72" spans="1:14">
      <c r="A72" t="s">
        <v>4652</v>
      </c>
      <c r="B72" t="s">
        <v>13144</v>
      </c>
      <c r="C72" t="s">
        <v>12984</v>
      </c>
      <c r="D72" t="s">
        <v>12984</v>
      </c>
      <c r="E72" t="s">
        <v>12984</v>
      </c>
      <c r="F72" t="s">
        <v>12984</v>
      </c>
      <c r="G72" t="s">
        <v>12984</v>
      </c>
      <c r="L72" t="s">
        <v>275</v>
      </c>
      <c r="M72" t="s">
        <v>2098</v>
      </c>
    </row>
    <row r="73" spans="1:14">
      <c r="A73" t="s">
        <v>4681</v>
      </c>
      <c r="B73" t="s">
        <v>13145</v>
      </c>
      <c r="C73" t="s">
        <v>12984</v>
      </c>
      <c r="D73" t="s">
        <v>12984</v>
      </c>
      <c r="E73" t="s">
        <v>12984</v>
      </c>
      <c r="F73" t="s">
        <v>12984</v>
      </c>
      <c r="G73" t="s">
        <v>12984</v>
      </c>
      <c r="L73" t="s">
        <v>275</v>
      </c>
      <c r="M73" t="s">
        <v>2162</v>
      </c>
    </row>
    <row r="74" spans="1:14">
      <c r="A74" t="s">
        <v>4683</v>
      </c>
      <c r="B74" t="s">
        <v>13146</v>
      </c>
      <c r="C74" t="s">
        <v>12984</v>
      </c>
      <c r="D74" t="s">
        <v>12984</v>
      </c>
      <c r="E74" t="s">
        <v>12984</v>
      </c>
      <c r="F74" t="s">
        <v>12984</v>
      </c>
      <c r="G74" t="s">
        <v>12984</v>
      </c>
      <c r="L74" t="s">
        <v>13271</v>
      </c>
      <c r="M74" t="s">
        <v>13272</v>
      </c>
    </row>
    <row r="75" spans="1:14">
      <c r="A75" t="s">
        <v>8806</v>
      </c>
      <c r="B75" t="s">
        <v>13147</v>
      </c>
      <c r="C75" t="s">
        <v>12984</v>
      </c>
      <c r="D75" t="s">
        <v>12984</v>
      </c>
      <c r="E75" t="s">
        <v>12984</v>
      </c>
      <c r="F75" t="s">
        <v>12984</v>
      </c>
      <c r="G75" t="s">
        <v>12984</v>
      </c>
      <c r="L75" t="s">
        <v>13271</v>
      </c>
      <c r="M75" t="s">
        <v>13273</v>
      </c>
    </row>
    <row r="76" spans="1:14">
      <c r="A76" t="s">
        <v>8902</v>
      </c>
      <c r="B76" t="s">
        <v>13148</v>
      </c>
      <c r="C76" t="s">
        <v>12984</v>
      </c>
      <c r="D76" t="s">
        <v>12984</v>
      </c>
      <c r="E76" t="s">
        <v>12984</v>
      </c>
      <c r="F76" t="s">
        <v>12984</v>
      </c>
      <c r="G76" t="s">
        <v>12984</v>
      </c>
      <c r="L76" t="s">
        <v>13271</v>
      </c>
      <c r="M76" t="s">
        <v>13274</v>
      </c>
    </row>
    <row r="77" spans="1:14">
      <c r="A77" t="s">
        <v>8915</v>
      </c>
      <c r="B77" t="s">
        <v>13149</v>
      </c>
      <c r="C77" t="s">
        <v>12984</v>
      </c>
      <c r="D77" t="s">
        <v>12984</v>
      </c>
      <c r="E77" t="s">
        <v>12984</v>
      </c>
      <c r="F77" t="s">
        <v>12984</v>
      </c>
      <c r="G77" t="s">
        <v>12984</v>
      </c>
      <c r="L77" t="s">
        <v>13271</v>
      </c>
      <c r="M77" t="s">
        <v>13275</v>
      </c>
    </row>
    <row r="78" spans="1:14">
      <c r="A78" t="s">
        <v>4654</v>
      </c>
      <c r="B78" t="s">
        <v>13150</v>
      </c>
      <c r="C78" t="s">
        <v>12984</v>
      </c>
      <c r="D78" t="s">
        <v>12984</v>
      </c>
      <c r="E78" t="s">
        <v>12984</v>
      </c>
      <c r="F78" t="s">
        <v>12984</v>
      </c>
      <c r="G78" t="s">
        <v>12984</v>
      </c>
      <c r="L78" t="s">
        <v>13271</v>
      </c>
      <c r="M78" t="s">
        <v>13276</v>
      </c>
    </row>
    <row r="79" spans="1:14">
      <c r="A79" t="s">
        <v>4685</v>
      </c>
      <c r="B79" t="s">
        <v>13151</v>
      </c>
      <c r="C79" t="s">
        <v>12984</v>
      </c>
      <c r="D79" t="s">
        <v>12984</v>
      </c>
      <c r="E79" t="s">
        <v>12984</v>
      </c>
      <c r="F79" t="s">
        <v>12984</v>
      </c>
      <c r="G79" t="s">
        <v>12984</v>
      </c>
      <c r="N79" s="116"/>
    </row>
    <row r="80" spans="1:14">
      <c r="A80" t="s">
        <v>4687</v>
      </c>
      <c r="B80" t="s">
        <v>13152</v>
      </c>
      <c r="C80" t="s">
        <v>12984</v>
      </c>
      <c r="D80" t="s">
        <v>12984</v>
      </c>
      <c r="E80" t="s">
        <v>12984</v>
      </c>
      <c r="F80" t="s">
        <v>12984</v>
      </c>
      <c r="G80" t="s">
        <v>12984</v>
      </c>
      <c r="N80" s="115"/>
    </row>
    <row r="81" spans="1:14">
      <c r="A81" t="s">
        <v>8808</v>
      </c>
      <c r="B81" t="s">
        <v>13153</v>
      </c>
      <c r="C81" t="s">
        <v>12984</v>
      </c>
      <c r="D81" t="s">
        <v>12984</v>
      </c>
      <c r="E81" t="s">
        <v>12984</v>
      </c>
      <c r="F81" t="s">
        <v>12984</v>
      </c>
      <c r="G81" t="s">
        <v>12984</v>
      </c>
      <c r="N81" s="116"/>
    </row>
    <row r="82" spans="1:14">
      <c r="A82" t="s">
        <v>8903</v>
      </c>
      <c r="B82" t="s">
        <v>13154</v>
      </c>
      <c r="C82" t="s">
        <v>12984</v>
      </c>
      <c r="D82" t="s">
        <v>12984</v>
      </c>
      <c r="E82" t="s">
        <v>12984</v>
      </c>
      <c r="F82" t="s">
        <v>12984</v>
      </c>
      <c r="G82" t="s">
        <v>12984</v>
      </c>
    </row>
    <row r="83" spans="1:14">
      <c r="A83" t="s">
        <v>8916</v>
      </c>
      <c r="B83" t="s">
        <v>13155</v>
      </c>
      <c r="C83" t="s">
        <v>12984</v>
      </c>
      <c r="D83" t="s">
        <v>12984</v>
      </c>
      <c r="E83" t="s">
        <v>12984</v>
      </c>
      <c r="F83" t="s">
        <v>12984</v>
      </c>
      <c r="G83" t="s">
        <v>12984</v>
      </c>
    </row>
    <row r="84" spans="1:14">
      <c r="A84" t="s">
        <v>7797</v>
      </c>
      <c r="B84" t="s">
        <v>13156</v>
      </c>
      <c r="C84" t="s">
        <v>12984</v>
      </c>
      <c r="D84" t="s">
        <v>12984</v>
      </c>
      <c r="E84" t="s">
        <v>12984</v>
      </c>
      <c r="F84" t="s">
        <v>12984</v>
      </c>
      <c r="G84" t="s">
        <v>12984</v>
      </c>
    </row>
    <row r="85" spans="1:14">
      <c r="A85" t="s">
        <v>8904</v>
      </c>
      <c r="B85" t="s">
        <v>13157</v>
      </c>
      <c r="C85" t="s">
        <v>12984</v>
      </c>
      <c r="D85" t="s">
        <v>12984</v>
      </c>
      <c r="E85" t="s">
        <v>12984</v>
      </c>
      <c r="F85" t="s">
        <v>12984</v>
      </c>
      <c r="G85" t="s">
        <v>12984</v>
      </c>
    </row>
    <row r="86" spans="1:14">
      <c r="A86" t="s">
        <v>8917</v>
      </c>
      <c r="B86" t="s">
        <v>13158</v>
      </c>
      <c r="C86" t="s">
        <v>12984</v>
      </c>
      <c r="D86" t="s">
        <v>12984</v>
      </c>
      <c r="E86" t="s">
        <v>12984</v>
      </c>
      <c r="F86" t="s">
        <v>12984</v>
      </c>
      <c r="G86" t="s">
        <v>12984</v>
      </c>
    </row>
    <row r="87" spans="1:14">
      <c r="A87" t="s">
        <v>8920</v>
      </c>
      <c r="B87" t="s">
        <v>13159</v>
      </c>
      <c r="C87" t="s">
        <v>12984</v>
      </c>
      <c r="D87" t="s">
        <v>12984</v>
      </c>
      <c r="E87" t="s">
        <v>12984</v>
      </c>
      <c r="F87" t="s">
        <v>12984</v>
      </c>
      <c r="G87" t="s">
        <v>12984</v>
      </c>
    </row>
    <row r="88" spans="1:14">
      <c r="A88" t="s">
        <v>7806</v>
      </c>
      <c r="B88" t="s">
        <v>13160</v>
      </c>
      <c r="C88" t="s">
        <v>12984</v>
      </c>
      <c r="D88" t="s">
        <v>12984</v>
      </c>
      <c r="E88" t="s">
        <v>12984</v>
      </c>
      <c r="F88" t="s">
        <v>12984</v>
      </c>
      <c r="G88" t="s">
        <v>12984</v>
      </c>
    </row>
    <row r="89" spans="1:14">
      <c r="A89" t="s">
        <v>8905</v>
      </c>
      <c r="B89" t="s">
        <v>13161</v>
      </c>
      <c r="C89" t="s">
        <v>12984</v>
      </c>
      <c r="D89" t="s">
        <v>12984</v>
      </c>
      <c r="E89" t="s">
        <v>12984</v>
      </c>
      <c r="F89" t="s">
        <v>12984</v>
      </c>
      <c r="G89" t="s">
        <v>12984</v>
      </c>
    </row>
    <row r="90" spans="1:14">
      <c r="A90" t="s">
        <v>8918</v>
      </c>
      <c r="B90" t="s">
        <v>13162</v>
      </c>
      <c r="C90" t="s">
        <v>12984</v>
      </c>
      <c r="D90" t="s">
        <v>12984</v>
      </c>
      <c r="E90" t="s">
        <v>12984</v>
      </c>
      <c r="F90" t="s">
        <v>12984</v>
      </c>
      <c r="G90" t="s">
        <v>12984</v>
      </c>
    </row>
    <row r="91" spans="1:14">
      <c r="A91" t="s">
        <v>8919</v>
      </c>
      <c r="B91" t="s">
        <v>13163</v>
      </c>
      <c r="C91" t="s">
        <v>12984</v>
      </c>
      <c r="D91" t="s">
        <v>12984</v>
      </c>
      <c r="E91" t="s">
        <v>12984</v>
      </c>
      <c r="F91" t="s">
        <v>12984</v>
      </c>
      <c r="G91" t="s">
        <v>12984</v>
      </c>
    </row>
    <row r="92" spans="1:14">
      <c r="A92" t="s">
        <v>7807</v>
      </c>
      <c r="B92" t="s">
        <v>13164</v>
      </c>
      <c r="C92" t="s">
        <v>12984</v>
      </c>
      <c r="D92" t="s">
        <v>12984</v>
      </c>
      <c r="E92" t="s">
        <v>12984</v>
      </c>
      <c r="F92" t="s">
        <v>12984</v>
      </c>
      <c r="G92" t="s">
        <v>12984</v>
      </c>
    </row>
    <row r="93" spans="1:14">
      <c r="A93" t="s">
        <v>8906</v>
      </c>
      <c r="B93" t="s">
        <v>13165</v>
      </c>
      <c r="C93" t="s">
        <v>12984</v>
      </c>
      <c r="D93" t="s">
        <v>12984</v>
      </c>
      <c r="E93" t="s">
        <v>12984</v>
      </c>
      <c r="F93" t="s">
        <v>12984</v>
      </c>
      <c r="G93" t="s">
        <v>12984</v>
      </c>
    </row>
    <row r="94" spans="1:14">
      <c r="A94" t="s">
        <v>8907</v>
      </c>
      <c r="B94" t="s">
        <v>13166</v>
      </c>
      <c r="C94" t="s">
        <v>12984</v>
      </c>
      <c r="D94" t="s">
        <v>12984</v>
      </c>
      <c r="E94" t="s">
        <v>12984</v>
      </c>
      <c r="F94" t="s">
        <v>12984</v>
      </c>
      <c r="G94" t="s">
        <v>12984</v>
      </c>
    </row>
    <row r="95" spans="1:14">
      <c r="A95" t="s">
        <v>8908</v>
      </c>
      <c r="B95" t="s">
        <v>13167</v>
      </c>
      <c r="C95" t="s">
        <v>12984</v>
      </c>
      <c r="D95" t="s">
        <v>12984</v>
      </c>
      <c r="E95" t="s">
        <v>12984</v>
      </c>
      <c r="F95" t="s">
        <v>12984</v>
      </c>
      <c r="G95" t="s">
        <v>12984</v>
      </c>
    </row>
    <row r="96" spans="1:14">
      <c r="A96" t="s">
        <v>13168</v>
      </c>
      <c r="B96" t="s">
        <v>13169</v>
      </c>
      <c r="C96" t="s">
        <v>12984</v>
      </c>
      <c r="D96" t="s">
        <v>12984</v>
      </c>
      <c r="E96" t="s">
        <v>12984</v>
      </c>
      <c r="F96" t="s">
        <v>12984</v>
      </c>
      <c r="G96" t="s">
        <v>12984</v>
      </c>
    </row>
    <row r="97" spans="1:7">
      <c r="A97" t="s">
        <v>4722</v>
      </c>
      <c r="B97" t="s">
        <v>13170</v>
      </c>
      <c r="C97" t="s">
        <v>12984</v>
      </c>
      <c r="D97" t="s">
        <v>12984</v>
      </c>
      <c r="E97" t="s">
        <v>12984</v>
      </c>
      <c r="F97" t="s">
        <v>12984</v>
      </c>
      <c r="G97" t="s">
        <v>12984</v>
      </c>
    </row>
    <row r="98" spans="1:7">
      <c r="A98" t="s">
        <v>12171</v>
      </c>
      <c r="B98" t="s">
        <v>13171</v>
      </c>
      <c r="C98" t="s">
        <v>12984</v>
      </c>
      <c r="D98" t="s">
        <v>12984</v>
      </c>
      <c r="E98" t="s">
        <v>12984</v>
      </c>
      <c r="F98" t="s">
        <v>12984</v>
      </c>
      <c r="G98" t="s">
        <v>12984</v>
      </c>
    </row>
    <row r="99" spans="1:7">
      <c r="A99" t="s">
        <v>12172</v>
      </c>
      <c r="B99" t="s">
        <v>13172</v>
      </c>
      <c r="C99" t="s">
        <v>12984</v>
      </c>
      <c r="D99" t="s">
        <v>12984</v>
      </c>
      <c r="E99" t="s">
        <v>12984</v>
      </c>
      <c r="F99" t="s">
        <v>12984</v>
      </c>
      <c r="G99" t="s">
        <v>12984</v>
      </c>
    </row>
    <row r="100" spans="1:7">
      <c r="A100" t="s">
        <v>2192</v>
      </c>
      <c r="B100" t="s">
        <v>13173</v>
      </c>
      <c r="C100" t="s">
        <v>12984</v>
      </c>
      <c r="D100" t="s">
        <v>12984</v>
      </c>
      <c r="E100" t="s">
        <v>12984</v>
      </c>
      <c r="F100" t="s">
        <v>12984</v>
      </c>
      <c r="G100" t="s">
        <v>12984</v>
      </c>
    </row>
    <row r="101" spans="1:7">
      <c r="A101" t="s">
        <v>2544</v>
      </c>
      <c r="B101" t="s">
        <v>13174</v>
      </c>
      <c r="C101" t="s">
        <v>12984</v>
      </c>
      <c r="D101" t="s">
        <v>12984</v>
      </c>
      <c r="E101" t="s">
        <v>12984</v>
      </c>
      <c r="F101" t="s">
        <v>12984</v>
      </c>
      <c r="G101" t="s">
        <v>12984</v>
      </c>
    </row>
    <row r="102" spans="1:7">
      <c r="A102" t="s">
        <v>2542</v>
      </c>
      <c r="B102" t="s">
        <v>13175</v>
      </c>
      <c r="C102" t="s">
        <v>12984</v>
      </c>
      <c r="D102" t="s">
        <v>12984</v>
      </c>
      <c r="E102" t="s">
        <v>12984</v>
      </c>
      <c r="F102" t="s">
        <v>12984</v>
      </c>
      <c r="G102" t="s">
        <v>12984</v>
      </c>
    </row>
    <row r="103" spans="1:7">
      <c r="A103" t="s">
        <v>2545</v>
      </c>
      <c r="B103" t="s">
        <v>13176</v>
      </c>
      <c r="C103" t="s">
        <v>12984</v>
      </c>
      <c r="D103" t="s">
        <v>12984</v>
      </c>
      <c r="E103" t="s">
        <v>12984</v>
      </c>
      <c r="F103" t="s">
        <v>12984</v>
      </c>
      <c r="G103" t="s">
        <v>12984</v>
      </c>
    </row>
    <row r="104" spans="1:7">
      <c r="A104" t="s">
        <v>2547</v>
      </c>
      <c r="B104" t="s">
        <v>13177</v>
      </c>
      <c r="C104" t="s">
        <v>12984</v>
      </c>
      <c r="D104" t="s">
        <v>12984</v>
      </c>
      <c r="E104" t="s">
        <v>12984</v>
      </c>
      <c r="F104" t="s">
        <v>12984</v>
      </c>
      <c r="G104" t="s">
        <v>12984</v>
      </c>
    </row>
    <row r="105" spans="1:7">
      <c r="A105" t="s">
        <v>8876</v>
      </c>
      <c r="B105" t="s">
        <v>13178</v>
      </c>
      <c r="C105" t="s">
        <v>12984</v>
      </c>
      <c r="D105" t="s">
        <v>12984</v>
      </c>
      <c r="E105" t="s">
        <v>12984</v>
      </c>
      <c r="F105" t="s">
        <v>12984</v>
      </c>
      <c r="G105" t="s">
        <v>12984</v>
      </c>
    </row>
    <row r="106" spans="1:7">
      <c r="A106" t="s">
        <v>2190</v>
      </c>
      <c r="B106" t="s">
        <v>13179</v>
      </c>
      <c r="C106" t="s">
        <v>12984</v>
      </c>
      <c r="D106" t="s">
        <v>12984</v>
      </c>
      <c r="E106" t="s">
        <v>12984</v>
      </c>
      <c r="F106" t="s">
        <v>12984</v>
      </c>
      <c r="G106" t="s">
        <v>12984</v>
      </c>
    </row>
    <row r="107" spans="1:7">
      <c r="A107" t="s">
        <v>3189</v>
      </c>
      <c r="B107" t="s">
        <v>13180</v>
      </c>
      <c r="C107" t="s">
        <v>12984</v>
      </c>
      <c r="D107" t="s">
        <v>12984</v>
      </c>
      <c r="E107" t="s">
        <v>12984</v>
      </c>
      <c r="F107" t="s">
        <v>12984</v>
      </c>
      <c r="G107" t="s">
        <v>12984</v>
      </c>
    </row>
    <row r="108" spans="1:7">
      <c r="A108" t="s">
        <v>2193</v>
      </c>
      <c r="B108" t="s">
        <v>13181</v>
      </c>
      <c r="C108" t="s">
        <v>12984</v>
      </c>
      <c r="D108" t="s">
        <v>12984</v>
      </c>
      <c r="E108" t="s">
        <v>12984</v>
      </c>
      <c r="F108" t="s">
        <v>12984</v>
      </c>
      <c r="G108" t="s">
        <v>12984</v>
      </c>
    </row>
    <row r="109" spans="1:7">
      <c r="A109" t="s">
        <v>2197</v>
      </c>
      <c r="B109" t="s">
        <v>13182</v>
      </c>
      <c r="C109" t="s">
        <v>12984</v>
      </c>
      <c r="D109" t="s">
        <v>12984</v>
      </c>
      <c r="E109" t="s">
        <v>12984</v>
      </c>
      <c r="F109" t="s">
        <v>12984</v>
      </c>
      <c r="G109" t="s">
        <v>12984</v>
      </c>
    </row>
    <row r="110" spans="1:7">
      <c r="A110" t="s">
        <v>2195</v>
      </c>
      <c r="B110" t="s">
        <v>13183</v>
      </c>
      <c r="C110" t="s">
        <v>12984</v>
      </c>
      <c r="D110" t="s">
        <v>12984</v>
      </c>
      <c r="E110" t="s">
        <v>12984</v>
      </c>
      <c r="F110" t="s">
        <v>12984</v>
      </c>
      <c r="G110" t="s">
        <v>12984</v>
      </c>
    </row>
    <row r="111" spans="1:7">
      <c r="A111" t="s">
        <v>3190</v>
      </c>
      <c r="B111" t="s">
        <v>13184</v>
      </c>
      <c r="C111" t="s">
        <v>12984</v>
      </c>
      <c r="D111" t="s">
        <v>12984</v>
      </c>
      <c r="E111" t="s">
        <v>12984</v>
      </c>
      <c r="F111" t="s">
        <v>12984</v>
      </c>
      <c r="G111" t="s">
        <v>12984</v>
      </c>
    </row>
    <row r="112" spans="1:7">
      <c r="A112" t="s">
        <v>2199</v>
      </c>
      <c r="B112" t="s">
        <v>13185</v>
      </c>
      <c r="C112" t="s">
        <v>12984</v>
      </c>
      <c r="D112" t="s">
        <v>12984</v>
      </c>
      <c r="E112" t="s">
        <v>12984</v>
      </c>
      <c r="F112" t="s">
        <v>12984</v>
      </c>
      <c r="G112" t="s">
        <v>12984</v>
      </c>
    </row>
    <row r="113" spans="1:7">
      <c r="A113" t="s">
        <v>8875</v>
      </c>
      <c r="B113" t="s">
        <v>13186</v>
      </c>
      <c r="C113" t="s">
        <v>12984</v>
      </c>
      <c r="D113" t="s">
        <v>12984</v>
      </c>
      <c r="E113" t="s">
        <v>12984</v>
      </c>
      <c r="F113" t="s">
        <v>12984</v>
      </c>
      <c r="G113" t="s">
        <v>12984</v>
      </c>
    </row>
    <row r="114" spans="1:7">
      <c r="A114" t="s">
        <v>2201</v>
      </c>
      <c r="B114" t="s">
        <v>13187</v>
      </c>
      <c r="C114" t="s">
        <v>12984</v>
      </c>
      <c r="D114" t="s">
        <v>12984</v>
      </c>
      <c r="E114" t="s">
        <v>12984</v>
      </c>
      <c r="F114" t="s">
        <v>12984</v>
      </c>
      <c r="G114" t="s">
        <v>12984</v>
      </c>
    </row>
    <row r="115" spans="1:7">
      <c r="A115" t="s">
        <v>2203</v>
      </c>
      <c r="B115" t="s">
        <v>13188</v>
      </c>
      <c r="C115" t="s">
        <v>12984</v>
      </c>
      <c r="D115" t="s">
        <v>12984</v>
      </c>
      <c r="E115" t="s">
        <v>12984</v>
      </c>
      <c r="F115" t="s">
        <v>12984</v>
      </c>
      <c r="G115" t="s">
        <v>12984</v>
      </c>
    </row>
    <row r="116" spans="1:7">
      <c r="A116" t="s">
        <v>2207</v>
      </c>
      <c r="B116" t="s">
        <v>13189</v>
      </c>
      <c r="C116" t="s">
        <v>12984</v>
      </c>
      <c r="D116" t="s">
        <v>12984</v>
      </c>
      <c r="E116" t="s">
        <v>12984</v>
      </c>
      <c r="F116" t="s">
        <v>12984</v>
      </c>
      <c r="G116" t="s">
        <v>12984</v>
      </c>
    </row>
    <row r="117" spans="1:7">
      <c r="A117" t="s">
        <v>2209</v>
      </c>
      <c r="B117" t="s">
        <v>13190</v>
      </c>
      <c r="C117" t="s">
        <v>12984</v>
      </c>
      <c r="D117" t="s">
        <v>12984</v>
      </c>
      <c r="E117" t="s">
        <v>12984</v>
      </c>
      <c r="F117" t="s">
        <v>12984</v>
      </c>
      <c r="G117" t="s">
        <v>12984</v>
      </c>
    </row>
    <row r="118" spans="1:7">
      <c r="A118" t="s">
        <v>2211</v>
      </c>
      <c r="B118" t="s">
        <v>13191</v>
      </c>
      <c r="C118" t="s">
        <v>12984</v>
      </c>
      <c r="D118" t="s">
        <v>12984</v>
      </c>
      <c r="E118" t="s">
        <v>12984</v>
      </c>
      <c r="F118" t="s">
        <v>12984</v>
      </c>
      <c r="G118" t="s">
        <v>12984</v>
      </c>
    </row>
    <row r="119" spans="1:7">
      <c r="A119" t="s">
        <v>2217</v>
      </c>
      <c r="B119" t="s">
        <v>13192</v>
      </c>
      <c r="C119" t="s">
        <v>12984</v>
      </c>
      <c r="D119" t="s">
        <v>12984</v>
      </c>
      <c r="E119" t="s">
        <v>12984</v>
      </c>
      <c r="F119" t="s">
        <v>12984</v>
      </c>
      <c r="G119" t="s">
        <v>12984</v>
      </c>
    </row>
    <row r="120" spans="1:7">
      <c r="A120" t="s">
        <v>2219</v>
      </c>
      <c r="B120" t="s">
        <v>13193</v>
      </c>
      <c r="C120" t="s">
        <v>12984</v>
      </c>
      <c r="D120" t="s">
        <v>12984</v>
      </c>
      <c r="E120" t="s">
        <v>12984</v>
      </c>
      <c r="F120" t="s">
        <v>12984</v>
      </c>
      <c r="G120" t="s">
        <v>12984</v>
      </c>
    </row>
    <row r="121" spans="1:7">
      <c r="A121" t="s">
        <v>13194</v>
      </c>
      <c r="B121" t="s">
        <v>13195</v>
      </c>
      <c r="C121" t="s">
        <v>12984</v>
      </c>
      <c r="D121" t="s">
        <v>12984</v>
      </c>
      <c r="E121" t="s">
        <v>12984</v>
      </c>
      <c r="F121" t="s">
        <v>12984</v>
      </c>
      <c r="G121" t="s">
        <v>12984</v>
      </c>
    </row>
    <row r="122" spans="1:7">
      <c r="A122" t="s">
        <v>8863</v>
      </c>
      <c r="B122" t="s">
        <v>13196</v>
      </c>
      <c r="C122" t="s">
        <v>12984</v>
      </c>
      <c r="D122" t="s">
        <v>12984</v>
      </c>
      <c r="E122" t="s">
        <v>12984</v>
      </c>
      <c r="F122" t="s">
        <v>12984</v>
      </c>
      <c r="G122" t="s">
        <v>12984</v>
      </c>
    </row>
    <row r="123" spans="1:7">
      <c r="A123" t="s">
        <v>5232</v>
      </c>
      <c r="B123" t="s">
        <v>13197</v>
      </c>
      <c r="C123" t="s">
        <v>12984</v>
      </c>
      <c r="D123" t="s">
        <v>12984</v>
      </c>
      <c r="E123" t="s">
        <v>12984</v>
      </c>
      <c r="F123" t="s">
        <v>12984</v>
      </c>
      <c r="G123" t="s">
        <v>12984</v>
      </c>
    </row>
    <row r="124" spans="1:7">
      <c r="A124" t="s">
        <v>2245</v>
      </c>
      <c r="B124" t="s">
        <v>13198</v>
      </c>
      <c r="C124" t="s">
        <v>12984</v>
      </c>
      <c r="D124" t="s">
        <v>12984</v>
      </c>
      <c r="E124" t="s">
        <v>12984</v>
      </c>
      <c r="F124" t="s">
        <v>12984</v>
      </c>
      <c r="G124" t="s">
        <v>12984</v>
      </c>
    </row>
    <row r="125" spans="1:7">
      <c r="A125" t="s">
        <v>2250</v>
      </c>
      <c r="B125" t="s">
        <v>13199</v>
      </c>
      <c r="C125" t="s">
        <v>12984</v>
      </c>
      <c r="D125" t="s">
        <v>12984</v>
      </c>
      <c r="E125" t="s">
        <v>12984</v>
      </c>
      <c r="F125" t="s">
        <v>12984</v>
      </c>
      <c r="G125" t="s">
        <v>12984</v>
      </c>
    </row>
    <row r="126" spans="1:7">
      <c r="A126" t="s">
        <v>8864</v>
      </c>
      <c r="B126" t="s">
        <v>13200</v>
      </c>
      <c r="C126" t="s">
        <v>12984</v>
      </c>
      <c r="D126" t="s">
        <v>12984</v>
      </c>
      <c r="E126" t="s">
        <v>12984</v>
      </c>
      <c r="F126" t="s">
        <v>12984</v>
      </c>
      <c r="G126" t="s">
        <v>12984</v>
      </c>
    </row>
    <row r="127" spans="1:7">
      <c r="A127" t="s">
        <v>8865</v>
      </c>
      <c r="B127" t="s">
        <v>13201</v>
      </c>
      <c r="C127" t="s">
        <v>12984</v>
      </c>
      <c r="D127" t="s">
        <v>12984</v>
      </c>
      <c r="E127" t="s">
        <v>12984</v>
      </c>
      <c r="F127" t="s">
        <v>12984</v>
      </c>
      <c r="G127" t="s">
        <v>12984</v>
      </c>
    </row>
    <row r="128" spans="1:7">
      <c r="A128" t="s">
        <v>8866</v>
      </c>
      <c r="B128" t="s">
        <v>13202</v>
      </c>
      <c r="C128" t="s">
        <v>12984</v>
      </c>
      <c r="D128" t="s">
        <v>12984</v>
      </c>
      <c r="E128" t="s">
        <v>12984</v>
      </c>
      <c r="F128" t="s">
        <v>12984</v>
      </c>
      <c r="G128" t="s">
        <v>12984</v>
      </c>
    </row>
    <row r="129" spans="1:7">
      <c r="A129" t="s">
        <v>8867</v>
      </c>
      <c r="B129" t="s">
        <v>13203</v>
      </c>
      <c r="C129" t="s">
        <v>12984</v>
      </c>
      <c r="D129" t="s">
        <v>12984</v>
      </c>
      <c r="E129" t="s">
        <v>12984</v>
      </c>
      <c r="F129" t="s">
        <v>12984</v>
      </c>
      <c r="G129" t="s">
        <v>12984</v>
      </c>
    </row>
    <row r="130" spans="1:7">
      <c r="A130" t="s">
        <v>8868</v>
      </c>
      <c r="B130" t="s">
        <v>13204</v>
      </c>
      <c r="C130" t="s">
        <v>12984</v>
      </c>
      <c r="D130" t="s">
        <v>12984</v>
      </c>
      <c r="E130" t="s">
        <v>12984</v>
      </c>
      <c r="F130" t="s">
        <v>12984</v>
      </c>
      <c r="G130" t="s">
        <v>12984</v>
      </c>
    </row>
    <row r="131" spans="1:7">
      <c r="A131" t="s">
        <v>8870</v>
      </c>
      <c r="B131" t="s">
        <v>13205</v>
      </c>
      <c r="C131" t="s">
        <v>12984</v>
      </c>
      <c r="D131" t="s">
        <v>12984</v>
      </c>
      <c r="E131" t="s">
        <v>12984</v>
      </c>
      <c r="F131" t="s">
        <v>12984</v>
      </c>
      <c r="G131" t="s">
        <v>12984</v>
      </c>
    </row>
    <row r="132" spans="1:7">
      <c r="A132" t="s">
        <v>9981</v>
      </c>
      <c r="B132" t="s">
        <v>13206</v>
      </c>
      <c r="C132" t="s">
        <v>12984</v>
      </c>
      <c r="D132" t="s">
        <v>12984</v>
      </c>
      <c r="E132" t="s">
        <v>12984</v>
      </c>
      <c r="F132" t="s">
        <v>12984</v>
      </c>
      <c r="G132" t="s">
        <v>12984</v>
      </c>
    </row>
    <row r="133" spans="1:7">
      <c r="A133" t="s">
        <v>10011</v>
      </c>
      <c r="B133" t="s">
        <v>13207</v>
      </c>
      <c r="C133" t="s">
        <v>12984</v>
      </c>
      <c r="D133" t="s">
        <v>12984</v>
      </c>
      <c r="E133" t="s">
        <v>12984</v>
      </c>
      <c r="F133" t="s">
        <v>12984</v>
      </c>
      <c r="G133" t="s">
        <v>12984</v>
      </c>
    </row>
    <row r="134" spans="1:7">
      <c r="A134" t="s">
        <v>10012</v>
      </c>
      <c r="B134" t="s">
        <v>13208</v>
      </c>
      <c r="C134" t="s">
        <v>12984</v>
      </c>
      <c r="D134" t="s">
        <v>12984</v>
      </c>
      <c r="E134" t="s">
        <v>12984</v>
      </c>
      <c r="F134" t="s">
        <v>12984</v>
      </c>
      <c r="G134" t="s">
        <v>12984</v>
      </c>
    </row>
    <row r="135" spans="1:7">
      <c r="A135" t="s">
        <v>10013</v>
      </c>
      <c r="B135" t="s">
        <v>13209</v>
      </c>
      <c r="C135" t="s">
        <v>12984</v>
      </c>
      <c r="D135" t="s">
        <v>12984</v>
      </c>
      <c r="E135" t="s">
        <v>12984</v>
      </c>
      <c r="F135" t="s">
        <v>12984</v>
      </c>
      <c r="G135" t="s">
        <v>12984</v>
      </c>
    </row>
    <row r="136" spans="1:7">
      <c r="A136" t="s">
        <v>10015</v>
      </c>
      <c r="B136" t="s">
        <v>13210</v>
      </c>
      <c r="C136" t="s">
        <v>12984</v>
      </c>
      <c r="D136" t="s">
        <v>12984</v>
      </c>
      <c r="E136" t="s">
        <v>12984</v>
      </c>
      <c r="F136" t="s">
        <v>12984</v>
      </c>
      <c r="G136" t="s">
        <v>12984</v>
      </c>
    </row>
    <row r="137" spans="1:7">
      <c r="A137" t="s">
        <v>2305</v>
      </c>
      <c r="B137" t="s">
        <v>13211</v>
      </c>
      <c r="C137" t="s">
        <v>12984</v>
      </c>
      <c r="D137" t="s">
        <v>12984</v>
      </c>
      <c r="E137" t="s">
        <v>12984</v>
      </c>
      <c r="F137" t="s">
        <v>12984</v>
      </c>
      <c r="G137" t="s">
        <v>12984</v>
      </c>
    </row>
    <row r="138" spans="1:7">
      <c r="A138" t="s">
        <v>2551</v>
      </c>
      <c r="B138" t="s">
        <v>13212</v>
      </c>
      <c r="C138" t="s">
        <v>12984</v>
      </c>
      <c r="D138" t="s">
        <v>12984</v>
      </c>
      <c r="E138" t="s">
        <v>12984</v>
      </c>
      <c r="F138" t="s">
        <v>12984</v>
      </c>
      <c r="G138" t="s">
        <v>12984</v>
      </c>
    </row>
    <row r="139" spans="1:7">
      <c r="A139" t="s">
        <v>2549</v>
      </c>
      <c r="B139" t="s">
        <v>13213</v>
      </c>
      <c r="C139" t="s">
        <v>12984</v>
      </c>
      <c r="D139" t="s">
        <v>12984</v>
      </c>
      <c r="E139" t="s">
        <v>12984</v>
      </c>
      <c r="F139" t="s">
        <v>12984</v>
      </c>
      <c r="G139" t="s">
        <v>12984</v>
      </c>
    </row>
    <row r="140" spans="1:7">
      <c r="A140" t="s">
        <v>2552</v>
      </c>
      <c r="B140" t="s">
        <v>13214</v>
      </c>
      <c r="C140" t="s">
        <v>12984</v>
      </c>
      <c r="D140" t="s">
        <v>12984</v>
      </c>
      <c r="E140" t="s">
        <v>12984</v>
      </c>
      <c r="F140" t="s">
        <v>12984</v>
      </c>
      <c r="G140" t="s">
        <v>12984</v>
      </c>
    </row>
    <row r="141" spans="1:7">
      <c r="A141" t="s">
        <v>2554</v>
      </c>
      <c r="B141" t="s">
        <v>13215</v>
      </c>
      <c r="C141" t="s">
        <v>12984</v>
      </c>
      <c r="D141" t="s">
        <v>12984</v>
      </c>
      <c r="E141" t="s">
        <v>12984</v>
      </c>
      <c r="F141" t="s">
        <v>12984</v>
      </c>
      <c r="G141" t="s">
        <v>12984</v>
      </c>
    </row>
    <row r="142" spans="1:7">
      <c r="A142" t="s">
        <v>8861</v>
      </c>
      <c r="B142" t="s">
        <v>13216</v>
      </c>
      <c r="C142" t="s">
        <v>12984</v>
      </c>
      <c r="D142" t="s">
        <v>12984</v>
      </c>
      <c r="E142" t="s">
        <v>12984</v>
      </c>
      <c r="F142" t="s">
        <v>12984</v>
      </c>
      <c r="G142" t="s">
        <v>12984</v>
      </c>
    </row>
    <row r="143" spans="1:7">
      <c r="A143" t="s">
        <v>2232</v>
      </c>
      <c r="B143" t="s">
        <v>13217</v>
      </c>
      <c r="C143" t="s">
        <v>12984</v>
      </c>
      <c r="D143" t="s">
        <v>12984</v>
      </c>
      <c r="E143" t="s">
        <v>12984</v>
      </c>
      <c r="F143" t="s">
        <v>12984</v>
      </c>
      <c r="G143" t="s">
        <v>12984</v>
      </c>
    </row>
    <row r="144" spans="1:7">
      <c r="A144" t="s">
        <v>2303</v>
      </c>
      <c r="B144" t="s">
        <v>13218</v>
      </c>
      <c r="C144" t="s">
        <v>12984</v>
      </c>
      <c r="D144" t="s">
        <v>12984</v>
      </c>
      <c r="E144" t="s">
        <v>12984</v>
      </c>
      <c r="F144" t="s">
        <v>12984</v>
      </c>
      <c r="G144" t="s">
        <v>12984</v>
      </c>
    </row>
    <row r="145" spans="1:7">
      <c r="A145" t="s">
        <v>2306</v>
      </c>
      <c r="B145" t="s">
        <v>13219</v>
      </c>
      <c r="C145" t="s">
        <v>12984</v>
      </c>
      <c r="D145" t="s">
        <v>12984</v>
      </c>
      <c r="E145" t="s">
        <v>12984</v>
      </c>
      <c r="F145" t="s">
        <v>12984</v>
      </c>
      <c r="G145" t="s">
        <v>12984</v>
      </c>
    </row>
    <row r="146" spans="1:7">
      <c r="A146" t="s">
        <v>2308</v>
      </c>
      <c r="B146" t="s">
        <v>13220</v>
      </c>
      <c r="C146" t="s">
        <v>12984</v>
      </c>
      <c r="D146" t="s">
        <v>12984</v>
      </c>
      <c r="E146" t="s">
        <v>12984</v>
      </c>
      <c r="F146" t="s">
        <v>12984</v>
      </c>
      <c r="G146" t="s">
        <v>12984</v>
      </c>
    </row>
    <row r="147" spans="1:7">
      <c r="A147" t="s">
        <v>8862</v>
      </c>
      <c r="B147" t="s">
        <v>13221</v>
      </c>
      <c r="C147" t="s">
        <v>12984</v>
      </c>
      <c r="D147" t="s">
        <v>12984</v>
      </c>
      <c r="E147" t="s">
        <v>12984</v>
      </c>
      <c r="F147" t="s">
        <v>12984</v>
      </c>
      <c r="G147" t="s">
        <v>12984</v>
      </c>
    </row>
    <row r="148" spans="1:7">
      <c r="A148" t="s">
        <v>9982</v>
      </c>
      <c r="B148" t="s">
        <v>13222</v>
      </c>
      <c r="C148" t="s">
        <v>12984</v>
      </c>
      <c r="D148" t="s">
        <v>12984</v>
      </c>
      <c r="E148" t="s">
        <v>12984</v>
      </c>
      <c r="F148" t="s">
        <v>12984</v>
      </c>
      <c r="G148" t="s">
        <v>12984</v>
      </c>
    </row>
    <row r="149" spans="1:7">
      <c r="A149" t="s">
        <v>10016</v>
      </c>
      <c r="B149" t="s">
        <v>13223</v>
      </c>
      <c r="C149" t="s">
        <v>12984</v>
      </c>
      <c r="D149" t="s">
        <v>12984</v>
      </c>
      <c r="E149" t="s">
        <v>12984</v>
      </c>
      <c r="F149" t="s">
        <v>12984</v>
      </c>
      <c r="G149" t="s">
        <v>12984</v>
      </c>
    </row>
    <row r="150" spans="1:7">
      <c r="A150" t="s">
        <v>10017</v>
      </c>
      <c r="B150" t="s">
        <v>13224</v>
      </c>
      <c r="C150" t="s">
        <v>12984</v>
      </c>
      <c r="D150" t="s">
        <v>12984</v>
      </c>
      <c r="E150" t="s">
        <v>12984</v>
      </c>
      <c r="F150" t="s">
        <v>12984</v>
      </c>
      <c r="G150" t="s">
        <v>12984</v>
      </c>
    </row>
    <row r="151" spans="1:7">
      <c r="A151" t="s">
        <v>10018</v>
      </c>
      <c r="B151" t="s">
        <v>13225</v>
      </c>
      <c r="C151" t="s">
        <v>12984</v>
      </c>
      <c r="D151" t="s">
        <v>12984</v>
      </c>
      <c r="E151" t="s">
        <v>12984</v>
      </c>
      <c r="F151" t="s">
        <v>12984</v>
      </c>
      <c r="G151" t="s">
        <v>12984</v>
      </c>
    </row>
    <row r="152" spans="1:7">
      <c r="A152" t="s">
        <v>10020</v>
      </c>
      <c r="B152" t="s">
        <v>13226</v>
      </c>
      <c r="C152" t="s">
        <v>12984</v>
      </c>
      <c r="D152" t="s">
        <v>12984</v>
      </c>
      <c r="E152" t="s">
        <v>12984</v>
      </c>
      <c r="F152" t="s">
        <v>12984</v>
      </c>
      <c r="G152" t="s">
        <v>12984</v>
      </c>
    </row>
    <row r="153" spans="1:7">
      <c r="A153" t="s">
        <v>8021</v>
      </c>
      <c r="B153" t="s">
        <v>13227</v>
      </c>
      <c r="C153" t="s">
        <v>12984</v>
      </c>
      <c r="D153" t="s">
        <v>12984</v>
      </c>
      <c r="E153" t="s">
        <v>12984</v>
      </c>
      <c r="F153" t="s">
        <v>12984</v>
      </c>
      <c r="G153" t="s">
        <v>12984</v>
      </c>
    </row>
    <row r="154" spans="1:7">
      <c r="A154" t="s">
        <v>2732</v>
      </c>
      <c r="B154" t="s">
        <v>13228</v>
      </c>
      <c r="C154" t="s">
        <v>12984</v>
      </c>
      <c r="D154" t="s">
        <v>12984</v>
      </c>
      <c r="E154" t="s">
        <v>12984</v>
      </c>
      <c r="F154" t="s">
        <v>12984</v>
      </c>
      <c r="G154" t="s">
        <v>12984</v>
      </c>
    </row>
    <row r="155" spans="1:7">
      <c r="A155" t="s">
        <v>8023</v>
      </c>
      <c r="B155" t="s">
        <v>13229</v>
      </c>
      <c r="C155" t="s">
        <v>12984</v>
      </c>
      <c r="D155" t="s">
        <v>12984</v>
      </c>
      <c r="E155" t="s">
        <v>12984</v>
      </c>
      <c r="F155" t="s">
        <v>12984</v>
      </c>
      <c r="G155" t="s">
        <v>12984</v>
      </c>
    </row>
    <row r="156" spans="1:7">
      <c r="A156" t="s">
        <v>8022</v>
      </c>
      <c r="B156" t="s">
        <v>13230</v>
      </c>
      <c r="C156" t="s">
        <v>12984</v>
      </c>
      <c r="D156" t="s">
        <v>12984</v>
      </c>
      <c r="E156" t="s">
        <v>12984</v>
      </c>
      <c r="F156" t="s">
        <v>12984</v>
      </c>
      <c r="G156" t="s">
        <v>12984</v>
      </c>
    </row>
    <row r="157" spans="1:7">
      <c r="A157" t="s">
        <v>8024</v>
      </c>
      <c r="B157" t="s">
        <v>13231</v>
      </c>
      <c r="C157" t="s">
        <v>12984</v>
      </c>
      <c r="D157" t="s">
        <v>12984</v>
      </c>
      <c r="E157" t="s">
        <v>12984</v>
      </c>
      <c r="F157" t="s">
        <v>12984</v>
      </c>
      <c r="G157" t="s">
        <v>12984</v>
      </c>
    </row>
    <row r="158" spans="1:7">
      <c r="A158" t="s">
        <v>8025</v>
      </c>
      <c r="B158" t="s">
        <v>13232</v>
      </c>
      <c r="C158" t="s">
        <v>12984</v>
      </c>
      <c r="D158" t="s">
        <v>12984</v>
      </c>
      <c r="E158" t="s">
        <v>12984</v>
      </c>
      <c r="F158" t="s">
        <v>12984</v>
      </c>
      <c r="G158" t="s">
        <v>12984</v>
      </c>
    </row>
    <row r="159" spans="1:7">
      <c r="A159" t="s">
        <v>2427</v>
      </c>
      <c r="B159" t="s">
        <v>13233</v>
      </c>
      <c r="C159" t="s">
        <v>12984</v>
      </c>
      <c r="D159" t="s">
        <v>12984</v>
      </c>
      <c r="E159" t="s">
        <v>12984</v>
      </c>
      <c r="F159" t="s">
        <v>12984</v>
      </c>
      <c r="G159" t="s">
        <v>12984</v>
      </c>
    </row>
    <row r="160" spans="1:7">
      <c r="A160" t="s">
        <v>8043</v>
      </c>
      <c r="B160" t="s">
        <v>13234</v>
      </c>
      <c r="C160" t="s">
        <v>12984</v>
      </c>
      <c r="D160" t="s">
        <v>12984</v>
      </c>
      <c r="E160" t="s">
        <v>12984</v>
      </c>
      <c r="F160" t="s">
        <v>12984</v>
      </c>
      <c r="G160" t="s">
        <v>12984</v>
      </c>
    </row>
    <row r="161" spans="1:7">
      <c r="A161" t="s">
        <v>2234</v>
      </c>
      <c r="B161" t="s">
        <v>13235</v>
      </c>
      <c r="C161" t="s">
        <v>12984</v>
      </c>
      <c r="D161" t="s">
        <v>12984</v>
      </c>
      <c r="E161" t="s">
        <v>12984</v>
      </c>
      <c r="F161" t="s">
        <v>12984</v>
      </c>
      <c r="G161" t="s">
        <v>12984</v>
      </c>
    </row>
    <row r="162" spans="1:7">
      <c r="A162" t="s">
        <v>2235</v>
      </c>
      <c r="B162" t="s">
        <v>13236</v>
      </c>
      <c r="C162" t="s">
        <v>12984</v>
      </c>
      <c r="D162" t="s">
        <v>12984</v>
      </c>
      <c r="E162" t="s">
        <v>12984</v>
      </c>
      <c r="F162" t="s">
        <v>12984</v>
      </c>
      <c r="G162" t="s">
        <v>12984</v>
      </c>
    </row>
    <row r="163" spans="1:7">
      <c r="A163" t="s">
        <v>2237</v>
      </c>
      <c r="B163" t="s">
        <v>13237</v>
      </c>
      <c r="C163" t="s">
        <v>12984</v>
      </c>
      <c r="D163" t="s">
        <v>12984</v>
      </c>
      <c r="E163" t="s">
        <v>12984</v>
      </c>
      <c r="F163" t="s">
        <v>12984</v>
      </c>
      <c r="G163" t="s">
        <v>12984</v>
      </c>
    </row>
    <row r="164" spans="1:7">
      <c r="A164" t="s">
        <v>2239</v>
      </c>
      <c r="B164" t="s">
        <v>13238</v>
      </c>
      <c r="C164" t="s">
        <v>12984</v>
      </c>
      <c r="D164" t="s">
        <v>12984</v>
      </c>
      <c r="E164" t="s">
        <v>12984</v>
      </c>
      <c r="F164" t="s">
        <v>12984</v>
      </c>
      <c r="G164" t="s">
        <v>12984</v>
      </c>
    </row>
    <row r="165" spans="1:7">
      <c r="A165" t="s">
        <v>2241</v>
      </c>
      <c r="B165" t="s">
        <v>13239</v>
      </c>
      <c r="C165" t="s">
        <v>12984</v>
      </c>
      <c r="D165" t="s">
        <v>12984</v>
      </c>
      <c r="E165" t="s">
        <v>12984</v>
      </c>
      <c r="F165" t="s">
        <v>12984</v>
      </c>
      <c r="G165" t="s">
        <v>12984</v>
      </c>
    </row>
    <row r="166" spans="1:7">
      <c r="A166" t="s">
        <v>7849</v>
      </c>
      <c r="B166" t="s">
        <v>4629</v>
      </c>
      <c r="C166" t="s">
        <v>12984</v>
      </c>
      <c r="D166" t="s">
        <v>12984</v>
      </c>
      <c r="E166" t="s">
        <v>12984</v>
      </c>
      <c r="F166" t="s">
        <v>12984</v>
      </c>
      <c r="G166" t="s">
        <v>12984</v>
      </c>
    </row>
    <row r="167" spans="1:7">
      <c r="A167" t="s">
        <v>13271</v>
      </c>
      <c r="B167" t="s">
        <v>13253</v>
      </c>
      <c r="C167" t="s">
        <v>12984</v>
      </c>
      <c r="D167" t="s">
        <v>12984</v>
      </c>
      <c r="E167" t="s">
        <v>12984</v>
      </c>
      <c r="F167" t="s">
        <v>12984</v>
      </c>
      <c r="G167" t="s">
        <v>12984</v>
      </c>
    </row>
  </sheetData>
  <autoFilter ref="A1:M1" xr:uid="{965A9DD4-9C88-4516-BC66-13AD671547B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ECDAE-66F2-4707-9938-43D794DBB175}">
  <dimension ref="A1:I164"/>
  <sheetViews>
    <sheetView workbookViewId="0">
      <selection activeCell="E1" sqref="E1:F27"/>
    </sheetView>
  </sheetViews>
  <sheetFormatPr defaultRowHeight="15"/>
  <cols>
    <col min="1" max="1" width="11.28515625" bestFit="1" customWidth="1"/>
    <col min="2" max="2" width="41.28515625" bestFit="1" customWidth="1"/>
    <col min="3" max="3" width="2.140625" bestFit="1" customWidth="1"/>
  </cols>
  <sheetData>
    <row r="1" spans="1:9">
      <c r="A1" t="s">
        <v>13288</v>
      </c>
      <c r="B1" t="s">
        <v>12983</v>
      </c>
      <c r="E1" t="s">
        <v>13288</v>
      </c>
      <c r="F1" t="s">
        <v>12983</v>
      </c>
      <c r="H1" t="s">
        <v>13288</v>
      </c>
      <c r="I1" t="s">
        <v>12983</v>
      </c>
    </row>
    <row r="2" spans="1:9">
      <c r="A2" t="s">
        <v>13254</v>
      </c>
      <c r="B2" t="s">
        <v>13071</v>
      </c>
      <c r="C2" t="s">
        <v>12984</v>
      </c>
      <c r="E2" t="s">
        <v>3655</v>
      </c>
      <c r="F2" t="s">
        <v>13254</v>
      </c>
      <c r="H2" t="s">
        <v>275</v>
      </c>
      <c r="I2" t="s">
        <v>9857</v>
      </c>
    </row>
    <row r="3" spans="1:9">
      <c r="A3" t="s">
        <v>13255</v>
      </c>
      <c r="B3" t="s">
        <v>13072</v>
      </c>
      <c r="C3" t="s">
        <v>12984</v>
      </c>
      <c r="E3" t="s">
        <v>3655</v>
      </c>
      <c r="F3" t="s">
        <v>13255</v>
      </c>
      <c r="H3" t="s">
        <v>13279</v>
      </c>
      <c r="I3" t="s">
        <v>2427</v>
      </c>
    </row>
    <row r="4" spans="1:9">
      <c r="A4" t="s">
        <v>13256</v>
      </c>
      <c r="B4" t="s">
        <v>13073</v>
      </c>
      <c r="C4" t="s">
        <v>12984</v>
      </c>
      <c r="E4" t="s">
        <v>9849</v>
      </c>
      <c r="F4" t="s">
        <v>13256</v>
      </c>
      <c r="H4" t="s">
        <v>2435</v>
      </c>
      <c r="I4" t="s">
        <v>8043</v>
      </c>
    </row>
    <row r="5" spans="1:9">
      <c r="A5" t="s">
        <v>13257</v>
      </c>
      <c r="B5" t="s">
        <v>13074</v>
      </c>
      <c r="C5" t="s">
        <v>12984</v>
      </c>
      <c r="E5" t="s">
        <v>13256</v>
      </c>
      <c r="F5" t="s">
        <v>13257</v>
      </c>
      <c r="H5" t="s">
        <v>2435</v>
      </c>
      <c r="I5" t="s">
        <v>2234</v>
      </c>
    </row>
    <row r="6" spans="1:9">
      <c r="A6" t="s">
        <v>13258</v>
      </c>
      <c r="B6" t="s">
        <v>13075</v>
      </c>
      <c r="C6" t="s">
        <v>12984</v>
      </c>
      <c r="E6" t="s">
        <v>13256</v>
      </c>
      <c r="F6" t="s">
        <v>13258</v>
      </c>
      <c r="H6" t="s">
        <v>2306</v>
      </c>
      <c r="I6" t="s">
        <v>2235</v>
      </c>
    </row>
    <row r="7" spans="1:9">
      <c r="A7" t="s">
        <v>13259</v>
      </c>
      <c r="B7" t="s">
        <v>13076</v>
      </c>
      <c r="C7" t="s">
        <v>12984</v>
      </c>
      <c r="E7" t="s">
        <v>13256</v>
      </c>
      <c r="F7" t="s">
        <v>13259</v>
      </c>
      <c r="H7" t="s">
        <v>12177</v>
      </c>
      <c r="I7" t="s">
        <v>2237</v>
      </c>
    </row>
    <row r="8" spans="1:9">
      <c r="A8" t="s">
        <v>13260</v>
      </c>
      <c r="B8" t="s">
        <v>13077</v>
      </c>
      <c r="C8" t="s">
        <v>12984</v>
      </c>
      <c r="E8" t="s">
        <v>13256</v>
      </c>
      <c r="F8" t="s">
        <v>13260</v>
      </c>
      <c r="H8" t="s">
        <v>12177</v>
      </c>
      <c r="I8" t="s">
        <v>2239</v>
      </c>
    </row>
    <row r="9" spans="1:9">
      <c r="A9" t="s">
        <v>13261</v>
      </c>
      <c r="B9" t="s">
        <v>13078</v>
      </c>
      <c r="C9" t="s">
        <v>12984</v>
      </c>
      <c r="E9" t="s">
        <v>13256</v>
      </c>
      <c r="F9" t="s">
        <v>13261</v>
      </c>
      <c r="H9" t="s">
        <v>2306</v>
      </c>
      <c r="I9" t="s">
        <v>2241</v>
      </c>
    </row>
    <row r="10" spans="1:9">
      <c r="A10" t="s">
        <v>13262</v>
      </c>
      <c r="B10" t="s">
        <v>13079</v>
      </c>
      <c r="C10" t="s">
        <v>12984</v>
      </c>
      <c r="E10" t="s">
        <v>13256</v>
      </c>
      <c r="F10" t="s">
        <v>13262</v>
      </c>
      <c r="H10" t="s">
        <v>4628</v>
      </c>
      <c r="I10" t="s">
        <v>7849</v>
      </c>
    </row>
    <row r="11" spans="1:9">
      <c r="A11" t="s">
        <v>13263</v>
      </c>
      <c r="B11" t="s">
        <v>13080</v>
      </c>
      <c r="C11" t="s">
        <v>12984</v>
      </c>
      <c r="E11" t="s">
        <v>13256</v>
      </c>
      <c r="F11" t="s">
        <v>13263</v>
      </c>
      <c r="H11" t="s">
        <v>8031</v>
      </c>
      <c r="I11" t="s">
        <v>2178</v>
      </c>
    </row>
    <row r="12" spans="1:9">
      <c r="A12" t="s">
        <v>13264</v>
      </c>
      <c r="B12" t="s">
        <v>13081</v>
      </c>
      <c r="C12" t="s">
        <v>12984</v>
      </c>
      <c r="E12" t="s">
        <v>13256</v>
      </c>
      <c r="F12" t="s">
        <v>13264</v>
      </c>
      <c r="H12" t="s">
        <v>2686</v>
      </c>
      <c r="I12" t="s">
        <v>2423</v>
      </c>
    </row>
    <row r="13" spans="1:9">
      <c r="A13" t="s">
        <v>13265</v>
      </c>
      <c r="B13" t="s">
        <v>13082</v>
      </c>
      <c r="C13" t="s">
        <v>12984</v>
      </c>
      <c r="E13" t="s">
        <v>13256</v>
      </c>
      <c r="F13" t="s">
        <v>13265</v>
      </c>
      <c r="H13" t="s">
        <v>275</v>
      </c>
      <c r="I13" t="s">
        <v>9985</v>
      </c>
    </row>
    <row r="14" spans="1:9">
      <c r="A14" t="s">
        <v>13266</v>
      </c>
      <c r="B14" t="s">
        <v>13074</v>
      </c>
      <c r="C14" t="s">
        <v>12984</v>
      </c>
      <c r="E14" t="s">
        <v>13256</v>
      </c>
      <c r="F14" t="s">
        <v>13266</v>
      </c>
      <c r="H14" t="s">
        <v>275</v>
      </c>
      <c r="I14" t="s">
        <v>4290</v>
      </c>
    </row>
    <row r="15" spans="1:9">
      <c r="A15" t="s">
        <v>13267</v>
      </c>
      <c r="B15" t="s">
        <v>13083</v>
      </c>
      <c r="C15" t="s">
        <v>12984</v>
      </c>
      <c r="E15" t="s">
        <v>11538</v>
      </c>
      <c r="F15" t="s">
        <v>13267</v>
      </c>
      <c r="H15" t="s">
        <v>275</v>
      </c>
      <c r="I15" t="s">
        <v>2640</v>
      </c>
    </row>
    <row r="16" spans="1:9">
      <c r="A16" t="s">
        <v>13268</v>
      </c>
      <c r="B16" t="s">
        <v>13084</v>
      </c>
      <c r="C16" t="s">
        <v>12984</v>
      </c>
      <c r="E16" t="s">
        <v>6416</v>
      </c>
      <c r="F16" t="s">
        <v>13268</v>
      </c>
      <c r="H16" t="s">
        <v>275</v>
      </c>
      <c r="I16" t="s">
        <v>5826</v>
      </c>
    </row>
    <row r="17" spans="1:9">
      <c r="A17" t="s">
        <v>11543</v>
      </c>
      <c r="B17" t="s">
        <v>13085</v>
      </c>
      <c r="C17" t="s">
        <v>12984</v>
      </c>
      <c r="E17" t="s">
        <v>2995</v>
      </c>
      <c r="F17" t="s">
        <v>13277</v>
      </c>
      <c r="H17" t="s">
        <v>275</v>
      </c>
      <c r="I17" t="s">
        <v>9990</v>
      </c>
    </row>
    <row r="18" spans="1:9">
      <c r="A18" t="s">
        <v>11544</v>
      </c>
      <c r="B18" t="s">
        <v>13086</v>
      </c>
      <c r="C18" t="s">
        <v>12984</v>
      </c>
      <c r="E18" t="s">
        <v>2433</v>
      </c>
      <c r="F18" t="s">
        <v>13278</v>
      </c>
      <c r="H18" t="s">
        <v>275</v>
      </c>
      <c r="I18" t="s">
        <v>1621</v>
      </c>
    </row>
    <row r="19" spans="1:9">
      <c r="A19" t="s">
        <v>13277</v>
      </c>
      <c r="B19" t="s">
        <v>13093</v>
      </c>
      <c r="C19" t="s">
        <v>12984</v>
      </c>
      <c r="E19" t="s">
        <v>13278</v>
      </c>
      <c r="F19" t="s">
        <v>13279</v>
      </c>
      <c r="H19" t="s">
        <v>275</v>
      </c>
      <c r="I19" t="s">
        <v>2700</v>
      </c>
    </row>
    <row r="20" spans="1:9">
      <c r="A20" t="s">
        <v>13278</v>
      </c>
      <c r="B20" t="s">
        <v>13094</v>
      </c>
      <c r="C20" t="s">
        <v>12984</v>
      </c>
      <c r="E20" t="s">
        <v>2682</v>
      </c>
      <c r="F20" t="s">
        <v>13280</v>
      </c>
      <c r="H20" t="s">
        <v>275</v>
      </c>
      <c r="I20" t="s">
        <v>13240</v>
      </c>
    </row>
    <row r="21" spans="1:9">
      <c r="A21" t="s">
        <v>13279</v>
      </c>
      <c r="B21" t="s">
        <v>13095</v>
      </c>
      <c r="C21" t="s">
        <v>12984</v>
      </c>
      <c r="E21" t="s">
        <v>8765</v>
      </c>
      <c r="F21" t="s">
        <v>13281</v>
      </c>
      <c r="H21" t="s">
        <v>275</v>
      </c>
      <c r="I21" t="s">
        <v>13241</v>
      </c>
    </row>
    <row r="22" spans="1:9">
      <c r="A22" t="s">
        <v>13280</v>
      </c>
      <c r="B22" t="s">
        <v>13096</v>
      </c>
      <c r="C22" t="s">
        <v>12984</v>
      </c>
      <c r="E22" t="s">
        <v>8765</v>
      </c>
      <c r="F22" t="s">
        <v>13282</v>
      </c>
      <c r="H22" t="s">
        <v>275</v>
      </c>
      <c r="I22" t="s">
        <v>13242</v>
      </c>
    </row>
    <row r="23" spans="1:9">
      <c r="A23" t="s">
        <v>13281</v>
      </c>
      <c r="B23" t="s">
        <v>13097</v>
      </c>
      <c r="C23" t="s">
        <v>12984</v>
      </c>
      <c r="E23" t="s">
        <v>8765</v>
      </c>
      <c r="F23" t="s">
        <v>13283</v>
      </c>
      <c r="H23" t="s">
        <v>275</v>
      </c>
      <c r="I23" t="s">
        <v>2702</v>
      </c>
    </row>
    <row r="24" spans="1:9">
      <c r="A24" t="s">
        <v>13282</v>
      </c>
      <c r="B24" t="s">
        <v>13098</v>
      </c>
      <c r="C24" t="s">
        <v>12984</v>
      </c>
      <c r="E24" t="s">
        <v>8765</v>
      </c>
      <c r="F24" t="s">
        <v>13284</v>
      </c>
      <c r="H24" t="s">
        <v>275</v>
      </c>
      <c r="I24" t="s">
        <v>2704</v>
      </c>
    </row>
    <row r="25" spans="1:9">
      <c r="A25" t="s">
        <v>13283</v>
      </c>
      <c r="B25" t="s">
        <v>13099</v>
      </c>
      <c r="C25" t="s">
        <v>12984</v>
      </c>
      <c r="E25" t="s">
        <v>8765</v>
      </c>
      <c r="F25" t="s">
        <v>13285</v>
      </c>
      <c r="H25" t="s">
        <v>275</v>
      </c>
      <c r="I25" t="s">
        <v>2706</v>
      </c>
    </row>
    <row r="26" spans="1:9">
      <c r="A26" t="s">
        <v>13284</v>
      </c>
      <c r="B26" t="s">
        <v>13100</v>
      </c>
      <c r="C26" t="s">
        <v>12984</v>
      </c>
      <c r="E26" t="s">
        <v>8765</v>
      </c>
      <c r="F26" t="s">
        <v>13286</v>
      </c>
      <c r="H26" t="s">
        <v>275</v>
      </c>
      <c r="I26" t="s">
        <v>2472</v>
      </c>
    </row>
    <row r="27" spans="1:9">
      <c r="A27" t="s">
        <v>13285</v>
      </c>
      <c r="B27" t="s">
        <v>13101</v>
      </c>
      <c r="C27" t="s">
        <v>12984</v>
      </c>
      <c r="E27" t="s">
        <v>8765</v>
      </c>
      <c r="F27" t="s">
        <v>13287</v>
      </c>
      <c r="H27" t="s">
        <v>275</v>
      </c>
      <c r="I27" t="s">
        <v>2494</v>
      </c>
    </row>
    <row r="28" spans="1:9">
      <c r="A28" t="s">
        <v>13286</v>
      </c>
      <c r="B28" t="s">
        <v>13102</v>
      </c>
      <c r="C28" t="s">
        <v>12984</v>
      </c>
      <c r="H28" t="s">
        <v>275</v>
      </c>
      <c r="I28" t="s">
        <v>2496</v>
      </c>
    </row>
    <row r="29" spans="1:9">
      <c r="A29" t="s">
        <v>13287</v>
      </c>
      <c r="B29" t="s">
        <v>13103</v>
      </c>
      <c r="C29" t="s">
        <v>12984</v>
      </c>
      <c r="H29" t="s">
        <v>275</v>
      </c>
      <c r="I29" t="s">
        <v>13243</v>
      </c>
    </row>
    <row r="30" spans="1:9">
      <c r="A30" t="s">
        <v>2684</v>
      </c>
      <c r="B30" t="s">
        <v>13104</v>
      </c>
      <c r="C30" t="s">
        <v>12984</v>
      </c>
      <c r="H30" t="s">
        <v>275</v>
      </c>
      <c r="I30" t="s">
        <v>2500</v>
      </c>
    </row>
    <row r="31" spans="1:9">
      <c r="A31" t="s">
        <v>4638</v>
      </c>
      <c r="B31" t="s">
        <v>13105</v>
      </c>
      <c r="C31" t="s">
        <v>12984</v>
      </c>
      <c r="H31" t="s">
        <v>275</v>
      </c>
      <c r="I31" t="s">
        <v>2709</v>
      </c>
    </row>
    <row r="32" spans="1:9">
      <c r="A32" t="s">
        <v>4661</v>
      </c>
      <c r="B32" t="s">
        <v>13106</v>
      </c>
      <c r="C32" t="s">
        <v>12984</v>
      </c>
      <c r="H32" t="s">
        <v>275</v>
      </c>
      <c r="I32" t="s">
        <v>13244</v>
      </c>
    </row>
    <row r="33" spans="1:9">
      <c r="A33" t="s">
        <v>4663</v>
      </c>
      <c r="B33" t="s">
        <v>13107</v>
      </c>
      <c r="C33" t="s">
        <v>12984</v>
      </c>
      <c r="H33" t="s">
        <v>275</v>
      </c>
      <c r="I33" t="s">
        <v>13245</v>
      </c>
    </row>
    <row r="34" spans="1:9">
      <c r="A34" t="s">
        <v>8796</v>
      </c>
      <c r="B34" t="s">
        <v>13108</v>
      </c>
      <c r="C34" t="s">
        <v>12984</v>
      </c>
      <c r="H34" t="s">
        <v>275</v>
      </c>
      <c r="I34" t="s">
        <v>13246</v>
      </c>
    </row>
    <row r="35" spans="1:9">
      <c r="A35" t="s">
        <v>8896</v>
      </c>
      <c r="B35" t="s">
        <v>13109</v>
      </c>
      <c r="C35" t="s">
        <v>12984</v>
      </c>
      <c r="H35" t="s">
        <v>275</v>
      </c>
      <c r="I35" t="s">
        <v>2711</v>
      </c>
    </row>
    <row r="36" spans="1:9">
      <c r="A36" t="s">
        <v>8909</v>
      </c>
      <c r="B36" t="s">
        <v>13110</v>
      </c>
      <c r="C36" t="s">
        <v>12984</v>
      </c>
      <c r="H36" t="s">
        <v>275</v>
      </c>
      <c r="I36" t="s">
        <v>2713</v>
      </c>
    </row>
    <row r="37" spans="1:9">
      <c r="A37" t="s">
        <v>4640</v>
      </c>
      <c r="B37" t="s">
        <v>13111</v>
      </c>
      <c r="C37" t="s">
        <v>12984</v>
      </c>
      <c r="H37" t="s">
        <v>275</v>
      </c>
      <c r="I37" t="s">
        <v>2715</v>
      </c>
    </row>
    <row r="38" spans="1:9">
      <c r="A38" t="s">
        <v>4657</v>
      </c>
      <c r="B38" t="s">
        <v>13112</v>
      </c>
      <c r="C38" t="s">
        <v>12984</v>
      </c>
      <c r="H38" t="s">
        <v>275</v>
      </c>
      <c r="I38" t="s">
        <v>2717</v>
      </c>
    </row>
    <row r="39" spans="1:9">
      <c r="A39" t="s">
        <v>4659</v>
      </c>
      <c r="B39" t="s">
        <v>13113</v>
      </c>
      <c r="C39" t="s">
        <v>12984</v>
      </c>
      <c r="H39" t="s">
        <v>275</v>
      </c>
      <c r="I39" t="s">
        <v>2498</v>
      </c>
    </row>
    <row r="40" spans="1:9">
      <c r="A40" t="s">
        <v>5920</v>
      </c>
      <c r="B40" t="s">
        <v>13114</v>
      </c>
      <c r="C40" t="s">
        <v>12984</v>
      </c>
      <c r="H40" t="s">
        <v>275</v>
      </c>
      <c r="I40" t="s">
        <v>2511</v>
      </c>
    </row>
    <row r="41" spans="1:9">
      <c r="A41" t="s">
        <v>8897</v>
      </c>
      <c r="B41" t="s">
        <v>13115</v>
      </c>
      <c r="C41" t="s">
        <v>12984</v>
      </c>
      <c r="H41" t="s">
        <v>275</v>
      </c>
      <c r="I41" t="s">
        <v>13247</v>
      </c>
    </row>
    <row r="42" spans="1:9">
      <c r="A42" t="s">
        <v>8910</v>
      </c>
      <c r="B42" t="s">
        <v>13116</v>
      </c>
      <c r="C42" t="s">
        <v>12984</v>
      </c>
      <c r="H42" t="s">
        <v>275</v>
      </c>
      <c r="I42" t="s">
        <v>9994</v>
      </c>
    </row>
    <row r="43" spans="1:9">
      <c r="A43" t="s">
        <v>4642</v>
      </c>
      <c r="B43" t="s">
        <v>13117</v>
      </c>
      <c r="C43" t="s">
        <v>12984</v>
      </c>
      <c r="H43" t="s">
        <v>275</v>
      </c>
      <c r="I43" t="s">
        <v>9999</v>
      </c>
    </row>
    <row r="44" spans="1:9">
      <c r="A44" t="s">
        <v>4665</v>
      </c>
      <c r="B44" t="s">
        <v>13118</v>
      </c>
      <c r="C44" t="s">
        <v>12984</v>
      </c>
      <c r="H44" t="s">
        <v>275</v>
      </c>
      <c r="I44" t="s">
        <v>10004</v>
      </c>
    </row>
    <row r="45" spans="1:9">
      <c r="A45" t="s">
        <v>4667</v>
      </c>
      <c r="B45" t="s">
        <v>13119</v>
      </c>
      <c r="C45" t="s">
        <v>12984</v>
      </c>
      <c r="H45" t="s">
        <v>275</v>
      </c>
      <c r="I45" t="s">
        <v>1633</v>
      </c>
    </row>
    <row r="46" spans="1:9">
      <c r="A46" t="s">
        <v>8799</v>
      </c>
      <c r="B46" t="s">
        <v>13120</v>
      </c>
      <c r="C46" t="s">
        <v>12984</v>
      </c>
      <c r="H46" t="s">
        <v>275</v>
      </c>
      <c r="I46" t="s">
        <v>4926</v>
      </c>
    </row>
    <row r="47" spans="1:9">
      <c r="A47" t="s">
        <v>8898</v>
      </c>
      <c r="B47" t="s">
        <v>13121</v>
      </c>
      <c r="C47" t="s">
        <v>12984</v>
      </c>
      <c r="H47" t="s">
        <v>275</v>
      </c>
      <c r="I47" t="s">
        <v>10009</v>
      </c>
    </row>
    <row r="48" spans="1:9">
      <c r="A48" t="s">
        <v>8911</v>
      </c>
      <c r="B48" t="s">
        <v>13122</v>
      </c>
      <c r="C48" t="s">
        <v>12984</v>
      </c>
      <c r="H48" t="s">
        <v>275</v>
      </c>
      <c r="I48" t="s">
        <v>2205</v>
      </c>
    </row>
    <row r="49" spans="1:9">
      <c r="A49" t="s">
        <v>4644</v>
      </c>
      <c r="B49" t="s">
        <v>13123</v>
      </c>
      <c r="C49" t="s">
        <v>12984</v>
      </c>
      <c r="H49" t="s">
        <v>275</v>
      </c>
      <c r="I49" t="s">
        <v>2213</v>
      </c>
    </row>
    <row r="50" spans="1:9">
      <c r="A50" t="s">
        <v>4669</v>
      </c>
      <c r="B50" t="s">
        <v>13124</v>
      </c>
      <c r="C50" t="s">
        <v>12984</v>
      </c>
      <c r="H50" t="s">
        <v>275</v>
      </c>
      <c r="I50" t="s">
        <v>2215</v>
      </c>
    </row>
    <row r="51" spans="1:9">
      <c r="A51" t="s">
        <v>4671</v>
      </c>
      <c r="B51" t="s">
        <v>13125</v>
      </c>
      <c r="C51" t="s">
        <v>12984</v>
      </c>
      <c r="H51" t="s">
        <v>275</v>
      </c>
      <c r="I51" t="s">
        <v>13248</v>
      </c>
    </row>
    <row r="52" spans="1:9">
      <c r="A52" t="s">
        <v>8801</v>
      </c>
      <c r="B52" t="s">
        <v>13126</v>
      </c>
      <c r="C52" t="s">
        <v>12984</v>
      </c>
      <c r="H52" t="s">
        <v>275</v>
      </c>
      <c r="I52" t="s">
        <v>8869</v>
      </c>
    </row>
    <row r="53" spans="1:9">
      <c r="A53" t="s">
        <v>8899</v>
      </c>
      <c r="B53" t="s">
        <v>13127</v>
      </c>
      <c r="C53" t="s">
        <v>12984</v>
      </c>
      <c r="H53" t="s">
        <v>275</v>
      </c>
      <c r="I53" t="s">
        <v>10014</v>
      </c>
    </row>
    <row r="54" spans="1:9">
      <c r="A54" t="s">
        <v>8912</v>
      </c>
      <c r="B54" t="s">
        <v>13128</v>
      </c>
      <c r="C54" t="s">
        <v>12984</v>
      </c>
      <c r="H54" t="s">
        <v>275</v>
      </c>
      <c r="I54" t="s">
        <v>10019</v>
      </c>
    </row>
    <row r="55" spans="1:9">
      <c r="A55" t="s">
        <v>4646</v>
      </c>
      <c r="B55" t="s">
        <v>13129</v>
      </c>
      <c r="C55" t="s">
        <v>12984</v>
      </c>
      <c r="H55" t="s">
        <v>275</v>
      </c>
      <c r="I55" t="s">
        <v>2319</v>
      </c>
    </row>
    <row r="56" spans="1:9">
      <c r="A56" t="s">
        <v>4673</v>
      </c>
      <c r="B56" t="s">
        <v>13130</v>
      </c>
      <c r="C56" t="s">
        <v>12984</v>
      </c>
      <c r="H56" t="s">
        <v>275</v>
      </c>
      <c r="I56" t="s">
        <v>2317</v>
      </c>
    </row>
    <row r="57" spans="1:9">
      <c r="A57" t="s">
        <v>4675</v>
      </c>
      <c r="B57" t="s">
        <v>13131</v>
      </c>
      <c r="C57" t="s">
        <v>12984</v>
      </c>
      <c r="H57" t="s">
        <v>275</v>
      </c>
      <c r="I57" t="s">
        <v>13249</v>
      </c>
    </row>
    <row r="58" spans="1:9">
      <c r="A58" t="s">
        <v>8803</v>
      </c>
      <c r="B58" t="s">
        <v>13132</v>
      </c>
      <c r="C58" t="s">
        <v>12984</v>
      </c>
      <c r="H58" t="s">
        <v>275</v>
      </c>
      <c r="I58" t="s">
        <v>2166</v>
      </c>
    </row>
    <row r="59" spans="1:9">
      <c r="A59" t="s">
        <v>8900</v>
      </c>
      <c r="B59" t="s">
        <v>13133</v>
      </c>
      <c r="C59" t="s">
        <v>12984</v>
      </c>
      <c r="H59" t="s">
        <v>275</v>
      </c>
      <c r="I59" t="s">
        <v>8044</v>
      </c>
    </row>
    <row r="60" spans="1:9">
      <c r="A60" t="s">
        <v>8913</v>
      </c>
      <c r="B60" t="s">
        <v>13134</v>
      </c>
      <c r="C60" t="s">
        <v>12984</v>
      </c>
      <c r="H60" t="s">
        <v>275</v>
      </c>
      <c r="I60" t="s">
        <v>2230</v>
      </c>
    </row>
    <row r="61" spans="1:9">
      <c r="A61" t="s">
        <v>4648</v>
      </c>
      <c r="B61" t="s">
        <v>13135</v>
      </c>
      <c r="C61" t="s">
        <v>12984</v>
      </c>
      <c r="H61" t="s">
        <v>275</v>
      </c>
      <c r="I61" t="s">
        <v>2228</v>
      </c>
    </row>
    <row r="62" spans="1:9">
      <c r="A62" t="s">
        <v>4689</v>
      </c>
      <c r="B62" t="s">
        <v>13136</v>
      </c>
      <c r="C62" t="s">
        <v>12984</v>
      </c>
      <c r="H62" t="s">
        <v>275</v>
      </c>
      <c r="I62" t="s">
        <v>2224</v>
      </c>
    </row>
    <row r="63" spans="1:9">
      <c r="A63" t="s">
        <v>4691</v>
      </c>
      <c r="B63" t="s">
        <v>13137</v>
      </c>
      <c r="C63" t="s">
        <v>12984</v>
      </c>
      <c r="H63" t="s">
        <v>275</v>
      </c>
      <c r="I63" t="s">
        <v>13250</v>
      </c>
    </row>
    <row r="64" spans="1:9">
      <c r="A64" t="s">
        <v>4650</v>
      </c>
      <c r="B64" t="s">
        <v>13138</v>
      </c>
      <c r="C64" t="s">
        <v>12984</v>
      </c>
      <c r="H64" t="s">
        <v>275</v>
      </c>
      <c r="I64" t="s">
        <v>13251</v>
      </c>
    </row>
    <row r="65" spans="1:9">
      <c r="A65" t="s">
        <v>4677</v>
      </c>
      <c r="B65" t="s">
        <v>13139</v>
      </c>
      <c r="C65" t="s">
        <v>12984</v>
      </c>
      <c r="H65" t="s">
        <v>275</v>
      </c>
      <c r="I65" t="s">
        <v>2088</v>
      </c>
    </row>
    <row r="66" spans="1:9">
      <c r="A66" t="s">
        <v>4679</v>
      </c>
      <c r="B66" t="s">
        <v>13140</v>
      </c>
      <c r="C66" t="s">
        <v>12984</v>
      </c>
      <c r="H66" t="s">
        <v>275</v>
      </c>
      <c r="I66" t="s">
        <v>2086</v>
      </c>
    </row>
    <row r="67" spans="1:9">
      <c r="A67" t="s">
        <v>8804</v>
      </c>
      <c r="B67" t="s">
        <v>13141</v>
      </c>
      <c r="C67" t="s">
        <v>12984</v>
      </c>
      <c r="H67" t="s">
        <v>275</v>
      </c>
      <c r="I67" t="s">
        <v>13251</v>
      </c>
    </row>
    <row r="68" spans="1:9">
      <c r="A68" t="s">
        <v>8901</v>
      </c>
      <c r="B68" t="s">
        <v>13142</v>
      </c>
      <c r="C68" t="s">
        <v>12984</v>
      </c>
      <c r="H68" t="s">
        <v>275</v>
      </c>
      <c r="I68" t="s">
        <v>4575</v>
      </c>
    </row>
    <row r="69" spans="1:9">
      <c r="A69" t="s">
        <v>8914</v>
      </c>
      <c r="B69" t="s">
        <v>13143</v>
      </c>
      <c r="C69" t="s">
        <v>12984</v>
      </c>
      <c r="H69" t="s">
        <v>275</v>
      </c>
      <c r="I69" t="s">
        <v>3016</v>
      </c>
    </row>
    <row r="70" spans="1:9">
      <c r="A70" t="s">
        <v>4652</v>
      </c>
      <c r="B70" t="s">
        <v>13144</v>
      </c>
      <c r="C70" t="s">
        <v>12984</v>
      </c>
      <c r="H70" t="s">
        <v>275</v>
      </c>
      <c r="I70" t="s">
        <v>2098</v>
      </c>
    </row>
    <row r="71" spans="1:9">
      <c r="A71" t="s">
        <v>4681</v>
      </c>
      <c r="B71" t="s">
        <v>13145</v>
      </c>
      <c r="C71" t="s">
        <v>12984</v>
      </c>
      <c r="H71" t="s">
        <v>275</v>
      </c>
      <c r="I71" t="s">
        <v>2162</v>
      </c>
    </row>
    <row r="72" spans="1:9">
      <c r="A72" t="s">
        <v>4683</v>
      </c>
      <c r="B72" t="s">
        <v>13146</v>
      </c>
      <c r="C72" t="s">
        <v>12984</v>
      </c>
    </row>
    <row r="73" spans="1:9">
      <c r="A73" t="s">
        <v>8806</v>
      </c>
      <c r="B73" t="s">
        <v>13147</v>
      </c>
      <c r="C73" t="s">
        <v>12984</v>
      </c>
    </row>
    <row r="74" spans="1:9">
      <c r="A74" t="s">
        <v>8902</v>
      </c>
      <c r="B74" t="s">
        <v>13148</v>
      </c>
      <c r="C74" t="s">
        <v>12984</v>
      </c>
    </row>
    <row r="75" spans="1:9">
      <c r="A75" t="s">
        <v>8915</v>
      </c>
      <c r="B75" t="s">
        <v>13149</v>
      </c>
      <c r="C75" t="s">
        <v>12984</v>
      </c>
    </row>
    <row r="76" spans="1:9">
      <c r="A76" t="s">
        <v>4654</v>
      </c>
      <c r="B76" t="s">
        <v>13150</v>
      </c>
      <c r="C76" t="s">
        <v>12984</v>
      </c>
    </row>
    <row r="77" spans="1:9">
      <c r="A77" t="s">
        <v>4685</v>
      </c>
      <c r="B77" t="s">
        <v>13151</v>
      </c>
      <c r="C77" t="s">
        <v>12984</v>
      </c>
    </row>
    <row r="78" spans="1:9">
      <c r="A78" t="s">
        <v>4687</v>
      </c>
      <c r="B78" t="s">
        <v>13152</v>
      </c>
      <c r="C78" t="s">
        <v>12984</v>
      </c>
    </row>
    <row r="79" spans="1:9">
      <c r="A79" t="s">
        <v>8808</v>
      </c>
      <c r="B79" t="s">
        <v>13153</v>
      </c>
      <c r="C79" t="s">
        <v>12984</v>
      </c>
    </row>
    <row r="80" spans="1:9">
      <c r="A80" t="s">
        <v>8903</v>
      </c>
      <c r="B80" t="s">
        <v>13154</v>
      </c>
      <c r="C80" t="s">
        <v>12984</v>
      </c>
    </row>
    <row r="81" spans="1:3">
      <c r="A81" t="s">
        <v>8916</v>
      </c>
      <c r="B81" t="s">
        <v>13155</v>
      </c>
      <c r="C81" t="s">
        <v>12984</v>
      </c>
    </row>
    <row r="82" spans="1:3">
      <c r="A82" t="s">
        <v>7797</v>
      </c>
      <c r="B82" t="s">
        <v>13156</v>
      </c>
      <c r="C82" t="s">
        <v>12984</v>
      </c>
    </row>
    <row r="83" spans="1:3">
      <c r="A83" t="s">
        <v>8904</v>
      </c>
      <c r="B83" t="s">
        <v>13157</v>
      </c>
      <c r="C83" t="s">
        <v>12984</v>
      </c>
    </row>
    <row r="84" spans="1:3">
      <c r="A84" t="s">
        <v>8917</v>
      </c>
      <c r="B84" t="s">
        <v>13158</v>
      </c>
      <c r="C84" t="s">
        <v>12984</v>
      </c>
    </row>
    <row r="85" spans="1:3">
      <c r="A85" t="s">
        <v>8920</v>
      </c>
      <c r="B85" t="s">
        <v>13159</v>
      </c>
      <c r="C85" t="s">
        <v>12984</v>
      </c>
    </row>
    <row r="86" spans="1:3">
      <c r="A86" t="s">
        <v>7806</v>
      </c>
      <c r="B86" t="s">
        <v>13160</v>
      </c>
      <c r="C86" t="s">
        <v>12984</v>
      </c>
    </row>
    <row r="87" spans="1:3">
      <c r="A87" t="s">
        <v>8905</v>
      </c>
      <c r="B87" t="s">
        <v>13161</v>
      </c>
      <c r="C87" t="s">
        <v>12984</v>
      </c>
    </row>
    <row r="88" spans="1:3">
      <c r="A88" t="s">
        <v>8918</v>
      </c>
      <c r="B88" t="s">
        <v>13162</v>
      </c>
      <c r="C88" t="s">
        <v>12984</v>
      </c>
    </row>
    <row r="89" spans="1:3">
      <c r="A89" t="s">
        <v>8919</v>
      </c>
      <c r="B89" t="s">
        <v>13163</v>
      </c>
      <c r="C89" t="s">
        <v>12984</v>
      </c>
    </row>
    <row r="90" spans="1:3">
      <c r="A90" t="s">
        <v>7807</v>
      </c>
      <c r="B90" t="s">
        <v>13164</v>
      </c>
      <c r="C90" t="s">
        <v>12984</v>
      </c>
    </row>
    <row r="91" spans="1:3">
      <c r="A91" t="s">
        <v>8906</v>
      </c>
      <c r="B91" t="s">
        <v>13165</v>
      </c>
      <c r="C91" t="s">
        <v>12984</v>
      </c>
    </row>
    <row r="92" spans="1:3">
      <c r="A92" t="s">
        <v>8907</v>
      </c>
      <c r="B92" t="s">
        <v>13166</v>
      </c>
      <c r="C92" t="s">
        <v>12984</v>
      </c>
    </row>
    <row r="93" spans="1:3">
      <c r="A93" t="s">
        <v>8908</v>
      </c>
      <c r="B93" t="s">
        <v>13167</v>
      </c>
      <c r="C93" t="s">
        <v>12984</v>
      </c>
    </row>
    <row r="94" spans="1:3">
      <c r="A94" t="s">
        <v>13168</v>
      </c>
      <c r="B94" t="s">
        <v>13169</v>
      </c>
      <c r="C94" t="s">
        <v>12984</v>
      </c>
    </row>
    <row r="95" spans="1:3">
      <c r="A95" t="s">
        <v>4722</v>
      </c>
      <c r="B95" t="s">
        <v>13170</v>
      </c>
      <c r="C95" t="s">
        <v>12984</v>
      </c>
    </row>
    <row r="96" spans="1:3">
      <c r="A96" t="s">
        <v>12171</v>
      </c>
      <c r="B96" t="s">
        <v>13171</v>
      </c>
      <c r="C96" t="s">
        <v>12984</v>
      </c>
    </row>
    <row r="97" spans="1:3">
      <c r="A97" t="s">
        <v>12172</v>
      </c>
      <c r="B97" t="s">
        <v>13172</v>
      </c>
      <c r="C97" t="s">
        <v>12984</v>
      </c>
    </row>
    <row r="98" spans="1:3">
      <c r="A98" t="s">
        <v>2192</v>
      </c>
      <c r="B98" t="s">
        <v>13173</v>
      </c>
      <c r="C98" t="s">
        <v>12984</v>
      </c>
    </row>
    <row r="99" spans="1:3">
      <c r="A99" t="s">
        <v>2544</v>
      </c>
      <c r="B99" t="s">
        <v>13174</v>
      </c>
      <c r="C99" t="s">
        <v>12984</v>
      </c>
    </row>
    <row r="100" spans="1:3">
      <c r="A100" t="s">
        <v>2542</v>
      </c>
      <c r="B100" t="s">
        <v>13175</v>
      </c>
      <c r="C100" t="s">
        <v>12984</v>
      </c>
    </row>
    <row r="101" spans="1:3">
      <c r="A101" t="s">
        <v>2545</v>
      </c>
      <c r="B101" t="s">
        <v>13176</v>
      </c>
      <c r="C101" t="s">
        <v>12984</v>
      </c>
    </row>
    <row r="102" spans="1:3">
      <c r="A102" t="s">
        <v>2547</v>
      </c>
      <c r="B102" t="s">
        <v>13177</v>
      </c>
      <c r="C102" t="s">
        <v>12984</v>
      </c>
    </row>
    <row r="103" spans="1:3">
      <c r="A103" t="s">
        <v>8876</v>
      </c>
      <c r="B103" t="s">
        <v>13178</v>
      </c>
      <c r="C103" t="s">
        <v>12984</v>
      </c>
    </row>
    <row r="104" spans="1:3">
      <c r="A104" t="s">
        <v>2190</v>
      </c>
      <c r="B104" t="s">
        <v>13179</v>
      </c>
      <c r="C104" t="s">
        <v>12984</v>
      </c>
    </row>
    <row r="105" spans="1:3">
      <c r="A105" t="s">
        <v>3189</v>
      </c>
      <c r="B105" t="s">
        <v>13180</v>
      </c>
      <c r="C105" t="s">
        <v>12984</v>
      </c>
    </row>
    <row r="106" spans="1:3">
      <c r="A106" t="s">
        <v>2193</v>
      </c>
      <c r="B106" t="s">
        <v>13181</v>
      </c>
      <c r="C106" t="s">
        <v>12984</v>
      </c>
    </row>
    <row r="107" spans="1:3">
      <c r="A107" t="s">
        <v>2197</v>
      </c>
      <c r="B107" t="s">
        <v>13182</v>
      </c>
      <c r="C107" t="s">
        <v>12984</v>
      </c>
    </row>
    <row r="108" spans="1:3">
      <c r="A108" t="s">
        <v>2195</v>
      </c>
      <c r="B108" t="s">
        <v>13183</v>
      </c>
      <c r="C108" t="s">
        <v>12984</v>
      </c>
    </row>
    <row r="109" spans="1:3">
      <c r="A109" t="s">
        <v>3190</v>
      </c>
      <c r="B109" t="s">
        <v>13184</v>
      </c>
      <c r="C109" t="s">
        <v>12984</v>
      </c>
    </row>
    <row r="110" spans="1:3">
      <c r="A110" t="s">
        <v>2199</v>
      </c>
      <c r="B110" t="s">
        <v>13185</v>
      </c>
      <c r="C110" t="s">
        <v>12984</v>
      </c>
    </row>
    <row r="111" spans="1:3">
      <c r="A111" t="s">
        <v>8875</v>
      </c>
      <c r="B111" t="s">
        <v>13186</v>
      </c>
      <c r="C111" t="s">
        <v>12984</v>
      </c>
    </row>
    <row r="112" spans="1:3">
      <c r="A112" t="s">
        <v>2201</v>
      </c>
      <c r="B112" t="s">
        <v>13187</v>
      </c>
      <c r="C112" t="s">
        <v>12984</v>
      </c>
    </row>
    <row r="113" spans="1:3">
      <c r="A113" t="s">
        <v>2203</v>
      </c>
      <c r="B113" t="s">
        <v>13188</v>
      </c>
      <c r="C113" t="s">
        <v>12984</v>
      </c>
    </row>
    <row r="114" spans="1:3">
      <c r="A114" t="s">
        <v>2207</v>
      </c>
      <c r="B114" t="s">
        <v>13189</v>
      </c>
      <c r="C114" t="s">
        <v>12984</v>
      </c>
    </row>
    <row r="115" spans="1:3">
      <c r="A115" t="s">
        <v>2209</v>
      </c>
      <c r="B115" t="s">
        <v>13190</v>
      </c>
      <c r="C115" t="s">
        <v>12984</v>
      </c>
    </row>
    <row r="116" spans="1:3">
      <c r="A116" t="s">
        <v>2211</v>
      </c>
      <c r="B116" t="s">
        <v>13191</v>
      </c>
      <c r="C116" t="s">
        <v>12984</v>
      </c>
    </row>
    <row r="117" spans="1:3">
      <c r="A117" t="s">
        <v>2217</v>
      </c>
      <c r="B117" t="s">
        <v>13192</v>
      </c>
      <c r="C117" t="s">
        <v>12984</v>
      </c>
    </row>
    <row r="118" spans="1:3">
      <c r="A118" t="s">
        <v>2219</v>
      </c>
      <c r="B118" t="s">
        <v>13193</v>
      </c>
      <c r="C118" t="s">
        <v>12984</v>
      </c>
    </row>
    <row r="119" spans="1:3">
      <c r="A119" t="s">
        <v>13194</v>
      </c>
      <c r="B119" t="s">
        <v>13195</v>
      </c>
      <c r="C119" t="s">
        <v>12984</v>
      </c>
    </row>
    <row r="120" spans="1:3">
      <c r="A120" t="s">
        <v>8863</v>
      </c>
      <c r="B120" t="s">
        <v>13196</v>
      </c>
      <c r="C120" t="s">
        <v>12984</v>
      </c>
    </row>
    <row r="121" spans="1:3">
      <c r="A121" t="s">
        <v>5232</v>
      </c>
      <c r="B121" t="s">
        <v>13197</v>
      </c>
      <c r="C121" t="s">
        <v>12984</v>
      </c>
    </row>
    <row r="122" spans="1:3">
      <c r="A122" t="s">
        <v>2245</v>
      </c>
      <c r="B122" t="s">
        <v>13198</v>
      </c>
      <c r="C122" t="s">
        <v>12984</v>
      </c>
    </row>
    <row r="123" spans="1:3">
      <c r="A123" t="s">
        <v>2250</v>
      </c>
      <c r="B123" t="s">
        <v>13199</v>
      </c>
      <c r="C123" t="s">
        <v>12984</v>
      </c>
    </row>
    <row r="124" spans="1:3">
      <c r="A124" t="s">
        <v>8864</v>
      </c>
      <c r="B124" t="s">
        <v>13200</v>
      </c>
      <c r="C124" t="s">
        <v>12984</v>
      </c>
    </row>
    <row r="125" spans="1:3">
      <c r="A125" t="s">
        <v>8865</v>
      </c>
      <c r="B125" t="s">
        <v>13201</v>
      </c>
      <c r="C125" t="s">
        <v>12984</v>
      </c>
    </row>
    <row r="126" spans="1:3">
      <c r="A126" t="s">
        <v>8866</v>
      </c>
      <c r="B126" t="s">
        <v>13202</v>
      </c>
      <c r="C126" t="s">
        <v>12984</v>
      </c>
    </row>
    <row r="127" spans="1:3">
      <c r="A127" t="s">
        <v>8867</v>
      </c>
      <c r="B127" t="s">
        <v>13203</v>
      </c>
      <c r="C127" t="s">
        <v>12984</v>
      </c>
    </row>
    <row r="128" spans="1:3">
      <c r="A128" t="s">
        <v>8868</v>
      </c>
      <c r="B128" t="s">
        <v>13204</v>
      </c>
      <c r="C128" t="s">
        <v>12984</v>
      </c>
    </row>
    <row r="129" spans="1:3">
      <c r="A129" t="s">
        <v>8870</v>
      </c>
      <c r="B129" t="s">
        <v>13205</v>
      </c>
      <c r="C129" t="s">
        <v>12984</v>
      </c>
    </row>
    <row r="130" spans="1:3">
      <c r="A130" t="s">
        <v>9981</v>
      </c>
      <c r="B130" t="s">
        <v>13206</v>
      </c>
      <c r="C130" t="s">
        <v>12984</v>
      </c>
    </row>
    <row r="131" spans="1:3">
      <c r="A131" t="s">
        <v>10011</v>
      </c>
      <c r="B131" t="s">
        <v>13207</v>
      </c>
      <c r="C131" t="s">
        <v>12984</v>
      </c>
    </row>
    <row r="132" spans="1:3">
      <c r="A132" t="s">
        <v>10012</v>
      </c>
      <c r="B132" t="s">
        <v>13208</v>
      </c>
      <c r="C132" t="s">
        <v>12984</v>
      </c>
    </row>
    <row r="133" spans="1:3">
      <c r="A133" t="s">
        <v>10013</v>
      </c>
      <c r="B133" t="s">
        <v>13209</v>
      </c>
      <c r="C133" t="s">
        <v>12984</v>
      </c>
    </row>
    <row r="134" spans="1:3">
      <c r="A134" t="s">
        <v>10015</v>
      </c>
      <c r="B134" t="s">
        <v>13210</v>
      </c>
      <c r="C134" t="s">
        <v>12984</v>
      </c>
    </row>
    <row r="135" spans="1:3">
      <c r="A135" t="s">
        <v>2305</v>
      </c>
      <c r="B135" t="s">
        <v>13211</v>
      </c>
      <c r="C135" t="s">
        <v>12984</v>
      </c>
    </row>
    <row r="136" spans="1:3">
      <c r="A136" t="s">
        <v>2551</v>
      </c>
      <c r="B136" t="s">
        <v>13212</v>
      </c>
      <c r="C136" t="s">
        <v>12984</v>
      </c>
    </row>
    <row r="137" spans="1:3">
      <c r="A137" t="s">
        <v>2549</v>
      </c>
      <c r="B137" t="s">
        <v>13213</v>
      </c>
      <c r="C137" t="s">
        <v>12984</v>
      </c>
    </row>
    <row r="138" spans="1:3">
      <c r="A138" t="s">
        <v>2552</v>
      </c>
      <c r="B138" t="s">
        <v>13214</v>
      </c>
      <c r="C138" t="s">
        <v>12984</v>
      </c>
    </row>
    <row r="139" spans="1:3">
      <c r="A139" t="s">
        <v>2554</v>
      </c>
      <c r="B139" t="s">
        <v>13215</v>
      </c>
      <c r="C139" t="s">
        <v>12984</v>
      </c>
    </row>
    <row r="140" spans="1:3">
      <c r="A140" t="s">
        <v>8861</v>
      </c>
      <c r="B140" t="s">
        <v>13216</v>
      </c>
      <c r="C140" t="s">
        <v>12984</v>
      </c>
    </row>
    <row r="141" spans="1:3">
      <c r="A141" t="s">
        <v>2232</v>
      </c>
      <c r="B141" t="s">
        <v>13217</v>
      </c>
      <c r="C141" t="s">
        <v>12984</v>
      </c>
    </row>
    <row r="142" spans="1:3">
      <c r="A142" t="s">
        <v>2303</v>
      </c>
      <c r="B142" t="s">
        <v>13218</v>
      </c>
      <c r="C142" t="s">
        <v>12984</v>
      </c>
    </row>
    <row r="143" spans="1:3">
      <c r="A143" t="s">
        <v>2306</v>
      </c>
      <c r="B143" t="s">
        <v>13219</v>
      </c>
      <c r="C143" t="s">
        <v>12984</v>
      </c>
    </row>
    <row r="144" spans="1:3">
      <c r="A144" t="s">
        <v>2308</v>
      </c>
      <c r="B144" t="s">
        <v>13220</v>
      </c>
      <c r="C144" t="s">
        <v>12984</v>
      </c>
    </row>
    <row r="145" spans="1:3">
      <c r="A145" t="s">
        <v>8862</v>
      </c>
      <c r="B145" t="s">
        <v>13221</v>
      </c>
      <c r="C145" t="s">
        <v>12984</v>
      </c>
    </row>
    <row r="146" spans="1:3">
      <c r="A146" t="s">
        <v>9982</v>
      </c>
      <c r="B146" t="s">
        <v>13222</v>
      </c>
      <c r="C146" t="s">
        <v>12984</v>
      </c>
    </row>
    <row r="147" spans="1:3">
      <c r="A147" t="s">
        <v>10016</v>
      </c>
      <c r="B147" t="s">
        <v>13223</v>
      </c>
      <c r="C147" t="s">
        <v>12984</v>
      </c>
    </row>
    <row r="148" spans="1:3">
      <c r="A148" t="s">
        <v>10017</v>
      </c>
      <c r="B148" t="s">
        <v>13224</v>
      </c>
      <c r="C148" t="s">
        <v>12984</v>
      </c>
    </row>
    <row r="149" spans="1:3">
      <c r="A149" t="s">
        <v>10018</v>
      </c>
      <c r="B149" t="s">
        <v>13225</v>
      </c>
      <c r="C149" t="s">
        <v>12984</v>
      </c>
    </row>
    <row r="150" spans="1:3">
      <c r="A150" t="s">
        <v>10020</v>
      </c>
      <c r="B150" t="s">
        <v>13226</v>
      </c>
      <c r="C150" t="s">
        <v>12984</v>
      </c>
    </row>
    <row r="151" spans="1:3">
      <c r="A151" t="s">
        <v>8021</v>
      </c>
      <c r="B151" t="s">
        <v>13227</v>
      </c>
      <c r="C151" t="s">
        <v>12984</v>
      </c>
    </row>
    <row r="152" spans="1:3">
      <c r="A152" t="s">
        <v>2732</v>
      </c>
      <c r="B152" t="s">
        <v>13228</v>
      </c>
      <c r="C152" t="s">
        <v>12984</v>
      </c>
    </row>
    <row r="153" spans="1:3">
      <c r="A153" t="s">
        <v>8023</v>
      </c>
      <c r="B153" t="s">
        <v>13229</v>
      </c>
      <c r="C153" t="s">
        <v>12984</v>
      </c>
    </row>
    <row r="154" spans="1:3">
      <c r="A154" t="s">
        <v>8022</v>
      </c>
      <c r="B154" t="s">
        <v>13230</v>
      </c>
      <c r="C154" t="s">
        <v>12984</v>
      </c>
    </row>
    <row r="155" spans="1:3">
      <c r="A155" t="s">
        <v>8024</v>
      </c>
      <c r="B155" t="s">
        <v>13231</v>
      </c>
      <c r="C155" t="s">
        <v>12984</v>
      </c>
    </row>
    <row r="156" spans="1:3">
      <c r="A156" t="s">
        <v>8025</v>
      </c>
      <c r="B156" t="s">
        <v>13232</v>
      </c>
      <c r="C156" t="s">
        <v>12984</v>
      </c>
    </row>
    <row r="157" spans="1:3">
      <c r="A157" t="s">
        <v>2427</v>
      </c>
      <c r="B157" t="s">
        <v>13233</v>
      </c>
      <c r="C157" t="s">
        <v>12984</v>
      </c>
    </row>
    <row r="158" spans="1:3">
      <c r="A158" t="s">
        <v>8043</v>
      </c>
      <c r="B158" t="s">
        <v>13234</v>
      </c>
      <c r="C158" t="s">
        <v>12984</v>
      </c>
    </row>
    <row r="159" spans="1:3">
      <c r="A159" t="s">
        <v>2234</v>
      </c>
      <c r="B159" t="s">
        <v>13235</v>
      </c>
      <c r="C159" t="s">
        <v>12984</v>
      </c>
    </row>
    <row r="160" spans="1:3">
      <c r="A160" t="s">
        <v>2235</v>
      </c>
      <c r="B160" t="s">
        <v>13236</v>
      </c>
      <c r="C160" t="s">
        <v>12984</v>
      </c>
    </row>
    <row r="161" spans="1:3">
      <c r="A161" t="s">
        <v>2237</v>
      </c>
      <c r="B161" t="s">
        <v>13237</v>
      </c>
      <c r="C161" t="s">
        <v>12984</v>
      </c>
    </row>
    <row r="162" spans="1:3">
      <c r="A162" t="s">
        <v>2239</v>
      </c>
      <c r="B162" t="s">
        <v>13238</v>
      </c>
      <c r="C162" t="s">
        <v>12984</v>
      </c>
    </row>
    <row r="163" spans="1:3">
      <c r="A163" t="s">
        <v>2241</v>
      </c>
      <c r="B163" t="s">
        <v>13239</v>
      </c>
      <c r="C163" t="s">
        <v>12984</v>
      </c>
    </row>
    <row r="164" spans="1:3">
      <c r="A164" t="s">
        <v>7849</v>
      </c>
      <c r="B164" t="s">
        <v>4629</v>
      </c>
      <c r="C164" t="s">
        <v>12984</v>
      </c>
    </row>
  </sheetData>
  <autoFilter ref="H1:I71" xr:uid="{68EECDAE-66F2-4707-9938-43D794DBB175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CFEEF-2C99-47CB-A053-191A055D8DB1}">
  <dimension ref="A1:N70"/>
  <sheetViews>
    <sheetView workbookViewId="0">
      <selection activeCell="AG1" sqref="AG1"/>
    </sheetView>
  </sheetViews>
  <sheetFormatPr defaultRowHeight="15"/>
  <cols>
    <col min="1" max="1" width="11.28515625" bestFit="1" customWidth="1"/>
    <col min="2" max="2" width="38.85546875" bestFit="1" customWidth="1"/>
    <col min="3" max="7" width="2.140625" bestFit="1" customWidth="1"/>
    <col min="9" max="10" width="11.28515625" bestFit="1" customWidth="1"/>
    <col min="12" max="13" width="11.28515625" bestFit="1" customWidth="1"/>
  </cols>
  <sheetData>
    <row r="1" spans="1:13">
      <c r="A1">
        <v>1000</v>
      </c>
      <c r="B1" t="s">
        <v>12983</v>
      </c>
      <c r="I1">
        <v>1000</v>
      </c>
      <c r="L1">
        <v>1000</v>
      </c>
      <c r="M1" t="s">
        <v>12983</v>
      </c>
    </row>
    <row r="2" spans="1:13">
      <c r="A2" t="s">
        <v>13014</v>
      </c>
      <c r="B2" t="s">
        <v>12985</v>
      </c>
      <c r="C2" t="s">
        <v>12984</v>
      </c>
      <c r="D2" t="s">
        <v>12984</v>
      </c>
      <c r="E2" t="s">
        <v>12984</v>
      </c>
      <c r="F2" t="s">
        <v>12984</v>
      </c>
      <c r="G2" t="s">
        <v>12984</v>
      </c>
      <c r="I2" t="s">
        <v>6369</v>
      </c>
      <c r="J2" t="s">
        <v>13014</v>
      </c>
      <c r="L2" t="s">
        <v>13000</v>
      </c>
      <c r="M2" t="s">
        <v>13001</v>
      </c>
    </row>
    <row r="3" spans="1:13">
      <c r="A3" t="s">
        <v>12986</v>
      </c>
      <c r="B3" t="s">
        <v>12985</v>
      </c>
      <c r="C3" t="s">
        <v>12984</v>
      </c>
      <c r="D3" t="s">
        <v>12984</v>
      </c>
      <c r="E3" t="s">
        <v>12984</v>
      </c>
      <c r="F3" t="s">
        <v>12984</v>
      </c>
      <c r="G3" t="s">
        <v>12984</v>
      </c>
      <c r="I3" t="s">
        <v>13014</v>
      </c>
      <c r="J3" t="s">
        <v>12986</v>
      </c>
      <c r="L3" t="s">
        <v>13000</v>
      </c>
      <c r="M3" t="s">
        <v>13002</v>
      </c>
    </row>
    <row r="4" spans="1:13">
      <c r="A4" t="s">
        <v>13015</v>
      </c>
      <c r="B4" t="s">
        <v>12987</v>
      </c>
      <c r="C4" t="s">
        <v>12984</v>
      </c>
      <c r="D4" t="s">
        <v>12984</v>
      </c>
      <c r="E4" t="s">
        <v>12984</v>
      </c>
      <c r="F4" t="s">
        <v>12984</v>
      </c>
      <c r="G4" t="s">
        <v>12984</v>
      </c>
      <c r="I4" t="s">
        <v>6300</v>
      </c>
      <c r="J4" t="s">
        <v>13015</v>
      </c>
      <c r="L4" t="s">
        <v>13000</v>
      </c>
      <c r="M4" t="s">
        <v>13003</v>
      </c>
    </row>
    <row r="5" spans="1:13">
      <c r="A5" t="s">
        <v>12988</v>
      </c>
      <c r="B5" t="s">
        <v>12987</v>
      </c>
      <c r="C5" t="s">
        <v>12984</v>
      </c>
      <c r="D5" t="s">
        <v>12984</v>
      </c>
      <c r="E5" t="s">
        <v>12984</v>
      </c>
      <c r="F5" t="s">
        <v>12984</v>
      </c>
      <c r="G5" t="s">
        <v>12984</v>
      </c>
      <c r="I5" t="s">
        <v>13015</v>
      </c>
      <c r="J5" t="s">
        <v>12988</v>
      </c>
      <c r="L5" t="s">
        <v>13000</v>
      </c>
      <c r="M5" t="s">
        <v>13004</v>
      </c>
    </row>
    <row r="6" spans="1:13">
      <c r="A6" t="s">
        <v>13016</v>
      </c>
      <c r="B6" t="s">
        <v>12989</v>
      </c>
      <c r="C6" t="s">
        <v>12984</v>
      </c>
      <c r="D6" t="s">
        <v>12984</v>
      </c>
      <c r="E6" t="s">
        <v>12984</v>
      </c>
      <c r="F6" t="s">
        <v>12984</v>
      </c>
      <c r="G6" t="s">
        <v>12984</v>
      </c>
      <c r="I6" t="s">
        <v>5266</v>
      </c>
      <c r="J6" t="s">
        <v>13016</v>
      </c>
      <c r="L6" t="s">
        <v>13000</v>
      </c>
      <c r="M6" t="s">
        <v>13005</v>
      </c>
    </row>
    <row r="7" spans="1:13">
      <c r="A7" t="s">
        <v>13017</v>
      </c>
      <c r="B7" t="s">
        <v>12990</v>
      </c>
      <c r="C7" t="s">
        <v>12984</v>
      </c>
      <c r="D7" t="s">
        <v>12984</v>
      </c>
      <c r="E7" t="s">
        <v>12984</v>
      </c>
      <c r="F7" t="s">
        <v>12984</v>
      </c>
      <c r="G7" t="s">
        <v>12984</v>
      </c>
      <c r="I7" t="s">
        <v>13016</v>
      </c>
      <c r="J7" t="s">
        <v>13017</v>
      </c>
      <c r="L7" t="s">
        <v>13000</v>
      </c>
      <c r="M7" t="s">
        <v>13006</v>
      </c>
    </row>
    <row r="8" spans="1:13">
      <c r="A8" t="s">
        <v>12991</v>
      </c>
      <c r="B8" t="s">
        <v>12989</v>
      </c>
      <c r="C8" t="s">
        <v>12984</v>
      </c>
      <c r="D8" t="s">
        <v>12984</v>
      </c>
      <c r="E8" t="s">
        <v>12984</v>
      </c>
      <c r="F8" t="s">
        <v>12984</v>
      </c>
      <c r="G8" t="s">
        <v>12984</v>
      </c>
      <c r="I8" t="s">
        <v>13017</v>
      </c>
      <c r="J8" t="s">
        <v>12991</v>
      </c>
      <c r="L8" t="s">
        <v>13000</v>
      </c>
      <c r="M8" t="s">
        <v>877</v>
      </c>
    </row>
    <row r="9" spans="1:13">
      <c r="A9" t="s">
        <v>13018</v>
      </c>
      <c r="B9" t="s">
        <v>12992</v>
      </c>
      <c r="C9" t="s">
        <v>12984</v>
      </c>
      <c r="D9" t="s">
        <v>12984</v>
      </c>
      <c r="E9" t="s">
        <v>12984</v>
      </c>
      <c r="F9" t="s">
        <v>12984</v>
      </c>
      <c r="G9" t="s">
        <v>12984</v>
      </c>
      <c r="I9" t="s">
        <v>13016</v>
      </c>
      <c r="J9" t="s">
        <v>13018</v>
      </c>
      <c r="L9" t="s">
        <v>13000</v>
      </c>
      <c r="M9" t="s">
        <v>3856</v>
      </c>
    </row>
    <row r="10" spans="1:13">
      <c r="A10" t="s">
        <v>12993</v>
      </c>
      <c r="B10" t="s">
        <v>12992</v>
      </c>
      <c r="C10" t="s">
        <v>12984</v>
      </c>
      <c r="D10" t="s">
        <v>12984</v>
      </c>
      <c r="E10" t="s">
        <v>12984</v>
      </c>
      <c r="F10" t="s">
        <v>12984</v>
      </c>
      <c r="G10" t="s">
        <v>12984</v>
      </c>
      <c r="I10" t="s">
        <v>13018</v>
      </c>
      <c r="J10" t="s">
        <v>12993</v>
      </c>
      <c r="L10" t="s">
        <v>13000</v>
      </c>
      <c r="M10" t="s">
        <v>13007</v>
      </c>
    </row>
    <row r="11" spans="1:13">
      <c r="A11" t="s">
        <v>13019</v>
      </c>
      <c r="B11" t="s">
        <v>12994</v>
      </c>
      <c r="C11" t="s">
        <v>12984</v>
      </c>
      <c r="D11" t="s">
        <v>12984</v>
      </c>
      <c r="E11" t="s">
        <v>12984</v>
      </c>
      <c r="F11" t="s">
        <v>12984</v>
      </c>
      <c r="G11" t="s">
        <v>12984</v>
      </c>
      <c r="I11" t="s">
        <v>13016</v>
      </c>
      <c r="J11" t="s">
        <v>13019</v>
      </c>
      <c r="L11" t="s">
        <v>13000</v>
      </c>
      <c r="M11" t="s">
        <v>13008</v>
      </c>
    </row>
    <row r="12" spans="1:13">
      <c r="A12" t="s">
        <v>12995</v>
      </c>
      <c r="B12" t="s">
        <v>12994</v>
      </c>
      <c r="C12" t="s">
        <v>12984</v>
      </c>
      <c r="D12" t="s">
        <v>12984</v>
      </c>
      <c r="E12" t="s">
        <v>12984</v>
      </c>
      <c r="F12" t="s">
        <v>12984</v>
      </c>
      <c r="G12" t="s">
        <v>12984</v>
      </c>
      <c r="I12" t="s">
        <v>13019</v>
      </c>
      <c r="J12" t="s">
        <v>12995</v>
      </c>
      <c r="L12" t="s">
        <v>13000</v>
      </c>
      <c r="M12" t="s">
        <v>873</v>
      </c>
    </row>
    <row r="13" spans="1:13">
      <c r="A13" t="s">
        <v>13020</v>
      </c>
      <c r="B13" t="s">
        <v>12996</v>
      </c>
      <c r="C13" t="s">
        <v>12984</v>
      </c>
      <c r="D13" t="s">
        <v>12984</v>
      </c>
      <c r="E13" t="s">
        <v>12984</v>
      </c>
      <c r="F13" t="s">
        <v>12984</v>
      </c>
      <c r="G13" t="s">
        <v>12984</v>
      </c>
      <c r="I13" t="s">
        <v>13016</v>
      </c>
      <c r="J13" t="s">
        <v>13020</v>
      </c>
      <c r="L13" t="s">
        <v>13000</v>
      </c>
      <c r="M13" t="s">
        <v>13009</v>
      </c>
    </row>
    <row r="14" spans="1:13">
      <c r="A14" t="s">
        <v>12997</v>
      </c>
      <c r="B14" t="s">
        <v>12996</v>
      </c>
      <c r="C14" t="s">
        <v>12984</v>
      </c>
      <c r="D14" t="s">
        <v>12984</v>
      </c>
      <c r="E14" t="s">
        <v>12984</v>
      </c>
      <c r="F14" t="s">
        <v>12984</v>
      </c>
      <c r="G14" t="s">
        <v>12984</v>
      </c>
      <c r="I14" t="s">
        <v>13020</v>
      </c>
      <c r="J14" t="s">
        <v>12997</v>
      </c>
      <c r="L14" t="s">
        <v>13000</v>
      </c>
      <c r="M14" t="s">
        <v>3852</v>
      </c>
    </row>
    <row r="15" spans="1:13">
      <c r="A15" t="s">
        <v>12318</v>
      </c>
      <c r="B15" t="s">
        <v>12998</v>
      </c>
      <c r="C15" t="s">
        <v>12984</v>
      </c>
      <c r="D15" t="s">
        <v>12984</v>
      </c>
      <c r="E15" t="s">
        <v>12984</v>
      </c>
      <c r="F15" t="s">
        <v>12984</v>
      </c>
      <c r="G15" t="s">
        <v>12984</v>
      </c>
      <c r="L15" t="s">
        <v>13000</v>
      </c>
      <c r="M15" t="s">
        <v>13010</v>
      </c>
    </row>
    <row r="16" spans="1:13">
      <c r="A16" t="s">
        <v>365</v>
      </c>
      <c r="B16" t="s">
        <v>13012</v>
      </c>
      <c r="C16" t="s">
        <v>12984</v>
      </c>
      <c r="D16" t="s">
        <v>12984</v>
      </c>
      <c r="E16" t="s">
        <v>12984</v>
      </c>
      <c r="F16" t="s">
        <v>12984</v>
      </c>
      <c r="G16" t="s">
        <v>12984</v>
      </c>
      <c r="I16" t="s">
        <v>13021</v>
      </c>
      <c r="L16" t="s">
        <v>13000</v>
      </c>
      <c r="M16" t="s">
        <v>8122</v>
      </c>
    </row>
    <row r="17" spans="12:14">
      <c r="L17" t="s">
        <v>13000</v>
      </c>
      <c r="M17" t="s">
        <v>8124</v>
      </c>
    </row>
    <row r="18" spans="12:14">
      <c r="L18" t="s">
        <v>13000</v>
      </c>
      <c r="M18" t="s">
        <v>8119</v>
      </c>
    </row>
    <row r="19" spans="12:14">
      <c r="L19" t="s">
        <v>13000</v>
      </c>
      <c r="M19" t="s">
        <v>8123</v>
      </c>
    </row>
    <row r="20" spans="12:14">
      <c r="L20" t="s">
        <v>13000</v>
      </c>
      <c r="M20" t="s">
        <v>8125</v>
      </c>
    </row>
    <row r="21" spans="12:14">
      <c r="L21" t="s">
        <v>13000</v>
      </c>
      <c r="M21" t="s">
        <v>8120</v>
      </c>
    </row>
    <row r="22" spans="12:14">
      <c r="L22" t="s">
        <v>13000</v>
      </c>
      <c r="M22" t="s">
        <v>7187</v>
      </c>
    </row>
    <row r="23" spans="12:14">
      <c r="L23" t="s">
        <v>13000</v>
      </c>
      <c r="M23" t="s">
        <v>7188</v>
      </c>
    </row>
    <row r="24" spans="12:14">
      <c r="L24" t="s">
        <v>13000</v>
      </c>
      <c r="M24" t="s">
        <v>7191</v>
      </c>
    </row>
    <row r="25" spans="12:14">
      <c r="L25" t="s">
        <v>13000</v>
      </c>
      <c r="M25" t="s">
        <v>8121</v>
      </c>
    </row>
    <row r="26" spans="12:14">
      <c r="L26" t="s">
        <v>13000</v>
      </c>
      <c r="M26" t="s">
        <v>8116</v>
      </c>
    </row>
    <row r="27" spans="12:14">
      <c r="L27" t="s">
        <v>13000</v>
      </c>
      <c r="M27" t="s">
        <v>8117</v>
      </c>
    </row>
    <row r="28" spans="12:14">
      <c r="L28" t="s">
        <v>13000</v>
      </c>
      <c r="M28" t="s">
        <v>8118</v>
      </c>
    </row>
    <row r="29" spans="12:14">
      <c r="L29" t="s">
        <v>583</v>
      </c>
      <c r="M29" t="s">
        <v>365</v>
      </c>
    </row>
    <row r="30" spans="12:14">
      <c r="L30" t="s">
        <v>5484</v>
      </c>
      <c r="N30" t="s">
        <v>13027</v>
      </c>
    </row>
    <row r="31" spans="12:14">
      <c r="L31" t="s">
        <v>5484</v>
      </c>
      <c r="N31" t="s">
        <v>13028</v>
      </c>
    </row>
    <row r="32" spans="12:14">
      <c r="L32" t="s">
        <v>12260</v>
      </c>
      <c r="N32" t="s">
        <v>13029</v>
      </c>
    </row>
    <row r="33" spans="12:14">
      <c r="L33" t="s">
        <v>13022</v>
      </c>
      <c r="N33" t="s">
        <v>13030</v>
      </c>
    </row>
    <row r="34" spans="12:14">
      <c r="L34" t="s">
        <v>13022</v>
      </c>
      <c r="N34" t="s">
        <v>13031</v>
      </c>
    </row>
    <row r="35" spans="12:14">
      <c r="L35" t="s">
        <v>13022</v>
      </c>
      <c r="N35" t="s">
        <v>13032</v>
      </c>
    </row>
    <row r="36" spans="12:14">
      <c r="L36" t="s">
        <v>13022</v>
      </c>
      <c r="N36" t="s">
        <v>13033</v>
      </c>
    </row>
    <row r="37" spans="12:14">
      <c r="L37" t="s">
        <v>13022</v>
      </c>
      <c r="N37" t="s">
        <v>13034</v>
      </c>
    </row>
    <row r="38" spans="12:14">
      <c r="L38" t="s">
        <v>13022</v>
      </c>
      <c r="N38" t="s">
        <v>13035</v>
      </c>
    </row>
    <row r="39" spans="12:14">
      <c r="L39" t="s">
        <v>13022</v>
      </c>
      <c r="N39" t="s">
        <v>13036</v>
      </c>
    </row>
    <row r="40" spans="12:14">
      <c r="L40" t="s">
        <v>13022</v>
      </c>
      <c r="N40" t="s">
        <v>13037</v>
      </c>
    </row>
    <row r="41" spans="12:14">
      <c r="L41" t="s">
        <v>13023</v>
      </c>
      <c r="N41" t="s">
        <v>13038</v>
      </c>
    </row>
    <row r="42" spans="12:14">
      <c r="L42" t="s">
        <v>13023</v>
      </c>
      <c r="N42" t="s">
        <v>13039</v>
      </c>
    </row>
    <row r="43" spans="12:14">
      <c r="L43" t="s">
        <v>12218</v>
      </c>
      <c r="N43" t="s">
        <v>13040</v>
      </c>
    </row>
    <row r="44" spans="12:14">
      <c r="L44" t="s">
        <v>13024</v>
      </c>
      <c r="N44" t="s">
        <v>13041</v>
      </c>
    </row>
    <row r="45" spans="12:14">
      <c r="L45" t="s">
        <v>13024</v>
      </c>
      <c r="N45" t="s">
        <v>13042</v>
      </c>
    </row>
    <row r="46" spans="12:14">
      <c r="L46" t="s">
        <v>8672</v>
      </c>
      <c r="N46" t="s">
        <v>13043</v>
      </c>
    </row>
    <row r="47" spans="12:14">
      <c r="L47" t="s">
        <v>8645</v>
      </c>
      <c r="N47" t="s">
        <v>13044</v>
      </c>
    </row>
    <row r="48" spans="12:14">
      <c r="L48" t="s">
        <v>8645</v>
      </c>
      <c r="N48" t="s">
        <v>13045</v>
      </c>
    </row>
    <row r="49" spans="12:14">
      <c r="L49" t="s">
        <v>8672</v>
      </c>
      <c r="N49" t="s">
        <v>13043</v>
      </c>
    </row>
    <row r="50" spans="12:14">
      <c r="L50" t="s">
        <v>8645</v>
      </c>
      <c r="N50" t="s">
        <v>13044</v>
      </c>
    </row>
    <row r="51" spans="12:14">
      <c r="L51" t="s">
        <v>8645</v>
      </c>
      <c r="N51" t="s">
        <v>13045</v>
      </c>
    </row>
    <row r="52" spans="12:14">
      <c r="L52" t="s">
        <v>1430</v>
      </c>
      <c r="N52" t="s">
        <v>13046</v>
      </c>
    </row>
    <row r="53" spans="12:14">
      <c r="L53" t="s">
        <v>8448</v>
      </c>
      <c r="N53" t="s">
        <v>13047</v>
      </c>
    </row>
    <row r="54" spans="12:14">
      <c r="L54" t="s">
        <v>8673</v>
      </c>
      <c r="N54" t="s">
        <v>13048</v>
      </c>
    </row>
    <row r="55" spans="12:14">
      <c r="L55" t="s">
        <v>8667</v>
      </c>
      <c r="N55" t="s">
        <v>13049</v>
      </c>
    </row>
    <row r="56" spans="12:14">
      <c r="L56" t="s">
        <v>8667</v>
      </c>
      <c r="N56" t="s">
        <v>13050</v>
      </c>
    </row>
    <row r="57" spans="12:14">
      <c r="L57" t="s">
        <v>8667</v>
      </c>
      <c r="N57" t="s">
        <v>13051</v>
      </c>
    </row>
    <row r="58" spans="12:14">
      <c r="L58" t="s">
        <v>8667</v>
      </c>
      <c r="N58" t="s">
        <v>13052</v>
      </c>
    </row>
    <row r="59" spans="12:14">
      <c r="L59" t="s">
        <v>8667</v>
      </c>
      <c r="N59" t="s">
        <v>13053</v>
      </c>
    </row>
    <row r="60" spans="12:14">
      <c r="L60" t="s">
        <v>8667</v>
      </c>
      <c r="N60" t="s">
        <v>13054</v>
      </c>
    </row>
    <row r="61" spans="12:14">
      <c r="L61" t="s">
        <v>8667</v>
      </c>
      <c r="N61" t="s">
        <v>13055</v>
      </c>
    </row>
    <row r="62" spans="12:14">
      <c r="L62" t="s">
        <v>8672</v>
      </c>
      <c r="N62" t="s">
        <v>13056</v>
      </c>
    </row>
    <row r="63" spans="12:14">
      <c r="L63" t="s">
        <v>1251</v>
      </c>
      <c r="N63" t="s">
        <v>13057</v>
      </c>
    </row>
    <row r="64" spans="12:14">
      <c r="L64" t="s">
        <v>1268</v>
      </c>
      <c r="N64" t="s">
        <v>13058</v>
      </c>
    </row>
    <row r="65" spans="12:14">
      <c r="L65" t="s">
        <v>5516</v>
      </c>
      <c r="N65" t="s">
        <v>13059</v>
      </c>
    </row>
    <row r="66" spans="12:14">
      <c r="L66" t="s">
        <v>5516</v>
      </c>
      <c r="N66" t="s">
        <v>13060</v>
      </c>
    </row>
    <row r="67" spans="12:14">
      <c r="L67" t="s">
        <v>13025</v>
      </c>
      <c r="N67" t="s">
        <v>13061</v>
      </c>
    </row>
    <row r="68" spans="12:14">
      <c r="L68" t="s">
        <v>13025</v>
      </c>
      <c r="N68" t="s">
        <v>13062</v>
      </c>
    </row>
    <row r="69" spans="12:14">
      <c r="L69" t="s">
        <v>13026</v>
      </c>
      <c r="N69" t="s">
        <v>13063</v>
      </c>
    </row>
    <row r="70" spans="12:14">
      <c r="L70" t="s">
        <v>8541</v>
      </c>
      <c r="N70" t="s">
        <v>13064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5895-BA65-40B9-B1FD-3FF818D13BA3}">
  <dimension ref="A1:O11"/>
  <sheetViews>
    <sheetView workbookViewId="0">
      <selection activeCell="C50" sqref="C50:C51"/>
    </sheetView>
  </sheetViews>
  <sheetFormatPr defaultRowHeight="15"/>
  <cols>
    <col min="1" max="1" width="11.140625" bestFit="1" customWidth="1"/>
    <col min="2" max="2" width="8.85546875" bestFit="1" customWidth="1"/>
    <col min="3" max="3" width="12" bestFit="1" customWidth="1"/>
    <col min="6" max="6" width="11.28515625" bestFit="1" customWidth="1"/>
    <col min="7" max="7" width="23.140625" bestFit="1" customWidth="1"/>
    <col min="8" max="12" width="2.140625" bestFit="1" customWidth="1"/>
    <col min="14" max="15" width="11.28515625" bestFit="1" customWidth="1"/>
  </cols>
  <sheetData>
    <row r="1" spans="1:15">
      <c r="A1">
        <v>1000</v>
      </c>
      <c r="B1" t="s">
        <v>12983</v>
      </c>
      <c r="F1">
        <v>1000</v>
      </c>
      <c r="G1" t="s">
        <v>12983</v>
      </c>
      <c r="N1">
        <v>1000</v>
      </c>
    </row>
    <row r="2" spans="1:15">
      <c r="A2" t="s">
        <v>2480</v>
      </c>
      <c r="C2" t="s">
        <v>12973</v>
      </c>
      <c r="F2" s="45" t="s">
        <v>12967</v>
      </c>
      <c r="G2" s="45" t="s">
        <v>12962</v>
      </c>
      <c r="H2" s="111" t="s">
        <v>12984</v>
      </c>
      <c r="I2" s="111" t="s">
        <v>12984</v>
      </c>
      <c r="J2" s="111" t="s">
        <v>12984</v>
      </c>
      <c r="K2" s="111" t="s">
        <v>12984</v>
      </c>
      <c r="L2" s="111" t="s">
        <v>12984</v>
      </c>
      <c r="N2" t="s">
        <v>12963</v>
      </c>
      <c r="O2" t="s">
        <v>12967</v>
      </c>
    </row>
    <row r="3" spans="1:15">
      <c r="A3" t="s">
        <v>4909</v>
      </c>
      <c r="C3" t="s">
        <v>12974</v>
      </c>
      <c r="F3" s="45" t="s">
        <v>12968</v>
      </c>
      <c r="G3" s="45" t="s">
        <v>12964</v>
      </c>
      <c r="H3" s="111" t="s">
        <v>12984</v>
      </c>
      <c r="I3" s="111" t="s">
        <v>12984</v>
      </c>
      <c r="J3" s="111" t="s">
        <v>12984</v>
      </c>
      <c r="K3" s="111" t="s">
        <v>12984</v>
      </c>
      <c r="L3" s="111" t="s">
        <v>12984</v>
      </c>
      <c r="N3" t="s">
        <v>12967</v>
      </c>
      <c r="O3" t="s">
        <v>12968</v>
      </c>
    </row>
    <row r="4" spans="1:15">
      <c r="A4" t="s">
        <v>4909</v>
      </c>
      <c r="C4" t="s">
        <v>12975</v>
      </c>
      <c r="F4" s="45" t="s">
        <v>12969</v>
      </c>
      <c r="G4" s="45" t="s">
        <v>12965</v>
      </c>
      <c r="H4" s="111" t="s">
        <v>12984</v>
      </c>
      <c r="I4" s="111" t="s">
        <v>12984</v>
      </c>
      <c r="J4" s="111" t="s">
        <v>12984</v>
      </c>
      <c r="K4" s="111" t="s">
        <v>12984</v>
      </c>
      <c r="L4" s="111" t="s">
        <v>12984</v>
      </c>
      <c r="N4" t="s">
        <v>12967</v>
      </c>
      <c r="O4" t="s">
        <v>12969</v>
      </c>
    </row>
    <row r="5" spans="1:15">
      <c r="A5" t="s">
        <v>12147</v>
      </c>
      <c r="C5" t="s">
        <v>12976</v>
      </c>
      <c r="F5" s="110" t="s">
        <v>12970</v>
      </c>
      <c r="G5" s="110" t="s">
        <v>12966</v>
      </c>
      <c r="H5" s="111" t="s">
        <v>12984</v>
      </c>
      <c r="I5" s="111" t="s">
        <v>12984</v>
      </c>
      <c r="J5" s="111" t="s">
        <v>12984</v>
      </c>
      <c r="K5" s="111" t="s">
        <v>12984</v>
      </c>
      <c r="L5" s="111" t="s">
        <v>12984</v>
      </c>
      <c r="N5" t="s">
        <v>12967</v>
      </c>
      <c r="O5" t="s">
        <v>12970</v>
      </c>
    </row>
    <row r="6" spans="1:15">
      <c r="A6" t="s">
        <v>12147</v>
      </c>
      <c r="C6" t="s">
        <v>12977</v>
      </c>
    </row>
    <row r="7" spans="1:15">
      <c r="A7" t="s">
        <v>4719</v>
      </c>
      <c r="C7" t="s">
        <v>12978</v>
      </c>
    </row>
    <row r="8" spans="1:15">
      <c r="A8" t="s">
        <v>4719</v>
      </c>
      <c r="C8" t="s">
        <v>12979</v>
      </c>
    </row>
    <row r="9" spans="1:15">
      <c r="A9" t="s">
        <v>4719</v>
      </c>
      <c r="C9" t="s">
        <v>12980</v>
      </c>
    </row>
    <row r="10" spans="1:15">
      <c r="A10" t="s">
        <v>2540</v>
      </c>
      <c r="C10" t="s">
        <v>12981</v>
      </c>
    </row>
    <row r="11" spans="1:15">
      <c r="A11" t="s">
        <v>12146</v>
      </c>
      <c r="C11" t="s">
        <v>12982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7"/>
  <sheetViews>
    <sheetView topLeftCell="A47" workbookViewId="0">
      <selection activeCell="A77" sqref="A77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13091</v>
      </c>
      <c r="B77" s="39" t="s">
        <v>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2</vt:i4>
      </vt:variant>
    </vt:vector>
  </HeadingPairs>
  <TitlesOfParts>
    <vt:vector size="21" baseType="lpstr">
      <vt:lpstr>pvt</vt:lpstr>
      <vt:lpstr>Okey</vt:lpstr>
      <vt:lpstr>STUCT1</vt:lpstr>
      <vt:lpstr>Sheet10</vt:lpstr>
      <vt:lpstr>Sheet9</vt:lpstr>
      <vt:lpstr>Sheet8</vt:lpstr>
      <vt:lpstr>Sheet7</vt:lpstr>
      <vt:lpstr>Sheet6</vt:lpstr>
      <vt:lpstr>Sheet5</vt:lpstr>
      <vt:lpstr>Sheet3</vt:lpstr>
      <vt:lpstr>Sheet4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2026-08-10T17:15:21Z</dcterms:modified>
</cp:coreProperties>
</file>