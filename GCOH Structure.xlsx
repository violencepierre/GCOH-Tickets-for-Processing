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9E0FA12-9D49-4E11-9987-D0900DDA509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3" sheetId="30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Okey" sheetId="10" r:id="rId13"/>
    <sheet name="KPI" sheetId="12" r:id="rId14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1">STUCT1!#REF!</definedName>
  </definedNames>
  <calcPr calcId="181029"/>
  <pivotCaches>
    <pivotCache cacheId="0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4" i="1" l="1"/>
  <c r="H55" i="1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I3" i="30"/>
  <c r="I2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C1" i="30"/>
  <c r="G2" i="30"/>
  <c r="G3" i="30" s="1"/>
  <c r="G4" i="30" s="1"/>
  <c r="G5" i="30" s="1"/>
  <c r="G6" i="30" s="1"/>
  <c r="G7" i="30" s="1"/>
  <c r="G8" i="30" s="1"/>
  <c r="G9" i="30" s="1"/>
  <c r="G10" i="30" s="1"/>
  <c r="G11" i="30" s="1"/>
  <c r="G12" i="30" s="1"/>
  <c r="G13" i="30" s="1"/>
  <c r="G14" i="30" s="1"/>
  <c r="G15" i="30" s="1"/>
  <c r="G16" i="30" s="1"/>
  <c r="G17" i="30" s="1"/>
  <c r="G18" i="30" s="1"/>
  <c r="G19" i="30" s="1"/>
  <c r="G20" i="30" s="1"/>
  <c r="G21" i="30" s="1"/>
  <c r="G22" i="30" s="1"/>
  <c r="G23" i="30" s="1"/>
  <c r="G24" i="30" s="1"/>
  <c r="G25" i="30" s="1"/>
  <c r="G26" i="30" s="1"/>
  <c r="H52" i="1"/>
  <c r="H53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0" i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</calcChain>
</file>

<file path=xl/sharedStrings.xml><?xml version="1.0" encoding="utf-8"?>
<sst xmlns="http://schemas.openxmlformats.org/spreadsheetml/2006/main" count="43074" uniqueCount="7986">
  <si>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</si>
  <si>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</si>
  <si>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</si>
  <si>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</si>
  <si>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</si>
  <si>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</si>
  <si>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</si>
  <si>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</si>
  <si>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</si>
  <si>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</si>
  <si>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</si>
  <si>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</si>
  <si>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</si>
  <si>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</si>
  <si>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</si>
  <si>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</si>
  <si>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</si>
  <si>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</si>
  <si>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</si>
  <si>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</si>
  <si>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</si>
  <si>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</si>
  <si>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</si>
  <si>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</si>
  <si>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</si>
  <si>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</si>
  <si>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</si>
  <si>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</si>
  <si>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</si>
  <si>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</si>
  <si>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</si>
  <si>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</si>
  <si>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</si>
  <si>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</si>
  <si>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</si>
  <si>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</si>
  <si>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</si>
  <si>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</si>
  <si>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</si>
  <si>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</si>
  <si>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</si>
  <si>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</si>
  <si>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</si>
  <si>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</si>
  <si>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</si>
  <si>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</si>
  <si>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</si>
  <si>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</si>
  <si>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</si>
  <si>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</si>
  <si>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</si>
  <si>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</si>
  <si>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</si>
  <si>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</si>
  <si>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</si>
  <si>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</si>
  <si>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</si>
  <si>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</si>
  <si>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</si>
  <si>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</si>
  <si>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</si>
  <si>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</si>
  <si>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</si>
  <si>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</si>
  <si>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</si>
  <si>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</si>
  <si>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</si>
  <si>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</si>
  <si>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</si>
  <si>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</si>
  <si>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</si>
  <si>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</si>
  <si>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</si>
  <si>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</si>
  <si>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</si>
  <si>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</si>
  <si>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</si>
  <si>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</si>
  <si>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</si>
  <si>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</si>
  <si>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</si>
  <si>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</si>
  <si>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</si>
  <si>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</si>
  <si>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</si>
  <si>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</si>
  <si>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</si>
  <si>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</si>
  <si>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</si>
  <si>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</si>
  <si>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</si>
  <si>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</si>
  <si>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</si>
  <si>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</si>
  <si>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</si>
  <si>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</si>
  <si>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</si>
  <si>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</si>
  <si>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</si>
  <si>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</si>
  <si>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</si>
  <si>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</si>
  <si>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</si>
  <si>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</si>
  <si>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</si>
  <si>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</si>
  <si>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</si>
  <si>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</si>
  <si>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</si>
  <si>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</si>
  <si>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</si>
  <si>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</si>
  <si>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</si>
  <si>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</si>
  <si>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</si>
  <si>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</si>
  <si>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</si>
  <si>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</si>
  <si>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</si>
  <si>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</si>
  <si>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</si>
  <si>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</si>
  <si>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</si>
  <si>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</si>
  <si>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</si>
  <si>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</si>
  <si>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</si>
  <si>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</si>
  <si>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</si>
  <si>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</si>
  <si>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</si>
  <si>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</si>
  <si>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</si>
  <si>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</si>
  <si>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</si>
  <si>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</si>
  <si>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</si>
  <si>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</si>
  <si>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</si>
  <si>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</si>
  <si>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</si>
  <si>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</si>
  <si>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</si>
  <si>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</si>
  <si>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</si>
  <si>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</si>
  <si>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</si>
  <si>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</si>
  <si>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</si>
  <si>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</si>
  <si>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</si>
  <si>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</si>
  <si>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</si>
  <si>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</si>
  <si>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</si>
  <si>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</si>
  <si>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</si>
  <si>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</si>
  <si>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</si>
  <si>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</si>
  <si>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</si>
  <si>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</si>
  <si>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</si>
  <si>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</si>
  <si>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</si>
  <si>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</si>
  <si>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</si>
  <si>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</si>
  <si>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</si>
  <si>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</si>
  <si>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</si>
  <si>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</si>
  <si>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</si>
  <si>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</si>
  <si>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</si>
  <si>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</si>
  <si>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</si>
  <si>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</si>
  <si>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</si>
  <si>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</si>
  <si>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</si>
  <si>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</si>
  <si>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</si>
  <si>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</si>
  <si>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</si>
  <si>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</si>
  <si>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</si>
  <si>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</si>
  <si>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</si>
  <si>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</si>
  <si>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</si>
  <si>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</si>
  <si>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</si>
  <si>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</si>
  <si>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</si>
  <si>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</si>
  <si>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</si>
  <si>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</si>
  <si>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</si>
  <si>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</si>
  <si>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</si>
  <si>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</si>
  <si>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</si>
  <si>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</si>
  <si>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</si>
  <si>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</si>
  <si>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</si>
  <si>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</si>
  <si>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</si>
  <si>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</si>
  <si>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</si>
  <si>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</si>
  <si>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</si>
  <si>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</si>
  <si>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</si>
  <si>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</si>
  <si>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</si>
  <si>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</si>
  <si>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</si>
  <si>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</si>
  <si>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</si>
  <si>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</si>
  <si>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</si>
  <si>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</si>
  <si>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</si>
  <si>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</si>
  <si>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</si>
  <si>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</si>
  <si>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</si>
  <si>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</si>
  <si>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</si>
  <si>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</si>
  <si>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</si>
  <si>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</si>
  <si>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</si>
  <si>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</si>
  <si>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</si>
  <si>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</si>
  <si>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</si>
  <si>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</si>
  <si>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</si>
  <si>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</si>
  <si>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</si>
  <si>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</si>
  <si>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</si>
  <si>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</si>
  <si>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</si>
  <si>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</si>
  <si>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</si>
  <si>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</si>
  <si>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</si>
  <si>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</si>
  <si>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</si>
  <si>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</si>
  <si>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</si>
  <si>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</si>
  <si>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</si>
  <si>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</si>
  <si>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</si>
  <si>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</si>
  <si>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</si>
  <si>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</si>
  <si>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</si>
  <si>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</si>
  <si>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</si>
  <si>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</si>
  <si>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</si>
  <si>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</si>
  <si>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</si>
  <si>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</si>
  <si>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</si>
  <si>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</si>
  <si>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</si>
  <si>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</si>
  <si>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</si>
  <si>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</si>
  <si>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</si>
  <si>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</si>
  <si>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</si>
  <si>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</si>
  <si>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</si>
  <si>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</si>
  <si>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</si>
  <si>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</si>
  <si>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</si>
  <si>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</si>
  <si>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</si>
  <si>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</si>
  <si>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</si>
  <si>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</si>
  <si>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</si>
  <si>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</si>
  <si>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</si>
  <si>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</si>
  <si>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</si>
  <si>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</si>
  <si>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</si>
  <si>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</si>
  <si>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</si>
  <si>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</si>
  <si>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</si>
  <si>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</si>
  <si>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</si>
  <si>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</si>
  <si>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</si>
  <si>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</si>
  <si>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</si>
  <si>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</si>
  <si>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</si>
  <si>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</si>
  <si>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</si>
  <si>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</si>
  <si>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</si>
  <si>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</si>
  <si>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</si>
  <si>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</si>
  <si>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</si>
  <si>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</si>
  <si>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</si>
  <si>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</si>
  <si>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</si>
  <si>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</si>
  <si>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</si>
  <si>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</si>
  <si>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</si>
  <si>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</si>
  <si>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</si>
  <si>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</si>
  <si>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</si>
  <si>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</si>
  <si>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</si>
  <si>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</si>
  <si>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</si>
  <si>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</si>
  <si>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</si>
  <si>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</si>
  <si>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</si>
  <si>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</si>
  <si>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</si>
  <si>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</si>
  <si>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</si>
  <si>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</si>
  <si>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</si>
  <si>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</si>
  <si>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</si>
  <si>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</si>
  <si>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</si>
  <si>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</si>
  <si>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</si>
  <si>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</si>
  <si>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</si>
  <si>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</si>
  <si>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</si>
  <si>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</si>
  <si>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</si>
  <si>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</si>
  <si>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</si>
  <si>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</si>
  <si>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</si>
  <si>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</si>
  <si>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</si>
  <si>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</si>
  <si>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</si>
  <si>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</si>
  <si>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</si>
  <si>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</si>
  <si>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</si>
  <si>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</si>
  <si>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</si>
  <si>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</si>
  <si>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</si>
  <si>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</si>
  <si>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</si>
  <si>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</si>
  <si>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</si>
  <si>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</si>
  <si>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</si>
  <si>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</si>
  <si>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</si>
  <si>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</si>
  <si>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</si>
  <si>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</si>
  <si>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</si>
  <si>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</si>
  <si>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</si>
  <si>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</si>
  <si>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</si>
  <si>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</si>
  <si>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</si>
  <si>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</si>
  <si>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</si>
  <si>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</si>
  <si>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</si>
  <si>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</si>
  <si>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</si>
  <si>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</si>
  <si>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</si>
  <si>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</si>
  <si>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</si>
  <si>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</si>
  <si>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</si>
  <si>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</si>
  <si>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</si>
  <si>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</si>
  <si>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</si>
  <si>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</si>
  <si>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</si>
  <si>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</si>
  <si>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</si>
  <si>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</si>
  <si>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</si>
  <si>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</si>
  <si>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</si>
  <si>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</si>
  <si>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</si>
  <si>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</si>
  <si>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</si>
  <si>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</si>
  <si>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</si>
  <si>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</si>
  <si>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</si>
  <si>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</si>
  <si>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</si>
  <si>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</si>
  <si>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</si>
  <si>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</si>
  <si>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</si>
  <si>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</si>
  <si>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</si>
  <si>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</si>
  <si>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</si>
  <si>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</si>
  <si>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</si>
  <si>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</si>
  <si>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</si>
  <si>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</si>
  <si>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</si>
  <si>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</si>
  <si>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</si>
  <si>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</si>
  <si>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</si>
  <si>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</si>
  <si>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</si>
  <si>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</si>
  <si>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</si>
  <si>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</si>
  <si>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</si>
  <si>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</si>
  <si>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</si>
  <si>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</si>
  <si>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</si>
  <si>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</si>
  <si>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</si>
  <si>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</si>
  <si>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</si>
  <si>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</si>
  <si>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</si>
  <si>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</si>
  <si>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</si>
  <si>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</si>
  <si>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</si>
  <si>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</si>
  <si>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</si>
  <si>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</si>
  <si>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</si>
  <si>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</si>
  <si>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</si>
  <si>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</si>
  <si>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</si>
  <si>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</si>
  <si>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</si>
  <si>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</si>
  <si>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</si>
  <si>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</si>
  <si>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</si>
  <si>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</si>
  <si>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</si>
  <si>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</si>
  <si>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</si>
  <si>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</si>
  <si>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</si>
  <si>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</si>
  <si>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</si>
  <si>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</si>
  <si>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</si>
  <si>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</si>
  <si>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</si>
  <si>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</si>
  <si>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</si>
  <si>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</si>
  <si>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</si>
  <si>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</si>
  <si>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</si>
  <si>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</si>
  <si>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</si>
  <si>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</si>
  <si>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</si>
  <si>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</si>
  <si>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</si>
  <si>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</si>
  <si>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</si>
  <si>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</si>
  <si>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</si>
  <si>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</si>
  <si>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</si>
  <si>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</si>
  <si>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</si>
  <si>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</si>
  <si>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</si>
  <si>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</si>
  <si>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</si>
  <si>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</si>
  <si>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</si>
  <si>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</si>
  <si>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</si>
  <si>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</si>
  <si>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</si>
  <si>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</si>
  <si>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</si>
  <si>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</si>
  <si>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</si>
  <si>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</si>
  <si>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</si>
  <si>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</si>
  <si>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</si>
  <si>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</si>
  <si>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</si>
  <si>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</si>
  <si>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</si>
  <si>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</si>
  <si>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</si>
  <si>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</si>
  <si>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</si>
  <si>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</si>
  <si>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</si>
  <si>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</si>
  <si>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</si>
  <si>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</si>
  <si>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</si>
  <si>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</si>
  <si>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</si>
  <si>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</si>
  <si>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</si>
  <si>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</si>
  <si>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</si>
  <si>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</si>
  <si>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</si>
  <si>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</si>
  <si>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</si>
  <si>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</si>
  <si>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</si>
  <si>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</si>
  <si>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</si>
  <si>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</si>
  <si>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</si>
  <si>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</si>
  <si>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</si>
  <si>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</si>
  <si>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</si>
  <si>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</si>
  <si>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</si>
  <si>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</si>
  <si>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</si>
  <si>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</si>
  <si>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</si>
  <si>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</si>
  <si>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</si>
  <si>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</si>
  <si>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</si>
  <si>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</si>
  <si>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</si>
  <si>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</si>
  <si>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</si>
  <si>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</si>
  <si>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</si>
  <si>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</si>
  <si>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</si>
  <si>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</si>
  <si>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</si>
  <si>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</si>
  <si>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</si>
  <si>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</si>
  <si>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</si>
  <si>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</si>
  <si>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</si>
  <si>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</si>
  <si>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</si>
  <si>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</si>
  <si>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</si>
  <si>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</si>
  <si>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</si>
  <si>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</si>
  <si>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</si>
  <si>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</si>
  <si>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</si>
  <si>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</si>
  <si>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</si>
  <si>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</si>
  <si>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</si>
  <si>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</si>
  <si>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</si>
  <si>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</si>
  <si>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</si>
  <si>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</si>
  <si>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</si>
  <si>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</si>
  <si>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</si>
  <si>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</si>
  <si>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</si>
  <si>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</si>
  <si>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</si>
  <si>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</si>
  <si>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</si>
  <si>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</si>
  <si>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</si>
  <si>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</si>
  <si>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</si>
  <si>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</si>
  <si>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</si>
  <si>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</si>
  <si>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</si>
  <si>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</si>
  <si>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</si>
  <si>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</si>
  <si>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</si>
  <si>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</si>
  <si>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</si>
  <si>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</si>
  <si>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</si>
  <si>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</si>
  <si>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</si>
  <si>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</si>
  <si>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</si>
  <si>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</si>
  <si>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</si>
  <si>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</si>
  <si>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</si>
  <si>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</si>
  <si>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</si>
  <si>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</si>
  <si>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</si>
  <si>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</si>
  <si>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</si>
  <si>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</si>
  <si>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</si>
  <si>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</si>
  <si>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</si>
  <si>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</si>
  <si>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</si>
  <si>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</si>
  <si>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</si>
  <si>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</si>
  <si>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</si>
  <si>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</si>
  <si>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</si>
  <si>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</si>
  <si>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</si>
  <si>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</si>
  <si>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</si>
  <si>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</si>
  <si>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</si>
  <si>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</si>
  <si>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</si>
  <si>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</si>
  <si>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</si>
  <si>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</si>
  <si>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</si>
  <si>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</si>
  <si>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</si>
  <si>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</si>
  <si>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</si>
  <si>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</si>
  <si>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</si>
  <si>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</si>
  <si>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</si>
  <si>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</si>
  <si>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</si>
  <si>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</si>
  <si>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</si>
  <si>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</si>
  <si>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</si>
  <si>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</si>
  <si>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</si>
  <si>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</si>
  <si>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</si>
  <si>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</si>
  <si>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</si>
  <si>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</si>
  <si>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</si>
  <si>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</si>
  <si>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</si>
  <si>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</si>
  <si>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</si>
  <si>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</si>
  <si>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</si>
  <si>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</si>
  <si>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</si>
  <si>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</si>
  <si>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</si>
  <si>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</si>
  <si>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</si>
  <si>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</si>
  <si>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</si>
  <si>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</si>
  <si>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</si>
  <si>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</si>
  <si>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</si>
  <si>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</si>
  <si>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</si>
  <si>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</si>
  <si>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</si>
  <si>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</si>
  <si>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</si>
  <si>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</si>
  <si>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</si>
  <si>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</si>
  <si>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</si>
  <si>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</si>
  <si>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</si>
  <si>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</si>
  <si>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</si>
  <si>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</si>
  <si>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</si>
  <si>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</si>
  <si>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</si>
  <si>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</si>
  <si>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</si>
  <si>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</si>
  <si>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</si>
  <si>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</si>
  <si>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</si>
  <si>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</si>
  <si>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</si>
  <si>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</si>
  <si>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</si>
  <si>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</si>
  <si>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</si>
  <si>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</si>
  <si>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</si>
  <si>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</si>
  <si>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</si>
  <si>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</si>
  <si>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</si>
  <si>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</si>
  <si>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</si>
  <si>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</si>
  <si>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</si>
  <si>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</si>
  <si>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</si>
  <si>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</si>
  <si>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</si>
  <si>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</si>
  <si>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</si>
  <si>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</si>
  <si>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</si>
  <si>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</si>
  <si>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</si>
  <si>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</si>
  <si>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</si>
  <si>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</si>
  <si>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</si>
  <si>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</si>
  <si>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</si>
  <si>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</si>
  <si>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</si>
  <si>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</si>
  <si>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</si>
  <si>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</si>
  <si>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</si>
  <si>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</si>
  <si>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</si>
  <si>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</si>
  <si>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</si>
  <si>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</si>
  <si>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</si>
  <si>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</si>
  <si>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</si>
  <si>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</si>
  <si>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</si>
  <si>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</si>
  <si>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</si>
  <si>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</si>
  <si>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</si>
  <si>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</si>
  <si>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</si>
  <si>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</si>
  <si>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</si>
  <si>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</si>
  <si>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</si>
  <si>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</si>
  <si>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</si>
  <si>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</si>
  <si>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</si>
  <si>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</si>
  <si>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</si>
  <si>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</si>
  <si>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</si>
  <si>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</si>
  <si>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</si>
  <si>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</si>
  <si>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</si>
  <si>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</si>
  <si>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</si>
  <si>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</si>
  <si>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</si>
  <si>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</si>
  <si>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</si>
  <si>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</si>
  <si>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</si>
  <si>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</si>
  <si>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</si>
  <si>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</si>
  <si>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</si>
  <si>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</si>
  <si>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</si>
  <si>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</si>
  <si>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</si>
  <si>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</si>
  <si>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</si>
  <si>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</si>
  <si>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</si>
  <si>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</si>
  <si>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</si>
  <si>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</si>
  <si>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</si>
  <si>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</si>
  <si>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</si>
  <si>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</si>
  <si>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</si>
  <si>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</si>
  <si>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</si>
  <si>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</si>
  <si>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</si>
  <si>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</si>
  <si>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</si>
  <si>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</si>
  <si>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</si>
  <si>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</si>
  <si>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</si>
  <si>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</si>
  <si>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</si>
  <si>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</si>
  <si>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</si>
  <si>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</si>
  <si>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</si>
  <si>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</si>
  <si>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</si>
  <si>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</si>
  <si>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</si>
  <si>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</si>
  <si>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</si>
  <si>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</si>
  <si>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</si>
  <si>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</si>
  <si>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</si>
  <si>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</si>
  <si>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</si>
  <si>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</si>
  <si>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</si>
  <si>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</si>
  <si>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</si>
  <si>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</si>
  <si>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</si>
  <si>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</si>
  <si>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</si>
  <si>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</si>
  <si>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</si>
  <si>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</si>
  <si>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</si>
  <si>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</si>
  <si>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</si>
  <si>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</si>
  <si>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</si>
  <si>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</si>
  <si>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</si>
  <si>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</si>
  <si>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</si>
  <si>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</si>
  <si>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</si>
  <si>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</si>
  <si>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</si>
  <si>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</si>
  <si>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</si>
  <si>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</si>
  <si>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</si>
  <si>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</si>
  <si>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</si>
  <si>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</si>
  <si>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</si>
  <si>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</si>
  <si>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</si>
  <si>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</si>
  <si>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</si>
  <si>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</si>
  <si>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</si>
  <si>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</si>
  <si>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</si>
  <si>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</si>
  <si>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</si>
  <si>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</si>
  <si>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</si>
  <si>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</si>
  <si>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</si>
  <si>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</si>
  <si>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</si>
  <si>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</si>
  <si>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</si>
  <si>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</si>
  <si>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</si>
  <si>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</si>
  <si>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</si>
  <si>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</si>
  <si>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</si>
  <si>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</si>
  <si>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</si>
  <si>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</si>
  <si>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</si>
  <si>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</si>
  <si>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</si>
  <si>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</si>
  <si>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</si>
  <si>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</si>
  <si>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</si>
  <si>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</si>
  <si>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</si>
  <si>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</si>
  <si>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</si>
  <si>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</si>
  <si>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</si>
  <si>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</si>
  <si>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</si>
  <si>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</si>
  <si>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</si>
  <si>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</si>
  <si>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</si>
  <si>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</si>
  <si>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</si>
  <si>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</si>
  <si>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</si>
  <si>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</si>
  <si>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</si>
  <si>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</si>
  <si>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</si>
  <si>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</si>
  <si>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</si>
  <si>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</si>
  <si>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</si>
  <si>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</si>
  <si>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</si>
  <si>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</si>
  <si>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</si>
  <si>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</si>
  <si>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</si>
  <si>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</si>
  <si>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</si>
  <si>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</si>
  <si>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</si>
  <si>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</si>
  <si>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</si>
  <si>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</si>
  <si>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</si>
  <si>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</si>
  <si>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</si>
  <si>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</si>
  <si>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</si>
  <si>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</si>
  <si>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</si>
  <si>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</si>
  <si>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</si>
  <si>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</si>
  <si>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</si>
  <si>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</si>
  <si>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</si>
  <si>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</si>
  <si>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</si>
  <si>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</si>
  <si>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</si>
  <si>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</si>
  <si>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</si>
  <si>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</si>
  <si>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</si>
  <si>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</si>
  <si>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</si>
  <si>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</si>
  <si>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</si>
  <si>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</si>
  <si>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</si>
  <si>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</si>
  <si>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</si>
  <si>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</si>
  <si>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</si>
  <si>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</si>
  <si>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</si>
  <si>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</si>
  <si>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</si>
  <si>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</si>
  <si>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</si>
  <si>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</si>
  <si>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</si>
  <si>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</si>
  <si>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</si>
  <si>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</si>
  <si>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</si>
  <si>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</si>
  <si>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</si>
  <si>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</si>
  <si>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</si>
  <si>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</si>
  <si>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</si>
  <si>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</si>
  <si>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</si>
  <si>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</si>
  <si>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</si>
  <si>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</si>
  <si>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</si>
  <si>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</si>
  <si>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</si>
  <si>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</si>
  <si>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</si>
  <si>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</si>
  <si>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</si>
  <si>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</si>
  <si>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</si>
  <si>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</si>
  <si>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</si>
  <si>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</si>
  <si>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</si>
  <si>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</si>
  <si>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</si>
  <si>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</si>
  <si>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</si>
  <si>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</si>
  <si>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</si>
  <si>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</si>
  <si>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</si>
  <si>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</si>
  <si>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</si>
  <si>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</si>
  <si>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</si>
  <si>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</si>
  <si>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</si>
  <si>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</si>
  <si>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</si>
  <si>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</si>
  <si>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</si>
  <si>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</si>
  <si>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</si>
  <si>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</si>
  <si>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</si>
  <si>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</si>
  <si>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</si>
  <si>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</si>
  <si>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</si>
  <si>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</si>
  <si>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</si>
  <si>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</si>
  <si>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</si>
  <si>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</si>
  <si>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</si>
  <si>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</si>
  <si>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</si>
  <si>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</si>
  <si>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</si>
  <si>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</si>
  <si>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</si>
  <si>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</si>
  <si>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</si>
  <si>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</si>
  <si>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</si>
  <si>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</si>
  <si>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</si>
  <si>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</si>
  <si>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</si>
  <si>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</si>
  <si>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</si>
  <si>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</si>
  <si>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</si>
  <si>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</si>
  <si>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</si>
  <si>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</si>
  <si>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</si>
  <si>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</si>
  <si>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</si>
  <si>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</si>
  <si>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</si>
  <si>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</si>
  <si>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</si>
  <si>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</si>
  <si>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</si>
  <si>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</si>
  <si>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</si>
  <si>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</si>
  <si>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</si>
  <si>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</si>
  <si>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</si>
  <si>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</si>
  <si>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</si>
  <si>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</si>
  <si>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</si>
  <si>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</si>
  <si>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</si>
  <si>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</si>
  <si>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</si>
  <si>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</si>
  <si>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</si>
  <si>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</si>
  <si>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</si>
  <si>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</si>
  <si>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</si>
  <si>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</si>
  <si>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</si>
  <si>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</si>
  <si>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</si>
  <si>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</si>
  <si>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</si>
  <si>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</si>
  <si>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</si>
  <si>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</si>
  <si>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</si>
  <si>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</si>
  <si>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</si>
  <si>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</si>
  <si>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</si>
  <si>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</si>
  <si>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</si>
  <si>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</si>
  <si>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</si>
  <si>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</si>
  <si>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</si>
  <si>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</si>
  <si>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</si>
  <si>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</si>
  <si>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</si>
  <si>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</si>
  <si>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</si>
  <si>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</si>
  <si>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</si>
  <si>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</si>
  <si>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</si>
  <si>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</si>
  <si>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</si>
  <si>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</si>
  <si>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</si>
  <si>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</si>
  <si>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</si>
  <si>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</si>
  <si>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</si>
  <si>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</si>
  <si>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</si>
  <si>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</si>
  <si>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</si>
  <si>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</si>
  <si>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</si>
  <si>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</si>
  <si>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</si>
  <si>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</si>
  <si>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</si>
  <si>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</si>
  <si>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</si>
  <si>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</si>
  <si>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</si>
  <si>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</si>
  <si>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</si>
  <si>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</si>
  <si>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</si>
  <si>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</si>
  <si>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</si>
  <si>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</si>
  <si>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</si>
  <si>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</si>
  <si>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</si>
  <si>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</si>
  <si>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</si>
  <si>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</si>
  <si>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</si>
  <si>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</si>
  <si>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</si>
  <si>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</si>
  <si>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</si>
  <si>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</si>
  <si>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</si>
  <si>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</si>
  <si>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</si>
  <si>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</si>
  <si>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</si>
  <si>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</si>
  <si>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</si>
  <si>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</si>
  <si>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</si>
  <si>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</si>
  <si>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</si>
  <si>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</si>
  <si>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</si>
  <si>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</si>
  <si>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</si>
  <si>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</si>
  <si>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</si>
  <si>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</si>
  <si>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</si>
  <si>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</si>
  <si>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</si>
  <si>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</si>
  <si>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</si>
  <si>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</si>
  <si>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</si>
  <si>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</si>
  <si>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</si>
  <si>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</si>
  <si>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</si>
  <si>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</si>
  <si>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</si>
  <si>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</si>
  <si>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</si>
  <si>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</si>
  <si>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</si>
  <si>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</si>
  <si>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</si>
  <si>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</si>
  <si>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</si>
  <si>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</si>
  <si>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</si>
  <si>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</si>
  <si>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</si>
  <si>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</si>
  <si>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</si>
  <si>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</si>
  <si>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</si>
  <si>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</si>
  <si>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</si>
  <si>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</si>
  <si>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</si>
  <si>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</si>
  <si>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</si>
  <si>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</si>
  <si>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</si>
  <si>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</si>
  <si>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</si>
  <si>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</si>
  <si>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</si>
  <si>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</si>
  <si>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</si>
  <si>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</si>
  <si>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</si>
  <si>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</si>
  <si>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</si>
  <si>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</si>
  <si>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</si>
  <si>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</si>
  <si>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</si>
  <si>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</si>
  <si>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</si>
  <si>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</si>
  <si>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</si>
  <si>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</si>
  <si>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</si>
  <si>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</si>
  <si>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</si>
  <si>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</si>
  <si>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</si>
  <si>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</si>
  <si>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</si>
  <si>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</si>
  <si>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</si>
  <si>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</si>
  <si>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</si>
  <si>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</si>
  <si>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</si>
  <si>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</si>
  <si>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</si>
  <si>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</si>
  <si>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</si>
  <si>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</si>
  <si>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</si>
  <si>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</si>
  <si>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</si>
  <si>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</si>
  <si>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</si>
  <si>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</si>
  <si>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</si>
  <si>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</si>
  <si>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</si>
  <si>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</si>
  <si>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</si>
  <si>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</si>
  <si>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</si>
  <si>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</si>
  <si>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</si>
  <si>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</si>
  <si>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</si>
  <si>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</si>
  <si>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</si>
  <si>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</si>
  <si>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</si>
  <si>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</si>
  <si>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</si>
  <si>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</si>
  <si>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</si>
  <si>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</si>
  <si>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</si>
  <si>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</si>
  <si>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</si>
  <si>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</si>
  <si>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</si>
  <si>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</si>
  <si>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</si>
  <si>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</si>
  <si>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</si>
  <si>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</si>
  <si>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</si>
  <si>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</si>
  <si>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</si>
  <si>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</si>
  <si>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</si>
  <si>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</si>
  <si>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</si>
  <si>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</si>
  <si>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</si>
  <si>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</si>
  <si>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</si>
  <si>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</si>
  <si>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</si>
  <si>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</si>
  <si>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</si>
  <si>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</si>
  <si>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</si>
  <si>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</si>
  <si>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</si>
  <si>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</si>
  <si>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</si>
  <si>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</si>
  <si>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</si>
  <si>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</si>
  <si>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</si>
  <si>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</si>
  <si>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</si>
  <si>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</si>
  <si>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</si>
  <si>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</si>
  <si>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</si>
  <si>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</si>
  <si>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</si>
  <si>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</si>
  <si>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</si>
  <si>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</si>
  <si>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</si>
  <si>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</si>
  <si>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</si>
  <si>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</si>
  <si>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</si>
  <si>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</si>
  <si>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</si>
  <si>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</si>
  <si>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</si>
  <si>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</si>
  <si>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</si>
  <si>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</si>
  <si>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</si>
  <si>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</si>
  <si>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</si>
  <si>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</si>
  <si>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</si>
  <si>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</si>
  <si>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</si>
  <si>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</si>
  <si>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</si>
  <si>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</si>
  <si>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</si>
  <si>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</si>
  <si>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</si>
  <si>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</si>
  <si>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</si>
  <si>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</si>
  <si>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</si>
  <si>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</si>
  <si>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</si>
  <si>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</si>
  <si>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</si>
  <si>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</si>
  <si>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</si>
  <si>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</si>
  <si>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</si>
  <si>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</si>
  <si>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</si>
  <si>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</si>
  <si>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</si>
  <si>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</si>
  <si>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</si>
  <si>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</si>
  <si>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</si>
  <si>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</si>
  <si>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</si>
  <si>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</si>
  <si>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</si>
  <si>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</si>
  <si>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</si>
  <si>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</si>
  <si>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</si>
  <si>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</si>
  <si>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</si>
  <si>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</si>
  <si>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</si>
  <si>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</si>
  <si>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</si>
  <si>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</si>
  <si>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</si>
  <si>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</si>
  <si>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</si>
  <si>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</si>
  <si>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</si>
  <si>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</si>
  <si>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</si>
  <si>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</si>
  <si>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</si>
  <si>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</si>
  <si>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</si>
  <si>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</si>
  <si>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</si>
  <si>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</si>
  <si>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</si>
  <si>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</si>
  <si>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</si>
  <si>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</si>
  <si>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</si>
  <si>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</si>
  <si>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</si>
  <si>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</si>
  <si>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</si>
  <si>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</si>
  <si>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</si>
  <si>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</si>
  <si>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</si>
  <si>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</si>
  <si>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</si>
  <si>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</si>
  <si>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</si>
  <si>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</si>
  <si>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</si>
  <si>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</si>
  <si>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</si>
  <si>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</si>
  <si>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</si>
  <si>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</si>
  <si>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</si>
  <si>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</si>
  <si>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</si>
  <si>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</si>
  <si>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</si>
  <si>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</si>
  <si>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</si>
  <si>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</si>
  <si>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</si>
  <si>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</si>
  <si>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</si>
  <si>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</si>
  <si>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</si>
  <si>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</si>
  <si>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</si>
  <si>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</si>
  <si>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</si>
  <si>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</si>
  <si>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</si>
  <si>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</si>
  <si>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</si>
  <si>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</si>
  <si>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</si>
  <si>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</si>
  <si>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</si>
  <si>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</si>
  <si>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</si>
  <si>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</si>
  <si>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</si>
  <si>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</si>
  <si>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</si>
  <si>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</si>
  <si>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</si>
  <si>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</si>
  <si>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</si>
  <si>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</si>
  <si>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</si>
  <si>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</si>
  <si>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</si>
  <si>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</si>
  <si>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</si>
  <si>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</si>
  <si>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</si>
  <si>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</si>
  <si>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</si>
  <si>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</si>
  <si>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</si>
  <si>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</si>
  <si>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</si>
  <si>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</si>
  <si>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</si>
  <si>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</si>
  <si>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</si>
  <si>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</si>
  <si>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</si>
  <si>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</si>
  <si>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</si>
  <si>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</si>
  <si>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</si>
  <si>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</si>
  <si>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</si>
  <si>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</si>
  <si>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</si>
  <si>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</si>
  <si>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</si>
  <si>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</si>
  <si>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</si>
  <si>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</si>
  <si>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</si>
  <si>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</si>
  <si>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</si>
  <si>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</si>
  <si>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</si>
  <si>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</si>
  <si>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</si>
  <si>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</si>
  <si>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</si>
  <si>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</si>
  <si>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</si>
  <si>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</si>
  <si>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</si>
  <si>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</si>
  <si>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</si>
  <si>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</si>
  <si>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</si>
  <si>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</si>
  <si>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</si>
  <si>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</si>
  <si>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</si>
  <si>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</si>
  <si>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</si>
  <si>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</si>
  <si>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</si>
  <si>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</si>
  <si>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</si>
  <si>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</si>
  <si>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</si>
  <si>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</si>
  <si>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</si>
  <si>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</si>
  <si>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</si>
  <si>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</si>
  <si>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</si>
  <si>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</si>
  <si>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</si>
  <si>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</si>
  <si>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</si>
  <si>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</si>
  <si>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</si>
  <si>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</si>
  <si>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</si>
  <si>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</si>
  <si>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</si>
  <si>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</si>
  <si>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</si>
  <si>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</si>
  <si>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</si>
  <si>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</si>
  <si>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</si>
  <si>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</si>
  <si>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</si>
  <si>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</si>
  <si>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</si>
  <si>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</si>
  <si>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</si>
  <si>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</si>
  <si>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</si>
  <si>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</si>
  <si>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</si>
  <si>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</si>
  <si>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</si>
  <si>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</si>
  <si>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</si>
  <si>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</si>
  <si>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</si>
  <si>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</si>
  <si>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</si>
  <si>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</si>
  <si>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</si>
  <si>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</si>
  <si>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</si>
  <si>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</si>
  <si>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</si>
  <si>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</si>
  <si>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</si>
  <si>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</si>
  <si>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</si>
  <si>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</si>
  <si>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</si>
  <si>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</si>
  <si>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</si>
  <si>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</si>
  <si>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</si>
  <si>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</si>
  <si>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</si>
  <si>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</si>
  <si>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</si>
  <si>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</si>
  <si>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</si>
  <si>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</si>
  <si>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</si>
  <si>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</si>
  <si>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</si>
  <si>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</si>
  <si>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</si>
  <si>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</si>
  <si>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</si>
  <si>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</si>
  <si>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</si>
  <si>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</si>
  <si>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</si>
  <si>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</si>
  <si>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</si>
  <si>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</si>
  <si>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</si>
  <si>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</si>
  <si>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</si>
  <si>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</si>
  <si>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</si>
  <si>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</si>
  <si>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</si>
  <si>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</si>
  <si>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</si>
  <si>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</si>
  <si>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</si>
  <si>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</si>
  <si>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</si>
  <si>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</si>
  <si>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</si>
  <si>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</si>
  <si>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</si>
  <si>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</si>
  <si>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</si>
  <si>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</si>
  <si>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</si>
  <si>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</si>
  <si>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</si>
  <si>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</si>
  <si>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</si>
  <si>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</si>
  <si>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</si>
  <si>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</si>
  <si>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</si>
  <si>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</si>
  <si>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</si>
  <si>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</si>
  <si>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</si>
  <si>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</si>
  <si>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</si>
  <si>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</si>
  <si>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</si>
  <si>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</si>
  <si>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</si>
  <si>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</si>
  <si>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</si>
  <si>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</si>
  <si>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</si>
  <si>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</si>
  <si>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</si>
  <si>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</si>
  <si>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</si>
  <si>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</si>
  <si>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</si>
  <si>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</si>
  <si>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</si>
  <si>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</si>
  <si>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</si>
  <si>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</si>
  <si>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</si>
  <si>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</si>
  <si>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</si>
  <si>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</si>
  <si>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</si>
  <si>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</si>
  <si>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</si>
  <si>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</si>
  <si>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</si>
  <si>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</si>
  <si>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</si>
  <si>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</si>
  <si>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</si>
  <si>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</si>
  <si>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</si>
  <si>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</si>
  <si>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</si>
  <si>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</si>
  <si>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</si>
  <si>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</si>
  <si>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</si>
  <si>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</si>
  <si>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</si>
  <si>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</si>
  <si>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</si>
  <si>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</si>
  <si>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</si>
  <si>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</si>
  <si>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</si>
  <si>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</si>
  <si>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</si>
  <si>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</si>
  <si>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</si>
  <si>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</si>
  <si>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</si>
  <si>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</si>
  <si>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</si>
  <si>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</si>
  <si>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</si>
  <si>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</si>
  <si>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</si>
  <si>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</si>
  <si>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</si>
  <si>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</si>
  <si>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</si>
  <si>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</si>
  <si>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</si>
  <si>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</si>
  <si>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</si>
  <si>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</si>
  <si>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</si>
  <si>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</si>
  <si>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</si>
  <si>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</si>
  <si>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</si>
  <si>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</si>
  <si>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</si>
  <si>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</si>
  <si>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</si>
  <si>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</si>
  <si>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</si>
  <si>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</si>
  <si>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</si>
  <si>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</si>
  <si>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</si>
  <si>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</si>
  <si>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</si>
  <si>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</si>
  <si>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</si>
  <si>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</si>
  <si>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</si>
  <si>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</si>
  <si>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</si>
  <si>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</si>
  <si>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</si>
  <si>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</si>
  <si>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</si>
  <si>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</si>
  <si>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</si>
  <si>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</si>
  <si>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</si>
  <si>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</si>
  <si>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</si>
  <si>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</si>
  <si>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</si>
  <si>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</si>
  <si>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</si>
  <si>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</si>
  <si>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</si>
  <si>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</si>
  <si>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</si>
  <si>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</si>
  <si>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</si>
  <si>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</si>
  <si>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</si>
  <si>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</si>
  <si>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</si>
  <si>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</si>
  <si>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</si>
  <si>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</si>
  <si>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</si>
  <si>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</si>
  <si>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</si>
  <si>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</si>
  <si>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</si>
  <si>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</si>
  <si>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</si>
  <si>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</si>
  <si>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</si>
  <si>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</si>
  <si>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</si>
  <si>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</si>
  <si>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</si>
  <si>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</si>
  <si>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</si>
  <si>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</si>
  <si>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</si>
  <si>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</si>
  <si>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</si>
  <si>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</si>
  <si>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</si>
  <si>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</si>
  <si>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</si>
  <si>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</si>
  <si>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</si>
  <si>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</si>
  <si>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</si>
  <si>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</si>
  <si>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</si>
  <si>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</si>
  <si>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</si>
  <si>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</si>
  <si>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</si>
  <si>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</si>
  <si>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</si>
  <si>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</si>
  <si>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</si>
  <si>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</si>
  <si>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</si>
  <si>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</si>
  <si>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</si>
  <si>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</si>
  <si>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</si>
  <si>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</si>
  <si>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</si>
  <si>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</si>
  <si>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</si>
  <si>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</si>
  <si>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</si>
  <si>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</si>
  <si>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</si>
  <si>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</si>
  <si>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</si>
  <si>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</si>
  <si>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</si>
  <si>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</si>
  <si>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</si>
  <si>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</si>
  <si>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</si>
  <si>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</si>
  <si>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</si>
  <si>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</si>
  <si>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</si>
  <si>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</si>
  <si>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</si>
  <si>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</si>
  <si>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</si>
  <si>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</si>
  <si>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</si>
  <si>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</si>
  <si>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</si>
  <si>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</si>
  <si>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</si>
  <si>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</si>
  <si>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</si>
  <si>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</si>
  <si>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</si>
  <si>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</si>
  <si>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</si>
  <si>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</si>
  <si>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</si>
  <si>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</si>
  <si>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</si>
  <si>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</si>
  <si>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</si>
  <si>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</si>
  <si>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</si>
  <si>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</si>
  <si>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</si>
  <si>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</si>
  <si>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</si>
  <si>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</si>
  <si>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</si>
  <si>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</si>
  <si>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</si>
  <si>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</si>
  <si>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</si>
  <si>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</si>
  <si>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</si>
  <si>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</si>
  <si>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</si>
  <si>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</si>
  <si>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</si>
  <si>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</si>
  <si>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</si>
  <si>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</si>
  <si>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</si>
  <si>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</si>
  <si>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</si>
  <si>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</si>
  <si>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</si>
  <si>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</si>
  <si>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</si>
  <si>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</si>
  <si>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</si>
  <si>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</si>
  <si>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</si>
  <si>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</si>
  <si>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</si>
  <si>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</si>
  <si>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</si>
  <si>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</si>
  <si>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</si>
  <si>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</si>
  <si>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</si>
  <si>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</si>
  <si>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</si>
  <si>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</si>
  <si>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</si>
  <si>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</si>
  <si>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</si>
  <si>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</si>
  <si>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</si>
  <si>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</si>
  <si>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</si>
  <si>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</si>
  <si>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</si>
  <si>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</si>
  <si>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</si>
  <si>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</si>
  <si>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</si>
  <si>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</si>
  <si>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</si>
  <si>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</si>
  <si>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</si>
  <si>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</si>
  <si>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</si>
  <si>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</si>
  <si>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</si>
  <si>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</si>
  <si>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</si>
  <si>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</si>
  <si>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</si>
  <si>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</si>
  <si>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</si>
  <si>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</si>
  <si>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</si>
  <si>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</si>
  <si>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</si>
  <si>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</si>
  <si>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</si>
  <si>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</si>
  <si>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</si>
  <si>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</si>
  <si>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</si>
  <si>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</si>
  <si>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</si>
  <si>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</si>
  <si>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</si>
  <si>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</si>
  <si>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</si>
  <si>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</si>
  <si>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</si>
  <si>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</si>
  <si>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</si>
  <si>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</si>
  <si>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</si>
  <si>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</si>
  <si>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</si>
  <si>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</si>
  <si>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</si>
  <si>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</si>
  <si>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</si>
  <si>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</si>
  <si>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</si>
  <si>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</si>
  <si>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</si>
  <si>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</si>
  <si>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</si>
  <si>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</si>
  <si>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</si>
  <si>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</si>
  <si>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</si>
  <si>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</si>
  <si>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</si>
  <si>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</si>
  <si>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</si>
  <si>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</si>
  <si>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</si>
  <si>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</si>
  <si>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</si>
  <si>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</si>
  <si>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</si>
  <si>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</si>
  <si>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</si>
  <si>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</si>
  <si>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</si>
  <si>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</si>
  <si>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</si>
  <si>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</si>
  <si>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</si>
  <si>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</si>
  <si>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</si>
  <si>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</si>
  <si>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</si>
  <si>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</si>
  <si>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</si>
  <si>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</si>
  <si>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</si>
  <si>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</si>
  <si>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</si>
  <si>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</si>
  <si>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</si>
  <si>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</si>
  <si>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</si>
  <si>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</si>
  <si>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</si>
  <si>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</si>
  <si>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</si>
  <si>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</si>
  <si>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</si>
  <si>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</si>
  <si>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</si>
  <si>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</si>
  <si>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</si>
  <si>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</si>
  <si>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</si>
  <si>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</si>
  <si>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</si>
  <si>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</si>
  <si>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</si>
  <si>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</si>
  <si>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</si>
  <si>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</si>
  <si>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</si>
  <si>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</si>
  <si>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</si>
  <si>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</si>
  <si>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</si>
  <si>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</si>
  <si>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</si>
  <si>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</si>
  <si>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</si>
  <si>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</si>
  <si>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</si>
  <si>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</si>
  <si>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</si>
  <si>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</si>
  <si>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</si>
  <si>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</si>
  <si>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</si>
  <si>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</si>
  <si>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</si>
  <si>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</si>
  <si>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</si>
  <si>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</si>
  <si>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</si>
  <si>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</si>
  <si>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</si>
  <si>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</si>
  <si>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</si>
  <si>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</si>
  <si>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</si>
  <si>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</si>
  <si>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</si>
  <si>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</si>
  <si>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</si>
  <si>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</si>
  <si>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</si>
  <si>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</si>
  <si>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</si>
  <si>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</si>
  <si>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</si>
  <si>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</si>
  <si>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</si>
  <si>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</si>
  <si>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</si>
  <si>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</si>
  <si>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</si>
  <si>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</si>
  <si>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</si>
  <si>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</si>
  <si>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</si>
  <si>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</si>
  <si>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</si>
  <si>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</si>
  <si>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</si>
  <si>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</si>
  <si>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</si>
  <si>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</si>
  <si>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</si>
  <si>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</si>
  <si>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</si>
  <si>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</si>
  <si>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</si>
  <si>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</si>
  <si>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</si>
  <si>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</si>
  <si>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</si>
  <si>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</si>
  <si>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</si>
  <si>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</si>
  <si>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</si>
  <si>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</si>
  <si>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</si>
  <si>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</si>
  <si>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</si>
  <si>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</si>
  <si>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</si>
  <si>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</si>
  <si>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</si>
  <si>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</si>
  <si>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</si>
  <si>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</si>
  <si>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</si>
  <si>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</si>
  <si>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</si>
  <si>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</si>
  <si>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</si>
  <si>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</si>
  <si>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</si>
  <si>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</si>
  <si>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</si>
  <si>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</si>
  <si>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</si>
  <si>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</si>
  <si>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</si>
  <si>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</si>
  <si>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</si>
  <si>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</si>
  <si>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</si>
  <si>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</si>
  <si>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</si>
  <si>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</si>
  <si>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</si>
  <si>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</si>
  <si>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</si>
  <si>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</si>
  <si>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</si>
  <si>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</si>
  <si>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</si>
  <si>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</si>
  <si>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</si>
  <si>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</si>
  <si>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</si>
  <si>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</si>
  <si>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</si>
  <si>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</si>
  <si>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</si>
  <si>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</si>
  <si>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</si>
  <si>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</si>
  <si>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</si>
  <si>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</si>
  <si>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</si>
  <si>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</si>
  <si>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</si>
  <si>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</si>
  <si>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</si>
  <si>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</si>
  <si>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</si>
  <si>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</si>
  <si>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</si>
  <si>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</si>
  <si>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</si>
  <si>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</si>
  <si>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</si>
  <si>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</si>
  <si>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</si>
  <si>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</si>
  <si>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</si>
  <si>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</si>
  <si>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</si>
  <si>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</si>
  <si>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</si>
  <si>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</si>
  <si>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</si>
  <si>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</si>
  <si>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</si>
  <si>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</si>
  <si>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</si>
  <si>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</si>
  <si>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</si>
  <si>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</si>
  <si>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</si>
  <si>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</si>
  <si>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</si>
  <si>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</si>
  <si>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</si>
  <si>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</si>
  <si>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</si>
  <si>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</si>
  <si>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</si>
  <si>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</si>
  <si>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</si>
  <si>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</si>
  <si>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</si>
  <si>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</si>
  <si>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</si>
  <si>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</si>
  <si>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</si>
  <si>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</si>
  <si>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</si>
  <si>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</si>
  <si>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</si>
  <si>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</si>
  <si>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</si>
  <si>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</si>
  <si>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</si>
  <si>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</si>
  <si>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</si>
  <si>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</si>
  <si>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</si>
  <si>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</si>
  <si>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</si>
  <si>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</si>
  <si>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</si>
  <si>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</si>
  <si>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</si>
  <si>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</si>
  <si>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</si>
  <si>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</si>
  <si>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</si>
  <si>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</si>
  <si>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</si>
  <si>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</si>
  <si>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</si>
  <si>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</si>
  <si>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</si>
  <si>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</si>
  <si>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</si>
  <si>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</si>
  <si>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</si>
  <si>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</si>
  <si>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</si>
  <si>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</si>
  <si>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</si>
  <si>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</si>
  <si>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</si>
  <si>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</si>
  <si>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</si>
  <si>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</si>
  <si>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</si>
  <si>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</si>
  <si>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</si>
  <si>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</si>
  <si>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</si>
  <si>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</si>
  <si>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</si>
  <si>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</si>
  <si>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</si>
  <si>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</si>
  <si>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</si>
  <si>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</si>
  <si>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</si>
  <si>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</si>
  <si>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</si>
  <si>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</si>
  <si>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</si>
  <si>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</si>
  <si>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</si>
  <si>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</si>
  <si>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</si>
  <si>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</si>
  <si>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</si>
  <si>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</si>
  <si>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</si>
  <si>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</si>
  <si>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</si>
  <si>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</si>
  <si>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</si>
  <si>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</si>
  <si>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</si>
  <si>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</si>
  <si>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</si>
  <si>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</si>
  <si>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</si>
  <si>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</si>
  <si>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</si>
  <si>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</si>
  <si>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</si>
  <si>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</si>
  <si>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</si>
  <si>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</si>
  <si>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</si>
  <si>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</si>
  <si>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</si>
  <si>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</si>
  <si>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</si>
  <si>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</si>
  <si>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</si>
  <si>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</si>
  <si>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</si>
  <si>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</si>
  <si>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</si>
  <si>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</si>
  <si>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</si>
  <si>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</si>
  <si>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</si>
  <si>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</si>
  <si>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</si>
  <si>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</si>
  <si>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</si>
  <si>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</si>
  <si>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</si>
  <si>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</si>
  <si>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</si>
  <si>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</si>
  <si>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</si>
  <si>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</si>
  <si>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</si>
  <si>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</si>
  <si>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</si>
  <si>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</si>
  <si>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</si>
  <si>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</si>
  <si>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</si>
  <si>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</si>
  <si>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</si>
  <si>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</si>
  <si>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</si>
  <si>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</si>
  <si>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</si>
  <si>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</si>
  <si>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</si>
  <si>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</si>
  <si>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</si>
  <si>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</si>
  <si>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</si>
  <si>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</si>
  <si>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</si>
  <si>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</si>
  <si>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</si>
  <si>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</si>
  <si>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</si>
  <si>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</si>
  <si>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</si>
  <si>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</si>
  <si>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</si>
  <si>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</si>
  <si>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</si>
  <si>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</si>
  <si>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</si>
  <si>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</si>
  <si>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</si>
  <si>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</si>
  <si>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</si>
  <si>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</si>
  <si>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</si>
  <si>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</si>
  <si>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</si>
  <si>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</si>
  <si>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</si>
  <si>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</si>
  <si>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</si>
  <si>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</si>
  <si>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</si>
  <si>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</si>
  <si>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</si>
  <si>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</si>
  <si>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</si>
  <si>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</si>
  <si>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</si>
  <si>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</si>
  <si>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</si>
  <si>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</si>
  <si>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</si>
  <si>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</si>
  <si>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</si>
  <si>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</si>
  <si>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</si>
  <si>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</si>
  <si>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</si>
  <si>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</si>
  <si>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</si>
  <si>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</si>
  <si>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</si>
  <si>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</si>
  <si>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</si>
  <si>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</si>
  <si>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</si>
  <si>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</si>
  <si>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</si>
  <si>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</si>
  <si>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</si>
  <si>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</si>
  <si>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</si>
  <si>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</si>
  <si>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</si>
  <si>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</si>
  <si>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</si>
  <si>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</si>
  <si>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</si>
  <si>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</si>
  <si>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</si>
  <si>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</si>
  <si>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</si>
  <si>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</si>
  <si>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</si>
  <si>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</si>
  <si>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</si>
  <si>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</si>
  <si>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</si>
  <si>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</si>
  <si>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</si>
  <si>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</si>
  <si>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</si>
  <si>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</si>
  <si>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</si>
  <si>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</si>
  <si>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</si>
  <si>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</si>
  <si>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</si>
  <si>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</si>
  <si>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</si>
  <si>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</si>
  <si>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</si>
  <si>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</si>
  <si>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</si>
  <si>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</si>
  <si>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</si>
  <si>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</si>
  <si>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</si>
  <si>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</si>
  <si>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</si>
  <si>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</si>
  <si>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</si>
  <si>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</si>
  <si>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</si>
  <si>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</si>
  <si>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</si>
  <si>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</si>
  <si>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</si>
  <si>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</si>
  <si>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</si>
  <si>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</si>
  <si>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</si>
  <si>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</si>
  <si>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</si>
  <si>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</si>
  <si>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</si>
  <si>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</si>
  <si>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</si>
  <si>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</si>
  <si>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</si>
  <si>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</si>
  <si>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</si>
  <si>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</si>
  <si>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</si>
  <si>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</si>
  <si>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</si>
  <si>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</si>
  <si>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</si>
  <si>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</si>
  <si>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</si>
  <si>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</si>
  <si>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</si>
  <si>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</si>
  <si>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</si>
  <si>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</si>
  <si>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</si>
  <si>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</si>
  <si>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</si>
  <si>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</si>
  <si>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</si>
  <si>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</si>
  <si>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</si>
  <si>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</si>
  <si>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</si>
  <si>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</si>
  <si>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</si>
  <si>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</si>
  <si>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</si>
  <si>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</si>
  <si>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</si>
  <si>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</si>
  <si>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</si>
  <si>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</si>
  <si>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</si>
  <si>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</si>
  <si>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</si>
  <si>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</si>
  <si>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</si>
  <si>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</si>
  <si>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</si>
  <si>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</si>
  <si>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</si>
  <si>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</si>
  <si>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</si>
  <si>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</si>
  <si>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</si>
  <si>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</si>
  <si>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</si>
  <si>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</si>
  <si>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</si>
  <si>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</si>
  <si>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</si>
  <si>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</si>
  <si>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</si>
  <si>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</si>
  <si>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</si>
  <si>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</si>
  <si>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</si>
  <si>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</si>
  <si>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</si>
  <si>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</si>
  <si>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</si>
  <si>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</si>
  <si>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</si>
  <si>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</si>
  <si>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</si>
  <si>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</si>
  <si>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</si>
  <si>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</si>
  <si>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</si>
  <si>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</si>
  <si>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</si>
  <si>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</si>
  <si>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</si>
  <si>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</si>
  <si>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</si>
  <si>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</si>
  <si>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</si>
  <si>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</si>
  <si>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</si>
  <si>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</si>
  <si>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</si>
  <si>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</si>
  <si>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</si>
  <si>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</si>
  <si>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</si>
  <si>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</si>
  <si>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</si>
  <si>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</si>
  <si>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</si>
  <si>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</si>
  <si>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</si>
  <si>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</si>
  <si>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</si>
  <si>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</si>
  <si>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</si>
  <si>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</si>
  <si>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</si>
  <si>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</si>
  <si>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</si>
  <si>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</si>
  <si>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</si>
  <si>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</si>
  <si>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</si>
  <si>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</si>
  <si>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</si>
  <si>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</si>
  <si>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</si>
  <si>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</si>
  <si>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</si>
  <si>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</si>
  <si>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</si>
  <si>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</si>
  <si>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</si>
  <si>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</si>
  <si>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</si>
  <si>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</si>
  <si>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</si>
  <si>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</si>
  <si>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</si>
  <si>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</si>
  <si>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</si>
  <si>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</si>
  <si>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</si>
  <si>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</si>
  <si>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</si>
  <si>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</si>
  <si>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</si>
  <si>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</si>
  <si>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</si>
  <si>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</si>
  <si>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</si>
  <si>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</si>
  <si>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</si>
  <si>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</si>
  <si>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</si>
  <si>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</si>
  <si>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</si>
  <si>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</si>
  <si>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</si>
  <si>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</si>
  <si>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</si>
  <si>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</si>
  <si>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</si>
  <si>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</si>
  <si>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</si>
  <si>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</si>
  <si>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</si>
  <si>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</si>
  <si>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</si>
  <si>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</si>
  <si>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</si>
  <si>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</si>
  <si>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</si>
  <si>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</si>
  <si>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</si>
  <si>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</si>
  <si>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</si>
  <si>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</si>
  <si>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</si>
  <si>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</si>
  <si>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</si>
  <si>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</si>
  <si>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</si>
  <si>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</si>
  <si>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</si>
  <si>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</si>
  <si>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</si>
  <si>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</si>
  <si>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</si>
  <si>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</si>
  <si>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</si>
  <si>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</si>
  <si>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</si>
  <si>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</si>
  <si>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</si>
  <si>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</si>
  <si>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</si>
  <si>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</si>
  <si>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</si>
  <si>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</si>
  <si>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</si>
  <si>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</si>
  <si>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</si>
  <si>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</si>
  <si>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</si>
  <si>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</si>
  <si>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</si>
  <si>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</si>
  <si>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</si>
  <si>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</si>
  <si>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</si>
  <si>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</si>
  <si>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</si>
  <si>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</si>
  <si>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</si>
  <si>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</si>
  <si>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</si>
  <si>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</si>
  <si>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</si>
  <si>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</si>
  <si>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</si>
  <si>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</si>
  <si>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</si>
  <si>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</si>
  <si>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</si>
  <si>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</si>
  <si>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</si>
  <si>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</si>
  <si>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</si>
  <si>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</si>
  <si>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</si>
  <si>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</si>
  <si>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</si>
  <si>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</si>
  <si>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</si>
  <si>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</si>
  <si>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</si>
  <si>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</si>
  <si>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</si>
  <si>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</si>
  <si>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</si>
  <si>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</si>
  <si>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</si>
  <si>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</si>
  <si>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</si>
  <si>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</si>
  <si>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</si>
  <si>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</si>
  <si>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</si>
  <si>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</si>
  <si>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</si>
  <si>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</si>
  <si>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</si>
  <si>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</si>
  <si>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</si>
  <si>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</si>
  <si>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</si>
  <si>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</si>
  <si>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</si>
  <si>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</si>
  <si>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</si>
  <si>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</si>
  <si>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</si>
  <si>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</si>
  <si>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</si>
  <si>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</si>
  <si>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</si>
  <si>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</si>
  <si>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</si>
  <si>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</si>
  <si>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</si>
  <si>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</si>
  <si>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</si>
  <si>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</si>
  <si>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</si>
  <si>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</si>
  <si>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</si>
  <si>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</si>
  <si>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</si>
  <si>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</si>
  <si>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</si>
  <si>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</si>
  <si>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</si>
  <si>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</si>
  <si>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</si>
  <si>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</si>
  <si>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</si>
  <si>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</si>
  <si>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</si>
  <si>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</si>
  <si>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</si>
  <si>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</si>
  <si>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</si>
  <si>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</si>
  <si>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</si>
  <si>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</si>
  <si>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</si>
  <si>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</si>
  <si>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</si>
  <si>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</si>
  <si>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</si>
  <si>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</si>
  <si>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</si>
  <si>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</si>
  <si>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</si>
  <si>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</si>
  <si>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</si>
  <si>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</si>
  <si>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</si>
  <si>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</si>
  <si>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</si>
  <si>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</si>
  <si>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</si>
  <si>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</si>
  <si>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</si>
  <si>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</si>
  <si>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</si>
  <si>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</si>
  <si>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</si>
  <si>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</si>
  <si>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</si>
  <si>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</si>
  <si>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</si>
  <si>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</si>
  <si>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</si>
  <si>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</si>
  <si>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</si>
  <si>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</si>
  <si>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</si>
  <si>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</si>
  <si>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</si>
  <si>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</si>
  <si>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</si>
  <si>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</si>
  <si>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</si>
  <si>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</si>
  <si>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</si>
  <si>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</si>
  <si>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</si>
  <si>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</si>
  <si>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</si>
  <si>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</si>
  <si>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</si>
  <si>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</si>
  <si>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</si>
  <si>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</si>
  <si>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</si>
  <si>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</si>
  <si>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</si>
  <si>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</si>
  <si>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</si>
  <si>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</si>
  <si>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</si>
  <si>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</si>
  <si>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</si>
  <si>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</si>
  <si>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</si>
  <si>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</si>
  <si>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</si>
  <si>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</si>
  <si>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</si>
  <si>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</si>
  <si>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</si>
  <si>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</si>
  <si>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</si>
  <si>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</si>
  <si>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</si>
  <si>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</si>
  <si>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</si>
  <si>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</si>
  <si>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</si>
  <si>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</si>
  <si>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</si>
  <si>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</si>
  <si>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</si>
  <si>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</si>
  <si>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</si>
  <si>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</si>
  <si>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</si>
  <si>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</si>
  <si>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</si>
  <si>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</si>
  <si>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</si>
  <si>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</si>
  <si>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</si>
  <si>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</si>
  <si>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</si>
  <si>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</si>
  <si>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</si>
  <si>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</si>
  <si>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</si>
  <si>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</si>
  <si>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</si>
  <si>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</si>
  <si>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</si>
  <si>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</si>
  <si>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</si>
  <si>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</si>
  <si>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</si>
  <si>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</si>
  <si>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</si>
  <si>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</si>
  <si>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</si>
  <si>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</si>
  <si>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</si>
  <si>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</si>
  <si>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</si>
  <si>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</si>
  <si>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</si>
  <si>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</si>
  <si>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</si>
  <si>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</si>
  <si>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</si>
  <si>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</si>
  <si>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</si>
  <si>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</si>
  <si>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</si>
  <si>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</si>
  <si>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</si>
  <si>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</si>
  <si>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</si>
  <si>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</si>
  <si>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</si>
  <si>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</si>
  <si>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</si>
  <si>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</si>
  <si>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</si>
  <si>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</si>
  <si>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</si>
  <si>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</si>
  <si>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</si>
  <si>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</si>
  <si>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</si>
  <si>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</si>
  <si>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</si>
  <si>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</si>
  <si>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</si>
  <si>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</si>
  <si>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</si>
  <si>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</si>
  <si>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</si>
  <si>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</si>
  <si>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</si>
  <si>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</si>
  <si>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</si>
  <si>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</si>
  <si>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</si>
  <si>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</si>
  <si>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</si>
  <si>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</si>
  <si>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</si>
  <si>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</si>
  <si>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</si>
  <si>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</si>
  <si>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</si>
  <si>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</si>
  <si>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</si>
  <si>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</si>
  <si>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</si>
  <si>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</si>
  <si>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</si>
  <si>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</si>
  <si>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</si>
  <si>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</si>
  <si>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</si>
  <si>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</si>
  <si>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</si>
  <si>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</si>
  <si>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</si>
  <si>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</si>
  <si>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</si>
  <si>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</si>
  <si>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</si>
  <si>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</si>
  <si>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</si>
  <si>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</si>
  <si>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</si>
  <si>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</si>
  <si>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</si>
  <si>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</si>
  <si>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</si>
  <si>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</si>
  <si>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</si>
  <si>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</si>
  <si>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</si>
  <si>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</si>
  <si>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</si>
  <si>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</si>
  <si>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</si>
  <si>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</si>
  <si>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</si>
  <si>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</si>
  <si>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</si>
  <si>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</si>
  <si>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</si>
  <si>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</si>
  <si>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</si>
  <si>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</si>
  <si>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</si>
  <si>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</si>
  <si>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</si>
  <si>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</si>
  <si>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</si>
  <si>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</si>
  <si>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</si>
  <si>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</si>
  <si>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</si>
  <si>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</si>
  <si>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</si>
  <si>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</si>
  <si>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</si>
  <si>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</si>
  <si>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</si>
  <si>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</si>
  <si>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</si>
  <si>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</si>
  <si>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</si>
  <si>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</si>
  <si>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</si>
  <si>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</si>
  <si>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</si>
  <si>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</si>
  <si>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</si>
  <si>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</si>
  <si>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</si>
  <si>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</si>
  <si>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</si>
  <si>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</si>
  <si>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</si>
  <si>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</si>
  <si>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</si>
  <si>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</si>
  <si>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</si>
  <si>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</si>
  <si>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</si>
  <si>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</si>
  <si>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</si>
  <si>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</si>
  <si>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</si>
  <si>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</si>
  <si>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</si>
  <si>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</si>
  <si>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</si>
  <si>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</si>
  <si>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</si>
  <si>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</si>
  <si>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</si>
  <si>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</si>
  <si>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</si>
  <si>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</si>
  <si>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</si>
  <si>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</si>
  <si>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</si>
  <si>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</si>
  <si>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</si>
  <si>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</si>
  <si>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</si>
  <si>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</si>
  <si>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</si>
  <si>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</si>
  <si>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</si>
  <si>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</si>
  <si>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</si>
  <si>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</si>
  <si>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</si>
  <si>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</si>
  <si>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</si>
  <si>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</si>
  <si>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</si>
  <si>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</si>
  <si>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</si>
  <si>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</si>
  <si>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</si>
  <si>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</si>
  <si>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</si>
  <si>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</si>
  <si>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</si>
  <si>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</si>
  <si>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</si>
  <si>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</si>
  <si>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</si>
  <si>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</si>
  <si>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</si>
  <si>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</si>
  <si>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</si>
  <si>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</si>
  <si>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</si>
  <si>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</si>
  <si>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</si>
  <si>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</si>
  <si>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</si>
  <si>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</si>
  <si>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</si>
  <si>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</si>
  <si>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</si>
  <si>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</si>
  <si>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</si>
  <si>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</si>
  <si>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</si>
  <si>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</si>
  <si>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</si>
  <si>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</si>
  <si>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</si>
  <si>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</si>
  <si>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</si>
  <si>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</si>
  <si>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</si>
  <si>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</si>
  <si>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</si>
  <si>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</si>
  <si>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</si>
  <si>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</si>
  <si>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</si>
  <si>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</si>
  <si>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</si>
  <si>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</si>
  <si>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</si>
  <si>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</si>
  <si>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</si>
  <si>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</si>
  <si>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</si>
  <si>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</si>
  <si>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</si>
  <si>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</si>
  <si>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</si>
  <si>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</si>
  <si>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</si>
  <si>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</si>
  <si>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</si>
  <si>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</si>
  <si>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</si>
  <si>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</si>
  <si>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</si>
  <si>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</si>
  <si>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</si>
  <si>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</si>
  <si>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</si>
  <si>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</si>
  <si>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</si>
  <si>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</si>
  <si>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</si>
  <si>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</si>
  <si>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</si>
  <si>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</si>
  <si>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</si>
  <si>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</si>
  <si>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</si>
  <si>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</si>
  <si>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</si>
  <si>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</si>
  <si>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</si>
  <si>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</si>
  <si>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</si>
  <si>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</si>
  <si>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</si>
  <si>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</si>
  <si>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</si>
  <si>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</si>
  <si>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</si>
  <si>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</si>
  <si>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</si>
  <si>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</si>
  <si>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</si>
  <si>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</si>
  <si>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</si>
  <si>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</si>
  <si>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</si>
  <si>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</si>
  <si>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</si>
  <si>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</si>
  <si>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</si>
  <si>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</si>
  <si>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</si>
  <si>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</si>
  <si>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</si>
  <si>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</si>
  <si>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</si>
  <si>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</si>
  <si>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</si>
  <si>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</si>
  <si>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</si>
  <si>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</si>
  <si>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</si>
  <si>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</si>
  <si>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</si>
  <si>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</si>
  <si>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</si>
  <si>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</si>
  <si>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</si>
  <si>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</si>
  <si>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</si>
  <si>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</si>
  <si>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</si>
  <si>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</si>
  <si>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</si>
  <si>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</si>
  <si>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</si>
  <si>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</si>
  <si>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</si>
  <si>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</si>
  <si>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</si>
  <si>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</si>
  <si>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</si>
  <si>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</si>
  <si>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</si>
  <si>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</si>
  <si>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</si>
  <si>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</si>
  <si>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</si>
  <si>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</si>
  <si>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</si>
  <si>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</si>
  <si>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</si>
  <si>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</si>
  <si>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</si>
  <si>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</si>
  <si>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</si>
  <si>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</si>
  <si>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</si>
  <si>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</si>
  <si>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</si>
  <si>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</si>
  <si>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</si>
  <si>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</si>
  <si>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</si>
  <si>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</si>
  <si>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</si>
  <si>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</si>
  <si>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</si>
  <si>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</si>
  <si>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</si>
  <si>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</si>
  <si>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</si>
  <si>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</si>
  <si>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</si>
  <si>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</si>
  <si>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</si>
  <si>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</si>
  <si>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</si>
  <si>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</si>
  <si>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</si>
  <si>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</si>
  <si>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</si>
  <si>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</si>
  <si>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</si>
  <si>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</si>
  <si>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</si>
  <si>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</si>
  <si>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</si>
  <si>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</si>
  <si>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</si>
  <si>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</si>
  <si>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</si>
  <si>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</si>
  <si>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</si>
  <si>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</si>
  <si>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</si>
  <si>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</si>
  <si>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</si>
  <si>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</si>
  <si>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</si>
  <si>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</si>
  <si>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</si>
  <si>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</si>
  <si>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</si>
  <si>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</si>
  <si>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</si>
  <si>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</si>
  <si>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</si>
  <si>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</si>
  <si>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</si>
  <si>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</si>
  <si>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</si>
  <si>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</si>
  <si>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</si>
  <si>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</si>
  <si>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</si>
  <si>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</si>
  <si>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</si>
  <si>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</si>
  <si>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</si>
  <si>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</si>
  <si>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</si>
  <si>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</si>
  <si>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</si>
  <si>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</si>
  <si>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</si>
  <si>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</si>
  <si>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</si>
  <si>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</si>
  <si>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</si>
  <si>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</si>
  <si>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</si>
  <si>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</si>
  <si>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</si>
  <si>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</si>
  <si>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</si>
  <si>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</si>
  <si>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</si>
  <si>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</si>
  <si>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</si>
  <si>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</si>
  <si>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</si>
  <si>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</si>
  <si>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</si>
  <si>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</si>
  <si>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</si>
  <si>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</si>
  <si>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</si>
  <si>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</si>
  <si>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</si>
  <si>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</si>
  <si>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</si>
  <si>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</si>
  <si>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</si>
  <si>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</si>
  <si>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</si>
  <si>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</si>
  <si>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</si>
  <si>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</si>
  <si>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</si>
  <si>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</si>
  <si>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</si>
  <si>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</si>
  <si>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</si>
  <si>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</si>
  <si>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</si>
  <si>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</si>
  <si>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</si>
  <si>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</si>
  <si>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</si>
  <si>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</si>
  <si>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</si>
  <si>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</si>
  <si>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</si>
  <si>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</si>
  <si>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</si>
  <si>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</si>
  <si>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</si>
  <si>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</si>
  <si>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</si>
  <si>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</si>
  <si>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</si>
  <si>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</si>
  <si>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</si>
  <si>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</si>
  <si>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</si>
  <si>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</si>
  <si>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</si>
  <si>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</si>
  <si>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</si>
  <si>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</si>
  <si>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</si>
  <si>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</si>
  <si>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</si>
  <si>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</si>
  <si>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</si>
  <si>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</si>
  <si>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</si>
  <si>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</si>
  <si>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</si>
  <si>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</si>
  <si>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</si>
  <si>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</si>
  <si>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</si>
  <si>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</si>
  <si>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</si>
  <si>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</si>
  <si>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</si>
  <si>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</si>
  <si>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</si>
  <si>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</si>
  <si>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</si>
  <si>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</si>
  <si>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</si>
  <si>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</si>
  <si>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</si>
  <si>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</si>
  <si>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</si>
  <si>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</si>
  <si>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</si>
  <si>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</si>
  <si>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</si>
  <si>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</si>
  <si>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</si>
  <si>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</si>
  <si>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</si>
  <si>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</si>
  <si>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</si>
  <si>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</si>
  <si>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</si>
  <si>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</si>
  <si>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</si>
  <si>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</si>
  <si>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</si>
  <si>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</si>
  <si>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</si>
  <si>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</si>
  <si>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</si>
  <si>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</si>
  <si>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</si>
  <si>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</si>
  <si>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</si>
  <si>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</si>
  <si>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</si>
  <si>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</si>
  <si>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</si>
  <si>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</si>
  <si>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</si>
  <si>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</si>
  <si>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</si>
  <si>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</si>
  <si>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</si>
  <si>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</si>
  <si>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</si>
  <si>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</si>
  <si>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</si>
  <si>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</si>
  <si>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</si>
  <si>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</si>
  <si>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</si>
  <si>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</si>
  <si>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</si>
  <si>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</si>
  <si>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</si>
  <si>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</si>
  <si>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</si>
  <si>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</si>
  <si>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</si>
  <si>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</si>
  <si>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</si>
  <si>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</si>
  <si>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</si>
  <si>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</si>
  <si>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</si>
  <si>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</si>
  <si>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</si>
  <si>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</si>
  <si>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</si>
  <si>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</si>
  <si>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</si>
  <si>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</si>
  <si>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</si>
  <si>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</si>
  <si>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</si>
  <si>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</si>
  <si>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</si>
  <si>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</si>
  <si>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</si>
  <si>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</si>
  <si>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</si>
  <si>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</si>
  <si>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</si>
  <si>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</si>
  <si>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</si>
  <si>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</si>
  <si>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</si>
  <si>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</si>
  <si>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</si>
  <si>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</si>
  <si>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</si>
  <si>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</si>
  <si>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</si>
  <si>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</si>
  <si>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</si>
  <si>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</si>
  <si>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</si>
  <si>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</si>
  <si>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</si>
  <si>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</si>
  <si>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</si>
  <si>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</si>
  <si>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</si>
  <si>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</si>
  <si>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</si>
  <si>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</si>
  <si>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</si>
  <si>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</si>
  <si>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</si>
  <si>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</si>
  <si>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</si>
  <si>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</si>
  <si>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</si>
  <si>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</si>
  <si>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</si>
  <si>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</si>
  <si>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</si>
  <si>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</si>
  <si>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</si>
  <si>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</si>
  <si>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</si>
  <si>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</si>
  <si>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</si>
  <si>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</si>
  <si>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</si>
  <si>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</si>
  <si>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</si>
  <si>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</si>
  <si>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</si>
  <si>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</si>
  <si>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</si>
  <si>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</si>
  <si>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</si>
  <si>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</si>
  <si>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</si>
  <si>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</si>
  <si>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</si>
  <si>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</si>
  <si>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</si>
  <si>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</si>
  <si>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</si>
  <si>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</si>
  <si>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</si>
  <si>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</si>
  <si>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</si>
  <si>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</si>
  <si>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</si>
  <si>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</si>
  <si>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</si>
  <si>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</si>
  <si>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</si>
  <si>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</si>
  <si>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</si>
  <si>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</si>
  <si>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</si>
  <si>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</si>
  <si>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</si>
  <si>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</si>
  <si>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</si>
  <si>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</si>
  <si>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</si>
  <si>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</si>
  <si>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</si>
  <si>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</si>
  <si>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</si>
  <si>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</si>
  <si>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</si>
  <si>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</si>
  <si>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</si>
  <si>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</si>
  <si>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</si>
  <si>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</si>
  <si>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</si>
  <si>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</si>
  <si>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</si>
  <si>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</si>
  <si>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</si>
  <si>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</si>
  <si>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</si>
  <si>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</si>
  <si>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</si>
  <si>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</si>
  <si>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</si>
  <si>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</si>
  <si>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</si>
  <si>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</si>
  <si>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</si>
  <si>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</si>
  <si>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</si>
  <si>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</si>
  <si>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</si>
  <si>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</si>
  <si>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</si>
  <si>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</si>
  <si>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</si>
  <si>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</si>
  <si>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</si>
  <si>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</si>
  <si>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</si>
  <si>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</si>
  <si>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</si>
  <si>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</si>
  <si>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</si>
  <si>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</si>
  <si>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</si>
  <si>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</si>
  <si>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</si>
  <si>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</si>
  <si>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</si>
  <si>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</si>
  <si>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</si>
  <si>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</si>
  <si>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</si>
  <si>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</si>
  <si>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</si>
  <si>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</si>
  <si>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</si>
  <si>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</si>
  <si>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</si>
  <si>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</si>
  <si>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</si>
  <si>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</si>
  <si>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</si>
  <si>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</si>
  <si>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</si>
  <si>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</si>
  <si>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</si>
  <si>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</si>
  <si>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</si>
  <si>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</si>
  <si>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</si>
  <si>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</si>
  <si>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</si>
  <si>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</si>
  <si>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</si>
  <si>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</si>
  <si>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</si>
  <si>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</si>
  <si>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</si>
  <si>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</si>
  <si>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</si>
  <si>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</si>
  <si>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</si>
  <si>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</si>
  <si>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</si>
  <si>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</si>
  <si>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</si>
  <si>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</si>
  <si>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</si>
  <si>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</si>
  <si>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</si>
  <si>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</si>
  <si>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</si>
  <si>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</si>
  <si>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</si>
  <si>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</si>
  <si>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</si>
  <si>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</si>
  <si>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</si>
  <si>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</si>
  <si>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</si>
  <si>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</si>
  <si>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</si>
  <si>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</si>
  <si>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</si>
  <si>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</si>
  <si>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</si>
  <si>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</si>
  <si>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</si>
  <si>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</si>
  <si>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</si>
  <si>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</si>
  <si>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</si>
  <si>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</si>
  <si>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</si>
  <si>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</si>
  <si>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</si>
  <si>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</si>
  <si>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</si>
  <si>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</si>
  <si>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</si>
  <si>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</si>
  <si>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</si>
  <si>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</si>
  <si>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</si>
  <si>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</si>
  <si>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</si>
  <si>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</si>
  <si>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</si>
  <si>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</si>
  <si>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</si>
  <si>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</si>
  <si>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</si>
  <si>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</si>
  <si>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</si>
  <si>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</si>
  <si>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</si>
  <si>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</si>
  <si>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</si>
  <si>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</si>
  <si>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</si>
  <si>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</si>
  <si>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</si>
  <si>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</si>
  <si>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</si>
  <si>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</si>
  <si>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</si>
  <si>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</si>
  <si>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</si>
  <si>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</si>
  <si>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</si>
  <si>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</si>
  <si>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</si>
  <si>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</si>
  <si>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</si>
  <si>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</si>
  <si>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</si>
  <si>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</si>
  <si>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</si>
  <si>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</si>
  <si>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</si>
  <si>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</si>
  <si>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</si>
  <si>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</si>
  <si>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</si>
  <si>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</si>
  <si>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</si>
  <si>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</si>
  <si>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</si>
  <si>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</si>
  <si>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</si>
  <si>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</si>
  <si>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</si>
  <si>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</si>
  <si>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</si>
  <si>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</si>
  <si>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</si>
  <si>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</si>
  <si>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</si>
  <si>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</si>
  <si>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</si>
  <si>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</si>
  <si>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</si>
  <si>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</si>
  <si>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</si>
  <si>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</si>
  <si>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</si>
  <si>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</si>
  <si>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</si>
  <si>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</si>
  <si>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</si>
  <si>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</si>
  <si>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</si>
  <si>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</si>
  <si>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</si>
  <si>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</si>
  <si>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</si>
  <si>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</si>
  <si>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</si>
  <si>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</si>
  <si>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</si>
  <si>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</si>
  <si>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</si>
  <si>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</si>
  <si>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</si>
  <si>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</si>
  <si>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</si>
  <si>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</si>
  <si>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</si>
  <si>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</si>
  <si>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</si>
  <si>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</si>
  <si>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</si>
  <si>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</si>
  <si>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</si>
  <si>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</si>
  <si>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</si>
  <si>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</si>
  <si>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</si>
  <si>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</si>
  <si>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</si>
  <si>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</si>
  <si>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</si>
  <si>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</si>
  <si>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</si>
  <si>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</si>
  <si>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</si>
  <si>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</si>
  <si>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</si>
  <si>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</si>
  <si>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</si>
  <si>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</si>
  <si>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</si>
  <si>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</si>
  <si>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</si>
  <si>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</si>
  <si>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</si>
  <si>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</si>
  <si>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</si>
  <si>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</si>
  <si>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</si>
  <si>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</si>
  <si>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</si>
  <si>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</si>
  <si>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</si>
  <si>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</si>
  <si>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</si>
  <si>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</si>
  <si>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</si>
  <si>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</si>
  <si>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</si>
  <si>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</si>
  <si>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</si>
  <si>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</si>
  <si>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</si>
  <si>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</si>
  <si>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</si>
  <si>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</si>
  <si>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</si>
  <si>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</si>
  <si>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</si>
  <si>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</si>
  <si>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</si>
  <si>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</si>
  <si>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</si>
  <si>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</si>
  <si>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</si>
  <si>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</si>
  <si>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</si>
  <si>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</si>
  <si>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</si>
  <si>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</si>
  <si>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</si>
  <si>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</si>
  <si>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</si>
  <si>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</si>
  <si>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</si>
  <si>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</si>
  <si>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</si>
  <si>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</si>
  <si>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</si>
  <si>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</si>
  <si>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</si>
  <si>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</si>
  <si>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</si>
  <si>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</si>
  <si>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</si>
  <si>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</si>
  <si>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</si>
  <si>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</si>
  <si>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</si>
  <si>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</si>
  <si>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</si>
  <si>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</si>
  <si>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</si>
  <si>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</si>
  <si>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</si>
  <si>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</si>
  <si>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</si>
  <si>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</si>
  <si>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</si>
  <si>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</si>
  <si>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</si>
  <si>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</si>
  <si>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</si>
  <si>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</si>
  <si>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</si>
  <si>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</si>
  <si>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</si>
  <si>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</si>
  <si>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</si>
  <si>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</si>
  <si>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</si>
  <si>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</si>
  <si>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</si>
  <si>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</si>
  <si>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</si>
  <si>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</si>
  <si>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</si>
  <si>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</si>
  <si>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</si>
  <si>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</si>
  <si>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</si>
  <si>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</si>
  <si>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</si>
  <si>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</si>
  <si>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</si>
  <si>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</si>
  <si>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</si>
  <si>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</si>
  <si>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</si>
  <si>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</si>
  <si>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</si>
  <si>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</si>
  <si>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</si>
  <si>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</si>
  <si>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</si>
  <si>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</si>
  <si>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</si>
  <si>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</si>
  <si>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</si>
  <si>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</si>
  <si>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</si>
  <si>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</si>
  <si>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</si>
  <si>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</si>
  <si>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</si>
  <si>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</si>
  <si>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</si>
  <si>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</si>
  <si>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</si>
  <si>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</si>
  <si>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</si>
  <si>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</si>
  <si>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</si>
  <si>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</si>
  <si>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</si>
  <si>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</si>
  <si>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</si>
  <si>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</si>
  <si>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</si>
  <si>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</si>
  <si>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</si>
  <si>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</si>
  <si>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</si>
  <si>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</si>
  <si>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</si>
  <si>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</si>
  <si>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</si>
  <si>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</si>
  <si>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</si>
  <si>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</si>
  <si>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</si>
  <si>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</si>
  <si>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</si>
  <si>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</si>
  <si>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</si>
  <si>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</si>
  <si>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</si>
  <si>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</si>
  <si>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</si>
  <si>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</si>
  <si>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</si>
  <si>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</si>
  <si>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</si>
  <si>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</si>
  <si>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</si>
  <si>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</si>
  <si>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</si>
  <si>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</si>
  <si>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</si>
  <si>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</si>
  <si>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</si>
  <si>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</si>
  <si>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</si>
  <si>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</si>
  <si>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</si>
  <si>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</si>
  <si>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</si>
  <si>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</si>
  <si>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</si>
  <si>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</si>
  <si>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</si>
  <si>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</si>
  <si>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</si>
  <si>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</si>
  <si>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</si>
  <si>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</si>
  <si>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</si>
  <si>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</si>
  <si>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</si>
  <si>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</si>
  <si>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</si>
  <si>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</si>
  <si>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</si>
  <si>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</si>
  <si>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</si>
  <si>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</si>
  <si>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</si>
  <si>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</si>
  <si>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</si>
  <si>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</si>
  <si>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</si>
  <si>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</si>
  <si>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</si>
  <si>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</si>
  <si>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</si>
  <si>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</si>
  <si>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</si>
  <si>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</si>
  <si>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</si>
  <si>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</si>
  <si>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</si>
  <si>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</si>
  <si>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</si>
  <si>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</si>
  <si>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</si>
  <si>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</si>
  <si>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</si>
  <si>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</si>
  <si>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</si>
  <si>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</si>
  <si>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</si>
  <si>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</si>
  <si>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</si>
  <si>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</si>
  <si>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</si>
  <si>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</si>
  <si>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</si>
  <si>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</si>
  <si>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</si>
  <si>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</si>
  <si>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</si>
  <si>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</si>
  <si>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</si>
  <si>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</si>
  <si>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</si>
  <si>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</si>
  <si>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</si>
  <si>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</si>
  <si>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</si>
  <si>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</si>
  <si>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</si>
  <si>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</si>
  <si>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</si>
  <si>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</si>
  <si>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</si>
  <si>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</si>
  <si>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</si>
  <si>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</si>
  <si>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</si>
  <si>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</si>
  <si>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</si>
  <si>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</si>
  <si>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</si>
  <si>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</si>
  <si>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</si>
  <si>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</si>
  <si>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</si>
  <si>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</si>
  <si>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</si>
  <si>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</si>
  <si>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</si>
  <si>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</si>
  <si>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</si>
  <si>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</si>
  <si>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</si>
  <si>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</si>
  <si>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</si>
  <si>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</si>
  <si>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</si>
  <si>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</si>
  <si>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</si>
  <si>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</si>
  <si>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</si>
  <si>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</si>
  <si>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</si>
  <si>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</si>
  <si>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</si>
  <si>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</si>
  <si>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</si>
  <si>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</si>
  <si>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</si>
  <si>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</si>
  <si>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</si>
  <si>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</si>
  <si>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</si>
  <si>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</si>
  <si>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</si>
  <si>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</si>
  <si>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</si>
  <si>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</si>
  <si>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</si>
  <si>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</si>
  <si>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</si>
  <si>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</si>
  <si>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</si>
  <si>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</si>
  <si>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</si>
  <si>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</si>
  <si>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</si>
  <si>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</si>
  <si>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</si>
  <si>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</si>
  <si>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</si>
  <si>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</si>
  <si>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</si>
  <si>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</si>
  <si>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</si>
  <si>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</si>
  <si>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</si>
  <si>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</si>
  <si>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</si>
  <si>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</si>
  <si>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</si>
  <si>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</si>
  <si>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</si>
  <si>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</si>
  <si>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</si>
  <si>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</si>
  <si>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</si>
  <si>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</si>
  <si>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</si>
  <si>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</si>
  <si>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</si>
  <si>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</si>
  <si>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</si>
  <si>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</si>
  <si>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</si>
  <si>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</si>
  <si>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</si>
  <si>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</si>
  <si>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</si>
  <si>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</si>
  <si>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</si>
  <si>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</si>
  <si>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</si>
  <si>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</si>
  <si>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</si>
  <si>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</si>
  <si>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</si>
  <si>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</si>
  <si>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</si>
  <si>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</si>
  <si>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</si>
  <si>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</si>
  <si>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</si>
  <si>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</si>
  <si>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</si>
  <si>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</si>
  <si>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</si>
  <si>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</si>
  <si>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</si>
  <si>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</si>
  <si>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</si>
  <si>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</si>
  <si>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</si>
  <si>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</si>
  <si>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</si>
  <si>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</si>
  <si>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</si>
  <si>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</si>
  <si>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</si>
  <si>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</si>
  <si>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</si>
  <si>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</si>
  <si>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</si>
  <si>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</si>
  <si>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</si>
  <si>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</si>
  <si>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</si>
  <si>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</si>
  <si>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</si>
  <si>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</si>
  <si>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</si>
  <si>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</si>
  <si>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</si>
  <si>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</si>
  <si>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</si>
  <si>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</si>
  <si>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</si>
  <si>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</si>
  <si>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</si>
  <si>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</si>
  <si>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</si>
  <si>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</si>
  <si>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</si>
  <si>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</si>
  <si>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</si>
  <si>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</si>
  <si>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</si>
  <si>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</si>
  <si>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</si>
  <si>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</si>
  <si>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</si>
  <si>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</si>
  <si>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</si>
  <si>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</si>
  <si>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</si>
  <si>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</si>
  <si>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</si>
  <si>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</si>
  <si>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</si>
  <si>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</si>
  <si>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</si>
  <si>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</si>
  <si>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</si>
  <si>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</si>
  <si>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</si>
  <si>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</si>
  <si>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</si>
  <si>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</si>
  <si>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</si>
  <si>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</si>
  <si>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</si>
  <si>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</si>
  <si>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</si>
  <si>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</si>
  <si>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</si>
  <si>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</si>
  <si>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</si>
  <si>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</si>
  <si>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</si>
  <si>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</si>
  <si>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</si>
  <si>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</si>
  <si>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</si>
  <si>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</si>
  <si>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</si>
  <si>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</si>
  <si>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</si>
  <si>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</si>
  <si>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</si>
  <si>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</si>
  <si>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</si>
  <si>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</si>
  <si>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</si>
  <si>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</si>
  <si>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</si>
  <si>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</si>
  <si>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</si>
  <si>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</si>
  <si>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</si>
  <si>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</si>
  <si>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</si>
  <si>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</si>
  <si>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</si>
  <si>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</si>
  <si>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</si>
  <si>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</si>
  <si>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</si>
  <si>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</si>
  <si>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</si>
  <si>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</si>
  <si>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</si>
  <si>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</si>
  <si>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</si>
  <si>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</si>
  <si>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</si>
  <si>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</si>
  <si>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</si>
  <si>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</si>
  <si>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</si>
  <si>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</si>
  <si>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</si>
  <si>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</si>
  <si>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</si>
  <si>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</si>
  <si>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</si>
  <si>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</si>
  <si>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</si>
  <si>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</si>
  <si>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</si>
  <si>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</si>
  <si>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</si>
  <si>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</si>
  <si>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</si>
  <si>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</si>
  <si>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</si>
  <si>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</si>
  <si>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</si>
  <si>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</si>
  <si>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</si>
  <si>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</si>
  <si>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</si>
  <si>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</si>
  <si>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</si>
  <si>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</si>
  <si>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</si>
  <si>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</si>
  <si>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</si>
  <si>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</si>
  <si>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</si>
  <si>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</si>
  <si>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</si>
  <si>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</si>
  <si>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</si>
  <si>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</si>
  <si>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</si>
  <si>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</si>
  <si>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</si>
  <si>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</si>
  <si>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</si>
  <si>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</si>
  <si>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</si>
  <si>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</si>
  <si>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</si>
  <si>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</si>
  <si>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</si>
  <si>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</si>
  <si>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</si>
  <si>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</si>
  <si>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</si>
  <si>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</si>
  <si>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</si>
  <si>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</si>
  <si>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</si>
  <si>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</si>
  <si>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</si>
  <si>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</si>
  <si>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</si>
  <si>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</si>
  <si>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</si>
  <si>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</si>
  <si>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</si>
  <si>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</si>
  <si>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</si>
  <si>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</si>
  <si>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</si>
  <si>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</si>
  <si>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</si>
  <si>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</si>
  <si>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</si>
  <si>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</si>
  <si>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</si>
  <si>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</si>
  <si>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</si>
  <si>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</si>
  <si>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</si>
  <si>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</si>
  <si>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</si>
  <si>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</si>
  <si>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</si>
  <si>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</si>
  <si>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</si>
  <si>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</si>
  <si>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</si>
  <si>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</si>
  <si>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</si>
  <si>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</si>
  <si>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</si>
  <si>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</si>
  <si>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</si>
  <si>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</si>
  <si>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</si>
  <si>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</si>
  <si>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</si>
  <si>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</si>
  <si>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</si>
  <si>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</si>
  <si>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</si>
  <si>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</si>
  <si>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</si>
  <si>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</si>
  <si>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</si>
  <si>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</si>
  <si>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</si>
  <si>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</si>
  <si>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</si>
  <si>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</si>
  <si>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</si>
  <si>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</si>
  <si>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</si>
  <si>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</si>
  <si>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</si>
  <si>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</si>
  <si>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</si>
  <si>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</si>
  <si>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</si>
  <si>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</si>
  <si>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</si>
  <si>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</si>
  <si>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</si>
  <si>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</si>
  <si>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</si>
  <si>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</si>
  <si>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</si>
  <si>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</si>
  <si>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</si>
  <si>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</si>
  <si>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</si>
  <si>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</si>
  <si>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</si>
  <si>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</si>
  <si>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</si>
  <si>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</si>
  <si>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</si>
  <si>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</si>
  <si>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</si>
  <si>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</si>
  <si>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</si>
  <si>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</si>
  <si>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</si>
  <si>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</si>
  <si>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</si>
  <si>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</si>
  <si>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</si>
  <si>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</si>
  <si>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</si>
  <si>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</si>
  <si>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</si>
  <si>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</si>
  <si>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</si>
  <si>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</si>
  <si>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</si>
  <si>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</si>
  <si>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</si>
  <si>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</si>
  <si>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</si>
  <si>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</si>
  <si>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</si>
  <si>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</si>
  <si>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</si>
  <si>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</si>
  <si>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</si>
  <si>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</si>
  <si>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</si>
  <si>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</si>
  <si>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</si>
  <si>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</si>
  <si>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</si>
  <si>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</si>
  <si>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</si>
  <si>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</si>
  <si>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</si>
  <si>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</si>
  <si>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</si>
  <si>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</si>
  <si>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</si>
  <si>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</si>
  <si>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</si>
  <si>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</si>
  <si>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</si>
  <si>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</si>
  <si>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</si>
  <si>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</si>
  <si>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</si>
  <si>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</si>
  <si>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</si>
  <si>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</si>
  <si>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</si>
  <si>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</si>
  <si>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</si>
  <si>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</si>
  <si>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</si>
  <si>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</si>
  <si>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</si>
  <si>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</si>
  <si>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</si>
  <si>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</si>
  <si>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</si>
  <si>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</si>
  <si>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</si>
  <si>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</si>
  <si>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</si>
  <si>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</si>
  <si>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</si>
  <si>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</si>
  <si>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</si>
  <si>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</si>
  <si>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</si>
  <si>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</si>
  <si>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</si>
  <si>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</si>
  <si>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</si>
  <si>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</si>
  <si>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</si>
  <si>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</si>
  <si>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</si>
  <si>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</si>
  <si>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</si>
  <si>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</si>
  <si>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</si>
  <si>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</si>
  <si>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</si>
  <si>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</si>
  <si>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</si>
  <si>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</si>
  <si>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</si>
  <si>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</si>
  <si>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</si>
  <si>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</si>
  <si>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</si>
  <si>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</si>
  <si>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</si>
  <si>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</si>
  <si>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</si>
  <si>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</si>
  <si>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</si>
  <si>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</si>
  <si>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</si>
  <si>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</si>
  <si>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</si>
  <si>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</si>
  <si>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</si>
  <si>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</si>
  <si>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</si>
  <si>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</si>
  <si>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</si>
  <si>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</si>
  <si>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</si>
  <si>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</si>
  <si>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</si>
  <si>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</si>
  <si>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</si>
  <si>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</si>
  <si>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</si>
  <si>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</si>
  <si>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</si>
  <si>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</si>
  <si>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</si>
  <si>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</si>
  <si>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</si>
  <si>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</si>
  <si>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</si>
  <si>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</si>
  <si>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</si>
  <si>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</si>
  <si>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</si>
  <si>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</si>
  <si>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</si>
  <si>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</si>
  <si>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</si>
  <si>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</si>
  <si>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</si>
  <si>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</si>
  <si>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</si>
  <si>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</si>
  <si>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</si>
  <si>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</si>
  <si>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</si>
  <si>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</si>
  <si>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</si>
  <si>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</si>
  <si>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</si>
  <si>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</si>
  <si>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</si>
  <si>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</si>
  <si>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</si>
  <si>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</si>
  <si>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</si>
  <si>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</si>
  <si>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</si>
  <si>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</si>
  <si>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</si>
  <si>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</si>
  <si>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</si>
  <si>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</si>
  <si>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</si>
  <si>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</si>
  <si>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</si>
  <si>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</si>
  <si>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</si>
  <si>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</si>
  <si>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</si>
  <si>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</si>
  <si>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</si>
  <si>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</si>
  <si>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</si>
  <si>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</si>
  <si>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</si>
  <si>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</si>
  <si>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</si>
  <si>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</si>
  <si>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</si>
  <si>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</si>
  <si>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</si>
  <si>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</si>
  <si>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</si>
  <si>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</si>
  <si>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</si>
  <si>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</si>
  <si>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</si>
  <si>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</si>
  <si>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</si>
  <si>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</si>
  <si>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</si>
  <si>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</si>
  <si>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</si>
  <si>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</si>
  <si>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</si>
  <si>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</si>
  <si>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</si>
  <si>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</si>
  <si>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</si>
  <si>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</si>
  <si>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</si>
  <si>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</si>
  <si>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</si>
  <si>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</si>
  <si>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</si>
  <si>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</si>
  <si>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</si>
  <si>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</si>
  <si>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</si>
  <si>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</si>
  <si>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</si>
  <si>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</si>
  <si>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</si>
  <si>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</si>
  <si>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</si>
  <si>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</si>
  <si>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</si>
  <si>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</si>
  <si>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</si>
  <si>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</si>
  <si>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</si>
  <si>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</si>
  <si>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</si>
  <si>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</si>
  <si>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</si>
  <si>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</si>
  <si>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</si>
  <si>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</si>
  <si>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</si>
  <si>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</si>
  <si>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</si>
  <si>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</si>
  <si>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</si>
  <si>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</si>
  <si>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</si>
  <si>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</si>
  <si>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</si>
  <si>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</si>
  <si>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</si>
  <si>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</si>
  <si>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</si>
  <si>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</si>
  <si>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</si>
  <si>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</si>
  <si>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</si>
  <si>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</si>
  <si>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</si>
  <si>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</si>
  <si>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</si>
  <si>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</si>
  <si>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</si>
  <si>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</si>
  <si>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</si>
  <si>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</si>
  <si>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</si>
  <si>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</si>
  <si>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</si>
  <si>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</si>
  <si>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</si>
  <si>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</si>
  <si>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</si>
  <si>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</si>
  <si>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</si>
  <si>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</si>
  <si>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</si>
  <si>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</si>
  <si>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</si>
  <si>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</si>
  <si>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</si>
  <si>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</si>
  <si>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</si>
  <si>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</si>
  <si>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</si>
  <si>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</si>
  <si>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</si>
  <si>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</si>
  <si>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</si>
  <si>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</si>
  <si>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</si>
  <si>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</si>
  <si>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</si>
  <si>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</si>
  <si>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</si>
  <si>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</si>
  <si>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</si>
  <si>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</si>
  <si>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</si>
  <si>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</si>
  <si>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</si>
  <si>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</si>
  <si>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</si>
  <si>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</si>
  <si>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</si>
  <si>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</si>
  <si>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</si>
  <si>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</si>
  <si>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</si>
  <si>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</si>
  <si>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</si>
  <si>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</si>
  <si>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</si>
  <si>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</si>
  <si>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</si>
  <si>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</si>
  <si>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</si>
  <si>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</si>
  <si>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</si>
  <si>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</si>
  <si>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</si>
  <si>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</si>
  <si>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</si>
  <si>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</si>
  <si>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</si>
  <si>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</si>
  <si>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</si>
  <si>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</si>
  <si>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</si>
  <si>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</si>
  <si>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</si>
  <si>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</si>
  <si>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</si>
  <si>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</si>
  <si>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</si>
  <si>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</si>
  <si>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</si>
  <si>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</si>
  <si>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</si>
  <si>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</si>
  <si>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</si>
  <si>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</si>
  <si>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</si>
  <si>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</si>
  <si>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</si>
  <si>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</si>
  <si>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</si>
  <si>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</si>
  <si>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</si>
  <si>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</si>
  <si>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</si>
  <si>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</si>
  <si>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</si>
  <si>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</si>
  <si>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</si>
  <si>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</si>
  <si>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</si>
  <si>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</si>
  <si>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</si>
  <si>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</si>
  <si>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</si>
  <si>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</si>
  <si>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</si>
  <si>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</si>
  <si>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</si>
  <si>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</si>
  <si>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</si>
  <si>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</si>
  <si>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</si>
  <si>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</si>
  <si>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</si>
  <si>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</si>
  <si>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</si>
  <si>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</si>
  <si>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</si>
  <si>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</si>
  <si>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</si>
  <si>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</si>
  <si>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</si>
  <si>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</si>
  <si>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</si>
  <si>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</si>
  <si>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</si>
  <si>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</si>
  <si>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</si>
  <si>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</si>
  <si>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</si>
  <si>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</si>
  <si>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</si>
  <si>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</si>
  <si>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</si>
  <si>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</si>
  <si>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</si>
  <si>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</si>
  <si>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</si>
  <si>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</si>
  <si>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</si>
  <si>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</si>
  <si>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</si>
  <si>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</si>
  <si>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</si>
  <si>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</si>
  <si>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</si>
  <si>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</si>
  <si>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</si>
  <si>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</si>
  <si>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</si>
  <si>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</si>
  <si>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</si>
  <si>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</si>
  <si>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</si>
  <si>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</si>
  <si>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</si>
  <si>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</si>
  <si>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</si>
  <si>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</si>
  <si>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</si>
  <si>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</si>
  <si>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</si>
  <si>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</si>
  <si>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</si>
  <si>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</si>
  <si>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</si>
  <si>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</si>
  <si>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</si>
  <si>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</si>
  <si>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</si>
  <si>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</si>
  <si>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</si>
  <si>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</si>
  <si>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</si>
  <si>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</si>
  <si>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</si>
  <si>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</si>
  <si>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</si>
  <si>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</si>
  <si>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</si>
  <si>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</si>
  <si>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</si>
  <si>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</si>
  <si>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</si>
  <si>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</si>
  <si>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</si>
  <si>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</si>
  <si>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</si>
  <si>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</si>
  <si>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</si>
  <si>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</si>
  <si>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</si>
  <si>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</si>
  <si>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</si>
  <si>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</si>
  <si>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</si>
  <si>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</si>
  <si>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</si>
  <si>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</si>
  <si>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</si>
  <si>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</si>
  <si>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</si>
  <si>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</si>
  <si>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</si>
  <si>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</si>
  <si>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</si>
  <si>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</si>
  <si>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</si>
  <si>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</si>
  <si>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</si>
  <si>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</si>
  <si>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</si>
  <si>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</si>
  <si>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</si>
  <si>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</si>
  <si>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</si>
  <si>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</si>
  <si>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</si>
  <si>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</si>
  <si>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</si>
  <si>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</si>
  <si>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</si>
  <si>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</si>
  <si>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</si>
  <si>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</si>
  <si>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</si>
  <si>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</si>
  <si>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</si>
  <si>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</si>
  <si>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</si>
  <si>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</si>
  <si>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</si>
  <si>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</si>
  <si>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</si>
  <si>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</si>
  <si>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</si>
  <si>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</si>
  <si>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</si>
  <si>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</si>
  <si>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</si>
  <si>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</si>
  <si>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</si>
  <si>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</si>
  <si>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</si>
  <si>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</si>
  <si>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</si>
  <si>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</si>
  <si>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</si>
  <si>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</si>
  <si>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</si>
  <si>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</si>
  <si>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</si>
  <si>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</si>
  <si>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</si>
  <si>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</si>
  <si>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</si>
  <si>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</si>
  <si>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</si>
  <si>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</si>
  <si>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</si>
  <si>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</si>
  <si>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</si>
  <si>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</si>
  <si>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</si>
  <si>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</si>
  <si>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</si>
  <si>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</si>
  <si>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</si>
  <si>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</si>
  <si>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</si>
  <si>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</si>
  <si>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</si>
  <si>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</si>
  <si>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</si>
  <si>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</si>
  <si>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</si>
  <si>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</si>
  <si>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</si>
  <si>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</si>
  <si>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</si>
  <si>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</si>
  <si>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</si>
  <si>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</si>
  <si>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</si>
  <si>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</si>
  <si>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</si>
  <si>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</si>
  <si>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</si>
  <si>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</si>
  <si>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</si>
  <si>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</si>
  <si>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</si>
  <si>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</si>
  <si>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</si>
  <si>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</si>
  <si>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</si>
  <si>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</si>
  <si>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</si>
  <si>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</si>
  <si>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</si>
  <si>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</si>
  <si>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</si>
  <si>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</si>
  <si>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</si>
  <si>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</si>
  <si>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</si>
  <si>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</si>
  <si>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</si>
  <si>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</si>
  <si>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</si>
  <si>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</si>
  <si>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</si>
  <si>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</si>
  <si>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</si>
  <si>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</si>
  <si>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</si>
  <si>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</si>
  <si>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</si>
  <si>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</si>
  <si>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</si>
  <si>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</si>
  <si>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</si>
  <si>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</si>
  <si>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</si>
  <si>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</si>
  <si>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</si>
  <si>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</si>
  <si>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</si>
  <si>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</si>
  <si>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</si>
  <si>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</si>
  <si>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</si>
  <si>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</si>
  <si>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</si>
  <si>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</si>
  <si>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</si>
  <si>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</si>
  <si>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</si>
  <si>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</si>
  <si>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</si>
  <si>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</si>
  <si>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</si>
  <si>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</si>
  <si>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</si>
  <si>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</si>
  <si>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</si>
  <si>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</si>
  <si>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</si>
  <si>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</si>
  <si>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</si>
  <si>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</si>
  <si>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</si>
  <si>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</si>
  <si>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</si>
  <si>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</si>
  <si>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</si>
  <si>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</si>
  <si>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</si>
  <si>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</si>
  <si>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</si>
  <si>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</si>
  <si>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</si>
  <si>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</si>
  <si>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</si>
  <si>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</si>
  <si>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</si>
  <si>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</si>
  <si>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</si>
  <si>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</si>
  <si>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</si>
  <si>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</si>
  <si>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</si>
  <si>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</si>
  <si>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</si>
  <si>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</si>
  <si>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</si>
  <si>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</si>
  <si>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</si>
  <si>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</si>
  <si>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</si>
  <si>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</si>
  <si>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</si>
  <si>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</si>
  <si>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</si>
  <si>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</si>
  <si>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</si>
  <si>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</si>
  <si>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</si>
  <si>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</si>
  <si>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</si>
  <si>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</si>
  <si>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</si>
  <si>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</si>
  <si>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</si>
  <si>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</si>
  <si>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</si>
  <si>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</si>
  <si>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</si>
  <si>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</si>
  <si>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</si>
  <si>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</si>
  <si>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</si>
  <si>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</si>
  <si>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</si>
  <si>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</si>
  <si>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</si>
  <si>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</si>
  <si>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</si>
  <si>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</si>
  <si>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</si>
  <si>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</si>
  <si>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</si>
  <si>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</si>
  <si>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</si>
  <si>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</si>
  <si>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</si>
  <si>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</si>
  <si>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</si>
  <si>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</si>
  <si>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</si>
  <si>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</si>
  <si>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</si>
  <si>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</si>
  <si>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</si>
  <si>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</si>
  <si>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</si>
  <si>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</si>
  <si>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</si>
  <si>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</si>
  <si>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</si>
  <si>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</si>
  <si>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</si>
  <si>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</si>
  <si>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</si>
  <si>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</si>
  <si>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</si>
  <si>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</si>
  <si>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</si>
  <si>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</si>
  <si>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</si>
  <si>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</si>
  <si>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</si>
  <si>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</si>
  <si>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</si>
  <si>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</si>
  <si>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</si>
  <si>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</si>
  <si>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</si>
  <si>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</si>
  <si>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</si>
  <si>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</si>
  <si>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</si>
  <si>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</si>
  <si>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</si>
  <si>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</si>
  <si>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</si>
  <si>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</si>
  <si>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</si>
  <si>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</si>
  <si>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</si>
  <si>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</si>
  <si>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</si>
  <si>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</si>
  <si>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</si>
  <si>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</si>
  <si>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</si>
  <si>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</si>
  <si>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</si>
  <si>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</si>
  <si>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</si>
  <si>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</si>
  <si>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</si>
  <si>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</si>
  <si>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</si>
  <si>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</si>
  <si>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</si>
  <si>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</si>
  <si>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</si>
  <si>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</si>
  <si>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</si>
  <si>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</si>
  <si>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</si>
  <si>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</si>
  <si>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</si>
  <si>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</si>
  <si>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</si>
  <si>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</si>
  <si>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</si>
  <si>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</si>
  <si>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</si>
  <si>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</si>
  <si>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</si>
  <si>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</si>
  <si>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</si>
  <si>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</si>
  <si>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</si>
  <si>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</si>
  <si>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</si>
  <si>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</si>
  <si>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</si>
  <si>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</si>
  <si>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</si>
  <si>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</si>
  <si>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</si>
  <si>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</si>
  <si>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</si>
  <si>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</si>
  <si>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</si>
  <si>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</si>
  <si>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</si>
  <si>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</si>
  <si>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</si>
  <si>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</si>
  <si>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</si>
  <si>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</si>
  <si>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</si>
  <si>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</si>
  <si>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</si>
  <si>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</si>
  <si>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</si>
  <si>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</si>
  <si>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</si>
  <si>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</si>
  <si>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</si>
  <si>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</si>
  <si>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</si>
  <si>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</si>
  <si>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</si>
  <si>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</si>
  <si>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</si>
  <si>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</si>
  <si>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</si>
  <si>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</si>
  <si>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</si>
  <si>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</si>
  <si>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</si>
  <si>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</si>
  <si>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</si>
  <si>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</si>
  <si>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</si>
  <si>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</si>
  <si>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</si>
  <si>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</si>
  <si>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</si>
  <si>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</si>
  <si>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</si>
  <si>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</si>
  <si>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</si>
  <si>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</si>
  <si>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</si>
  <si>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</si>
  <si>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</si>
  <si>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</si>
  <si>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</si>
  <si>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</si>
  <si>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</si>
  <si>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</si>
  <si>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</si>
  <si>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</si>
  <si>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</si>
  <si>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</si>
  <si>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</si>
  <si>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</si>
  <si>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</si>
  <si>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</si>
  <si>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</si>
  <si>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</si>
  <si>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</si>
  <si>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</si>
  <si>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</si>
  <si>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</si>
  <si>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</si>
  <si>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</si>
  <si>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</si>
  <si>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</si>
  <si>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</si>
  <si>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</si>
  <si>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</si>
  <si>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</si>
  <si>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</si>
  <si>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</si>
  <si>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</si>
  <si>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</si>
  <si>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</si>
  <si>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</si>
  <si>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</si>
  <si>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</si>
  <si>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</si>
  <si>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</si>
  <si>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</si>
  <si>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</si>
  <si>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</si>
  <si>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</si>
  <si>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</si>
  <si>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</si>
  <si>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</si>
  <si>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</si>
  <si>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</si>
  <si>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</si>
  <si>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</si>
  <si>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</si>
  <si>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</si>
  <si>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</si>
  <si>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</si>
  <si>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</si>
  <si>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</si>
  <si>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</si>
  <si>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</si>
  <si>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</si>
  <si>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</si>
  <si>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</si>
  <si>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</si>
  <si>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</si>
  <si>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</si>
  <si>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</si>
  <si>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</si>
  <si>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</si>
  <si>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</si>
  <si>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</si>
  <si>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</si>
  <si>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</si>
  <si>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</si>
  <si>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</si>
  <si>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</si>
  <si>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</si>
  <si>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</si>
  <si>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</si>
  <si>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</si>
  <si>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</si>
  <si>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</si>
  <si>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</si>
  <si>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</si>
  <si>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</si>
  <si>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</si>
  <si>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</si>
  <si>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</si>
  <si>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</si>
  <si>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</si>
  <si>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</si>
  <si>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</si>
  <si>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</si>
  <si>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</si>
  <si>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</si>
  <si>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</si>
  <si>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</si>
  <si>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</si>
  <si>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</si>
  <si>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</si>
  <si>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</si>
  <si>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</si>
  <si>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</si>
  <si>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</si>
  <si>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</si>
  <si>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</si>
  <si>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</si>
  <si>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</si>
  <si>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</si>
  <si>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</si>
  <si>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</si>
  <si>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</si>
  <si>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</si>
  <si>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</si>
  <si>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</si>
  <si>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</si>
  <si>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</si>
  <si>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</si>
  <si>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</si>
  <si>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</si>
  <si>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</si>
  <si>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</si>
  <si>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</si>
  <si>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</si>
  <si>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</si>
  <si>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</si>
  <si>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</si>
  <si>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</si>
  <si>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</si>
  <si>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</si>
  <si>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</si>
  <si>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</si>
  <si>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</si>
  <si>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</si>
  <si>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</si>
  <si>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</si>
  <si>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</si>
  <si>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</si>
  <si>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</si>
  <si>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</si>
  <si>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</si>
  <si>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</si>
  <si>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</si>
  <si>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</si>
  <si>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</si>
  <si>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</si>
  <si>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</si>
  <si>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</si>
  <si>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</si>
  <si>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</si>
  <si>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</si>
  <si>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</si>
  <si>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</si>
  <si>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</si>
  <si>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</si>
  <si>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</si>
  <si>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</si>
  <si>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</si>
  <si>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</si>
  <si>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</si>
  <si>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</si>
  <si>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</si>
  <si>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</si>
  <si>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</si>
  <si>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</si>
  <si>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</si>
  <si>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</si>
  <si>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</si>
  <si>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</si>
  <si>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</si>
  <si>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</si>
  <si>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</si>
  <si>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</si>
  <si>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</si>
  <si>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</si>
  <si>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</si>
  <si>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</si>
  <si>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</si>
  <si>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</si>
  <si>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</si>
  <si>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</si>
  <si>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</si>
  <si>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</si>
  <si>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</si>
  <si>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</si>
  <si>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</si>
  <si>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</si>
  <si>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</si>
  <si>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</si>
  <si>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</si>
  <si>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</si>
  <si>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</si>
  <si>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</si>
  <si>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</si>
  <si>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</si>
  <si>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</si>
  <si>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</si>
  <si>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</si>
  <si>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</si>
  <si>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</si>
  <si>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</si>
  <si>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</si>
  <si>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</si>
  <si>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</si>
  <si>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</si>
  <si>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</si>
  <si>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</si>
  <si>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</si>
  <si>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</si>
  <si>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</si>
  <si>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</si>
  <si>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</si>
  <si>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</si>
  <si>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</si>
  <si>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</si>
  <si>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</si>
  <si>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</si>
  <si>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</si>
  <si>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</si>
  <si>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</si>
  <si>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</si>
  <si>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</si>
  <si>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</si>
  <si>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</si>
  <si>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</si>
  <si>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</si>
  <si>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</si>
  <si>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</si>
  <si>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</si>
  <si>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</si>
  <si>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</si>
  <si>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</si>
  <si>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</si>
  <si>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</si>
  <si>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</si>
  <si>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</si>
  <si>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</si>
  <si>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</si>
  <si>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</si>
  <si>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</si>
  <si>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</si>
  <si>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</si>
  <si>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</si>
  <si>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</si>
  <si>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</si>
  <si>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</si>
  <si>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</si>
  <si>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</si>
  <si>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</si>
  <si>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</si>
  <si>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</si>
  <si>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</si>
  <si>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</si>
  <si>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</si>
  <si>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</si>
  <si>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</si>
  <si>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</si>
  <si>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</si>
  <si>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</si>
  <si>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</si>
  <si>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</si>
  <si>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</si>
  <si>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</si>
  <si>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</si>
  <si>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</si>
  <si>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</si>
  <si>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</si>
  <si>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</si>
  <si>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</si>
  <si>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</si>
  <si>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</si>
  <si>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</si>
  <si>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</si>
  <si>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</si>
  <si>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</si>
  <si>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</si>
  <si>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</si>
  <si>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</si>
  <si>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</si>
  <si>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</si>
  <si>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</si>
  <si>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</si>
  <si>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</si>
  <si>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</si>
  <si>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</si>
  <si>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</si>
  <si>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</si>
  <si>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</si>
  <si>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</si>
  <si>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</si>
  <si>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</si>
  <si>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</si>
  <si>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</si>
  <si>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</si>
  <si>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</si>
  <si>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</si>
  <si>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</si>
  <si>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</si>
  <si>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</si>
  <si>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</si>
  <si>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</si>
  <si>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</si>
  <si>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</si>
  <si>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</si>
  <si>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</si>
  <si>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</si>
  <si>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</si>
  <si>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</si>
  <si>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</si>
  <si>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</si>
  <si>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</si>
  <si>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</si>
  <si>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</si>
  <si>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</si>
  <si>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</si>
  <si>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</si>
  <si>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</si>
  <si>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</si>
  <si>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</si>
  <si>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</si>
  <si>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</si>
  <si>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</si>
  <si>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</si>
  <si>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</si>
  <si>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</si>
  <si>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</si>
  <si>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</si>
  <si>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</si>
  <si>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</si>
  <si>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</si>
  <si>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</si>
  <si>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</si>
  <si>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</si>
  <si>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</si>
  <si>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</si>
  <si>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</si>
  <si>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</si>
  <si>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</si>
  <si>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</si>
  <si>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</si>
  <si>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</si>
  <si>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</si>
  <si>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</si>
  <si>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</si>
  <si>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</si>
  <si>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</si>
  <si>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</si>
  <si>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</si>
  <si>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</si>
  <si>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</si>
  <si>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</si>
  <si>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</si>
  <si>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</si>
  <si>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</si>
  <si>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</si>
  <si>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</si>
  <si>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</si>
  <si>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</si>
  <si>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</si>
  <si>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</si>
  <si>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</si>
  <si>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</si>
  <si>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</si>
  <si>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</si>
  <si>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</si>
  <si>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</si>
  <si>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</si>
  <si>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</si>
  <si>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</si>
  <si>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</si>
  <si>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</si>
  <si>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</si>
  <si>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</si>
  <si>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</si>
  <si>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</si>
  <si>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</si>
  <si>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</si>
  <si>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</si>
  <si>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</si>
  <si>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</si>
  <si>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</si>
  <si>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</si>
  <si>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</si>
  <si>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</si>
  <si>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</si>
  <si>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</si>
  <si>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</si>
  <si>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</si>
  <si>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</si>
  <si>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</si>
  <si>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</si>
  <si>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</si>
  <si>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</si>
  <si>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</si>
  <si>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</si>
  <si>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</si>
  <si>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</si>
  <si>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</si>
  <si>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</si>
  <si>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</si>
  <si>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</si>
  <si>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</si>
  <si>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</si>
  <si>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</si>
  <si>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</si>
  <si>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</si>
  <si>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</si>
  <si>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</si>
  <si>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</si>
  <si>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</si>
  <si>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</si>
  <si>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</si>
  <si>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</si>
  <si>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</si>
  <si>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</si>
  <si>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</si>
  <si>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</si>
  <si>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</si>
  <si>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</si>
  <si>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</si>
  <si>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</si>
  <si>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</si>
  <si>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</si>
  <si>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</si>
  <si>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</si>
  <si>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</si>
  <si>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</si>
  <si>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</si>
  <si>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</si>
  <si>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</si>
  <si>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</si>
  <si>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</si>
  <si>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</si>
  <si>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</si>
  <si>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</si>
  <si>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</si>
  <si>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</si>
  <si>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</si>
  <si>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</si>
  <si>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</si>
  <si>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</si>
  <si>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</si>
  <si>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</si>
  <si>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</si>
  <si>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</si>
  <si>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</si>
  <si>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</si>
  <si>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</si>
  <si>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</si>
  <si>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</si>
  <si>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</si>
  <si>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</si>
  <si>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</si>
  <si>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</si>
  <si>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</si>
  <si>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</si>
  <si>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</si>
  <si>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</si>
  <si>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</si>
  <si>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</si>
  <si>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</si>
  <si>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</si>
  <si>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</si>
  <si>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</si>
  <si>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</si>
  <si>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</si>
  <si>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</si>
  <si>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</si>
  <si>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</si>
  <si>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</si>
  <si>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</si>
  <si>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</si>
  <si>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</si>
  <si>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</si>
  <si>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</si>
  <si>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</si>
  <si>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</si>
  <si>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</si>
  <si>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</si>
  <si>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</si>
  <si>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</si>
  <si>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</si>
  <si>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</si>
  <si>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</si>
  <si>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</si>
  <si>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</si>
  <si>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</si>
  <si>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</si>
  <si>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</si>
  <si>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</si>
  <si>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</si>
  <si>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</si>
  <si>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</si>
  <si>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</si>
  <si>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</si>
  <si>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</si>
  <si>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</si>
  <si>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</si>
  <si>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</si>
  <si>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</si>
  <si>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</si>
  <si>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</si>
  <si>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</si>
  <si>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</si>
  <si>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</si>
  <si>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</si>
  <si>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</si>
  <si>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</si>
  <si>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</si>
  <si>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</si>
  <si>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</si>
  <si>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</si>
  <si>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</si>
  <si>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</si>
  <si>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</si>
  <si>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</si>
  <si>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</si>
  <si>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</si>
  <si>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</si>
  <si>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</si>
  <si>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</si>
  <si>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</si>
  <si>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</si>
  <si>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</si>
  <si>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</si>
  <si>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</si>
  <si>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</si>
  <si>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</si>
  <si>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</si>
  <si>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</si>
  <si>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</si>
  <si>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</si>
  <si>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</si>
  <si>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</si>
  <si>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</si>
  <si>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</si>
  <si>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</si>
  <si>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</si>
  <si>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</si>
  <si>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</si>
  <si>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</si>
  <si>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</si>
  <si>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</si>
  <si>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</si>
  <si>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</si>
  <si>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</si>
  <si>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</si>
  <si>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</si>
  <si>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</si>
  <si>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</si>
  <si>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</si>
  <si>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</si>
  <si>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</si>
  <si>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</si>
  <si>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</si>
  <si>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</si>
  <si>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</si>
  <si>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</si>
  <si>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</si>
  <si>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</si>
  <si>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</si>
  <si>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</si>
  <si>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</si>
  <si>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</si>
  <si>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</si>
  <si>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</si>
  <si>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</si>
  <si>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</si>
  <si>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</si>
  <si>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</si>
  <si>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</si>
  <si>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</si>
  <si>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</si>
  <si>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</si>
  <si>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</si>
  <si>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</si>
  <si>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</si>
  <si>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</si>
  <si>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</si>
  <si>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</si>
  <si>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</si>
  <si>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</si>
  <si>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</si>
  <si>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</si>
  <si>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</si>
  <si>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</si>
  <si>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</si>
  <si>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</si>
  <si>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</si>
  <si>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</si>
  <si>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</si>
  <si>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</si>
  <si>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</si>
  <si>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</si>
  <si>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</si>
  <si>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</si>
  <si>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</si>
  <si>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</si>
  <si>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</si>
  <si>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</si>
  <si>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</si>
  <si>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</si>
  <si>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</si>
  <si>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</si>
  <si>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</si>
  <si>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</si>
  <si>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</si>
  <si>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</si>
  <si>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</si>
  <si>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</si>
  <si>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</si>
  <si>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</si>
  <si>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</si>
  <si>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</si>
  <si>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</si>
  <si>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</si>
  <si>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</si>
  <si>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</si>
  <si>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</si>
  <si>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</si>
  <si>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</si>
  <si>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</si>
  <si>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</si>
  <si>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</si>
  <si>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</si>
  <si>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</si>
  <si>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</si>
  <si>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</si>
  <si>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</si>
  <si>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</si>
  <si>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</si>
  <si>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</si>
  <si>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</si>
  <si>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</si>
  <si>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</si>
  <si>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</si>
  <si>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</si>
  <si>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</si>
  <si>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</si>
  <si>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</si>
  <si>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</si>
  <si>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</si>
  <si>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</si>
  <si>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</si>
  <si>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</si>
  <si>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</si>
  <si>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</si>
  <si>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</si>
  <si>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</si>
  <si>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</si>
  <si>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</si>
  <si>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</si>
  <si>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</si>
  <si>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</si>
  <si>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</si>
  <si>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</si>
  <si>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</si>
  <si>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</si>
  <si>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</si>
  <si>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</si>
  <si>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</si>
  <si>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</si>
  <si>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</si>
  <si>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</si>
  <si>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</si>
  <si>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</si>
  <si>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</si>
  <si>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</si>
  <si>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</si>
  <si>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</si>
  <si>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</si>
  <si>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</si>
  <si>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</si>
  <si>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</si>
  <si>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</si>
  <si>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</si>
  <si>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</si>
  <si>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</si>
  <si>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</si>
  <si>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</si>
  <si>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</si>
  <si>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</si>
  <si>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</si>
  <si>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</si>
  <si>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</si>
  <si>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</si>
  <si>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</si>
  <si>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</si>
  <si>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</si>
  <si>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</si>
  <si>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</si>
  <si>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</si>
  <si>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</si>
  <si>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</si>
  <si>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</si>
  <si>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</si>
  <si>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</si>
  <si>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</si>
  <si>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</si>
  <si>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</si>
  <si>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</si>
  <si>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</si>
  <si>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</si>
  <si>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</si>
  <si>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</si>
  <si>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</si>
  <si>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</si>
  <si>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</si>
  <si>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</si>
  <si>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</si>
  <si>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</si>
  <si>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</si>
  <si>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</si>
  <si>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</si>
  <si>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</si>
  <si>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</si>
  <si>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</si>
  <si>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</si>
  <si>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</si>
  <si>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</si>
  <si>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</si>
  <si>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</si>
  <si>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</si>
  <si>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</si>
  <si>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</si>
  <si>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</si>
  <si>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</si>
  <si>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</si>
  <si>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</si>
  <si>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</si>
  <si>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</si>
  <si>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</si>
  <si>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</si>
  <si>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</si>
  <si>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</si>
  <si>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</si>
  <si>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</si>
  <si>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</si>
  <si>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</si>
  <si>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</si>
  <si>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</si>
  <si>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</si>
  <si>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</si>
  <si>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</si>
  <si>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</si>
  <si>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</si>
  <si>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</si>
  <si>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</si>
  <si>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</si>
  <si>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</si>
  <si>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</si>
  <si>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</si>
  <si>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</si>
  <si>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</si>
  <si>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</si>
  <si>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</si>
  <si>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</si>
  <si>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</si>
  <si>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</si>
  <si>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</si>
  <si>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</si>
  <si>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</si>
  <si>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</si>
  <si>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</si>
  <si>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</si>
  <si>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</si>
  <si>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</si>
  <si>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</si>
  <si>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</si>
  <si>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</si>
  <si>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</si>
  <si>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</si>
  <si>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</si>
  <si>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</si>
  <si>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</si>
  <si>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</si>
  <si>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</si>
  <si>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</si>
  <si>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</si>
  <si>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</si>
  <si>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</si>
  <si>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</si>
  <si>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</si>
  <si>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</si>
  <si>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</si>
  <si>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</si>
  <si>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</si>
  <si>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</si>
  <si>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</si>
  <si>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</si>
  <si>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</si>
  <si>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</si>
  <si>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</si>
  <si>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</si>
  <si>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</si>
  <si>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</si>
  <si>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</si>
  <si>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</si>
  <si>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</si>
  <si>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</si>
  <si>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</si>
  <si>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</si>
  <si>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</si>
  <si>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</si>
  <si>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</si>
  <si>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</si>
  <si>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</si>
  <si>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</si>
  <si>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</si>
  <si>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</si>
  <si>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</si>
  <si>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</si>
  <si>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</si>
  <si>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</si>
  <si>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</si>
  <si>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</si>
  <si>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</si>
  <si>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</si>
  <si>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</si>
  <si>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</si>
  <si>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</si>
  <si>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</si>
  <si>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</si>
  <si>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</si>
  <si>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</si>
  <si>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</si>
  <si>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</si>
  <si>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</si>
  <si>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</si>
  <si>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</si>
  <si>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</si>
  <si>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</si>
  <si>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</si>
  <si>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</si>
  <si>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</si>
  <si>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</si>
  <si>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</si>
  <si>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</si>
  <si>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</si>
  <si>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</si>
  <si>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</si>
  <si>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</si>
  <si>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</si>
  <si>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</si>
  <si>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</si>
  <si>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</si>
  <si>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</si>
  <si>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</si>
  <si>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</si>
  <si>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</si>
  <si>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</si>
  <si>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</si>
  <si>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</si>
  <si>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</si>
  <si>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</si>
  <si>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</si>
  <si>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</si>
  <si>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</si>
  <si>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</si>
  <si>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</si>
  <si>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</si>
  <si>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</si>
  <si>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</si>
  <si>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</si>
  <si>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</si>
  <si>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</si>
  <si>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</si>
  <si>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</si>
  <si>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</si>
  <si>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</si>
  <si>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</si>
  <si>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</si>
  <si>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</si>
  <si>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</si>
  <si>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</si>
  <si>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</si>
  <si>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</si>
  <si>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</si>
  <si>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</si>
  <si>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</si>
  <si>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</si>
  <si>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</si>
  <si>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</si>
  <si>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</si>
  <si>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</si>
  <si>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</si>
  <si>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</si>
  <si>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</si>
  <si>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</si>
  <si>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</si>
  <si>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</si>
  <si>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</si>
  <si>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</si>
  <si>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</si>
  <si>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</si>
  <si>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</si>
  <si>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</si>
  <si>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</si>
  <si>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</si>
  <si>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</si>
  <si>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</si>
  <si>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</si>
  <si>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</si>
  <si>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</si>
  <si>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</si>
  <si>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</si>
  <si>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</si>
  <si>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</si>
  <si>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</si>
  <si>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</si>
  <si>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</si>
  <si>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</si>
  <si>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</si>
  <si>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</si>
  <si>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</si>
  <si>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</si>
  <si>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</si>
  <si>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</si>
  <si>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</si>
  <si>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</si>
  <si>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</si>
  <si>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</si>
  <si>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</si>
  <si>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</si>
  <si>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</si>
  <si>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</si>
  <si>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</si>
  <si>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</si>
  <si>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</si>
  <si>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</si>
  <si>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</si>
  <si>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</si>
  <si>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</si>
  <si>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</si>
  <si>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</si>
  <si>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</si>
  <si>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</si>
  <si>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</si>
  <si>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</si>
  <si>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</si>
  <si>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</si>
  <si>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</si>
  <si>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</si>
  <si>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</si>
  <si>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</si>
  <si>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</si>
  <si>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</si>
  <si>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</si>
  <si>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</si>
  <si>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</si>
  <si>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</si>
  <si>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</si>
  <si>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</si>
  <si>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</si>
  <si>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</si>
  <si>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</si>
  <si>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</si>
  <si>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</si>
  <si>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</si>
  <si>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</si>
  <si>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</si>
  <si>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</si>
  <si>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</si>
  <si>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</si>
  <si>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</si>
  <si>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</si>
  <si>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</si>
  <si>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</si>
  <si>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</si>
  <si>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</si>
  <si>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</si>
  <si>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</si>
  <si>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</si>
  <si>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</si>
  <si>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</si>
  <si>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</si>
  <si>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</si>
  <si>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</si>
  <si>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</si>
  <si>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</si>
  <si>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</si>
  <si>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</si>
  <si>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</si>
  <si>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</si>
  <si>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</si>
  <si>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</si>
  <si>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</si>
  <si>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</si>
  <si>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</si>
  <si>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</si>
  <si>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</si>
  <si>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</si>
  <si>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</si>
  <si>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</si>
  <si>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</si>
  <si>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</si>
  <si>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</si>
  <si>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</si>
  <si>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</si>
  <si>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</si>
  <si>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</si>
  <si>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</si>
  <si>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</si>
  <si>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</si>
  <si>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</si>
  <si>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</si>
  <si>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</si>
  <si>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</si>
  <si>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</si>
  <si>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</si>
  <si>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</si>
  <si>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</si>
  <si>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</si>
  <si>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</si>
  <si>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</si>
  <si>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</si>
  <si>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</si>
  <si>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</si>
  <si>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</si>
  <si>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</si>
  <si>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</si>
  <si>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</si>
  <si>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</si>
  <si>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</si>
  <si>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</si>
  <si>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</si>
  <si>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</si>
  <si>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</si>
  <si>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</si>
  <si>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</si>
  <si>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</si>
  <si>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</si>
  <si>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</si>
  <si>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</si>
  <si>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</si>
  <si>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</si>
  <si>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</si>
  <si>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</si>
  <si>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</si>
  <si>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</si>
  <si>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</si>
  <si>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</si>
  <si>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</si>
  <si>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</si>
  <si>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</si>
  <si>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</si>
  <si>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</si>
  <si>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</si>
  <si>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</si>
  <si>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</si>
  <si>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</si>
  <si>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</si>
  <si>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</si>
  <si>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</si>
  <si>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</si>
  <si>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</si>
  <si>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</si>
  <si>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</si>
  <si>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</si>
  <si>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</si>
  <si>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</si>
  <si>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</si>
  <si>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</si>
  <si>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</si>
  <si>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</si>
  <si>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</si>
  <si>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</si>
  <si>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</si>
  <si>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</si>
  <si>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</si>
  <si>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</si>
  <si>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</si>
  <si>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</si>
  <si>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</si>
  <si>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</si>
  <si>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</si>
  <si>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</si>
  <si>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</si>
  <si>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</si>
  <si>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</si>
  <si>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</si>
  <si>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</si>
  <si>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</si>
  <si>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</si>
  <si>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</si>
  <si>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</si>
  <si>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</si>
  <si>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</si>
  <si>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</si>
  <si>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</si>
  <si>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</si>
  <si>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</si>
  <si>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</si>
  <si>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</si>
  <si>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</si>
  <si>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</si>
  <si>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</si>
  <si>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</si>
  <si>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</si>
  <si>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</si>
  <si>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</si>
  <si>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</si>
  <si>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</si>
  <si>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</si>
  <si>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</si>
  <si>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</si>
  <si>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</si>
  <si>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</si>
  <si>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</si>
  <si>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</si>
  <si>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</si>
  <si>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</si>
  <si>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</si>
  <si>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</si>
  <si>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</si>
  <si>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</si>
  <si>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</si>
  <si>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</si>
  <si>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</si>
  <si>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</si>
  <si>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</si>
  <si>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</si>
  <si>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</si>
  <si>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</si>
  <si>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</si>
  <si>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</si>
  <si>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</si>
  <si>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</si>
  <si>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</si>
  <si>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</si>
  <si>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</si>
  <si>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</si>
  <si>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</si>
  <si>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</si>
  <si>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</si>
  <si>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</si>
  <si>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</si>
  <si>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</si>
  <si>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</si>
  <si>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</si>
  <si>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</si>
  <si>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</si>
  <si>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</si>
  <si>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</si>
  <si>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</si>
  <si>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</si>
  <si>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</si>
  <si>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</si>
  <si>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</si>
  <si>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</si>
  <si>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</si>
  <si>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</si>
  <si>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</si>
  <si>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</si>
  <si>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</si>
  <si>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</si>
  <si>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</si>
  <si>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</si>
  <si>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</si>
  <si>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</si>
  <si>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</si>
  <si>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</si>
  <si>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</si>
  <si>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</si>
  <si>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</si>
  <si>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</si>
  <si>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</si>
  <si>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</si>
  <si>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</si>
  <si>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</si>
  <si>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</si>
  <si>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</si>
  <si>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</si>
  <si>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</si>
  <si>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</si>
  <si>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</si>
  <si>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</si>
  <si>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</si>
  <si>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</si>
  <si>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</si>
  <si>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</si>
  <si>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</si>
  <si>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</si>
  <si>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</si>
  <si>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</si>
  <si>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</si>
  <si>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</si>
  <si>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</si>
  <si>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</si>
  <si>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</si>
  <si>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</si>
  <si>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</si>
  <si>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</si>
  <si>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</si>
  <si>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</si>
  <si>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</si>
  <si>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</si>
  <si>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</si>
  <si>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</si>
  <si>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</si>
  <si>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</si>
  <si>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</si>
  <si>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</si>
  <si>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</si>
  <si>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</si>
  <si>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</si>
  <si>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</si>
  <si>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</si>
  <si>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</si>
  <si>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</si>
  <si>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</si>
  <si>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</si>
  <si>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</si>
  <si>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</si>
  <si>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</si>
  <si>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</si>
  <si>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</si>
  <si>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</si>
  <si>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</si>
  <si>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</si>
  <si>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</si>
  <si>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</si>
  <si>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</si>
  <si>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</si>
  <si>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</si>
  <si>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</si>
  <si>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</si>
  <si>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</si>
  <si>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</si>
  <si>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</si>
  <si>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</si>
  <si>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</si>
  <si>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</si>
  <si>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</si>
  <si>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</si>
  <si>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</si>
  <si>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</si>
  <si>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</si>
  <si>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</si>
  <si>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</si>
  <si>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</si>
  <si>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</si>
  <si>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</si>
  <si>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</si>
  <si>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</si>
  <si>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</si>
  <si>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</si>
  <si>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</si>
  <si>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</si>
  <si>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</si>
  <si>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</si>
  <si>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</si>
  <si>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</si>
  <si>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</si>
  <si>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</si>
  <si>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</si>
  <si>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</si>
  <si>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</si>
  <si>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</si>
  <si>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</si>
  <si>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</si>
  <si>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</si>
  <si>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</si>
  <si>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</si>
  <si>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</si>
  <si>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</si>
  <si>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</si>
  <si>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</si>
  <si>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</si>
  <si>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</si>
  <si>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</si>
  <si>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</si>
  <si>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</si>
  <si>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</si>
  <si>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</si>
  <si>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</si>
  <si>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</si>
  <si>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</si>
  <si>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</si>
  <si>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</si>
  <si>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</si>
  <si>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</si>
  <si>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</si>
  <si>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</si>
  <si>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</si>
  <si>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</si>
  <si>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</si>
  <si>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</si>
  <si>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</si>
  <si>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</si>
  <si>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</si>
  <si>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</si>
  <si>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</si>
  <si>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</si>
  <si>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</si>
  <si>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</si>
  <si>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</si>
  <si>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</si>
  <si>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</si>
  <si>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</si>
  <si>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</si>
  <si>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</si>
  <si>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</si>
  <si>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</si>
  <si>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</si>
  <si>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</si>
  <si>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</si>
  <si>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</si>
  <si>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</si>
  <si>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</si>
  <si>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</si>
  <si>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</si>
  <si>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</si>
  <si>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</si>
  <si>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</si>
  <si>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</si>
  <si>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</si>
  <si>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</si>
  <si>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</si>
  <si>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</si>
  <si>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</si>
  <si>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</si>
  <si>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</si>
  <si>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</si>
  <si>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</si>
  <si>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</si>
  <si>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</si>
  <si>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</si>
  <si>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</si>
  <si>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</si>
  <si>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</si>
  <si>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</si>
  <si>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</si>
  <si>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</si>
  <si>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</si>
  <si>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</si>
  <si>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</si>
  <si>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</si>
  <si>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</si>
  <si>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</si>
  <si>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</si>
  <si>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</si>
  <si>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</si>
  <si>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</si>
  <si>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</si>
  <si>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</si>
  <si>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</si>
  <si>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</si>
  <si>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</si>
  <si>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</si>
  <si>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</si>
  <si>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</si>
  <si>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</si>
  <si>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</si>
  <si>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</si>
  <si>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</si>
  <si>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</si>
  <si>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</si>
  <si>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</si>
  <si>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</si>
  <si>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</si>
  <si>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</si>
  <si>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</si>
  <si>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</si>
  <si>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</si>
  <si>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</si>
  <si>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</si>
  <si>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</si>
  <si>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</si>
  <si>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</si>
  <si>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</si>
  <si>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</si>
  <si>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</si>
  <si>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</si>
  <si>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</si>
  <si>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</si>
  <si>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</si>
  <si>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</si>
  <si>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</si>
  <si>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</si>
  <si>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</si>
  <si>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</si>
  <si>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</si>
  <si>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</si>
  <si>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</si>
  <si>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</si>
  <si>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</si>
  <si>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</si>
  <si>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</si>
  <si>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</si>
  <si>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</si>
  <si>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</si>
  <si>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</si>
  <si>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</si>
  <si>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</si>
  <si>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</si>
  <si>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</si>
  <si>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</si>
  <si>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</si>
  <si>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</si>
  <si>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</si>
  <si>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</si>
  <si>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</si>
  <si>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</si>
  <si>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</si>
  <si>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</si>
  <si>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</si>
  <si>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</si>
  <si>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</si>
  <si>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</si>
  <si>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</si>
  <si>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</si>
  <si>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</si>
  <si>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</si>
  <si>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</si>
  <si>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</si>
  <si>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</si>
  <si>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</si>
  <si>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</si>
  <si>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</si>
  <si>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</si>
  <si>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</si>
  <si>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</si>
  <si>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</si>
  <si>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</si>
  <si>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</si>
  <si>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</si>
  <si>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</si>
  <si>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</si>
  <si>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</si>
  <si>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</si>
  <si>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</si>
  <si>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</si>
  <si>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</si>
  <si>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</si>
  <si>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</si>
  <si>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</si>
  <si>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</si>
  <si>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</si>
  <si>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</si>
  <si>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</si>
  <si>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</si>
  <si>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</si>
  <si>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</si>
  <si>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</si>
  <si>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</si>
  <si>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</si>
  <si>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</si>
  <si>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</si>
  <si>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</si>
  <si>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</si>
  <si>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</si>
  <si>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</si>
  <si>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</si>
  <si>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</si>
  <si>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</si>
  <si>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</si>
  <si>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</si>
  <si>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</si>
  <si>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</si>
  <si>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</si>
  <si>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</si>
  <si>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</si>
  <si>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</si>
  <si>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</si>
  <si>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</si>
  <si>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</si>
  <si>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</si>
  <si>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</si>
  <si>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</si>
  <si>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</si>
  <si>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</si>
  <si>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</si>
  <si>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</si>
  <si>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</si>
  <si>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</si>
  <si>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</si>
  <si>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</si>
  <si>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</si>
  <si>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</si>
  <si>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</si>
  <si>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</si>
  <si>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</si>
  <si>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</si>
  <si>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</si>
  <si>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</si>
  <si>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</si>
  <si>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</si>
  <si>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</si>
  <si>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</si>
  <si>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</si>
  <si>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</si>
  <si>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</si>
  <si>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</si>
  <si>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</si>
  <si>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</si>
  <si>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</si>
  <si>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</si>
  <si>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</si>
  <si>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</si>
  <si>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</si>
  <si>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</si>
  <si>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</si>
  <si>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</si>
  <si>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</si>
  <si>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</si>
  <si>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</si>
  <si>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</si>
  <si>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</si>
  <si>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</si>
  <si>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</si>
  <si>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</si>
  <si>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</si>
  <si>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</si>
  <si>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</si>
  <si>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</si>
  <si>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</si>
  <si>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</si>
  <si>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</si>
  <si>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</si>
  <si>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</si>
  <si>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</si>
  <si>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</si>
  <si>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</si>
  <si>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</si>
  <si>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</si>
  <si>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</si>
  <si>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</si>
  <si>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</si>
  <si>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</si>
  <si>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</si>
  <si>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</si>
  <si>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</si>
  <si>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</si>
  <si>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</si>
  <si>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</si>
  <si>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</si>
  <si>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</si>
  <si>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</si>
  <si>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</si>
  <si>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</si>
  <si>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</si>
  <si>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</si>
  <si>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</si>
  <si>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</si>
  <si>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</si>
  <si>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</si>
  <si>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</si>
  <si>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</si>
  <si>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</si>
  <si>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</si>
  <si>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</si>
  <si>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</si>
  <si>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</si>
  <si>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</si>
  <si>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</si>
  <si>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</si>
  <si>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</si>
  <si>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</si>
  <si>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</si>
  <si>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</si>
  <si>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</si>
  <si>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</si>
  <si>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</si>
  <si>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</si>
  <si>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</si>
  <si>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</si>
  <si>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</si>
  <si>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</si>
  <si>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</si>
  <si>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</si>
  <si>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</si>
  <si>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</si>
  <si>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</si>
  <si>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</si>
  <si>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</si>
  <si>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</si>
  <si>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</si>
  <si>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</si>
  <si>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</si>
  <si>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</si>
  <si>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</si>
  <si>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</si>
  <si>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</si>
  <si>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</si>
  <si>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</si>
  <si>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</si>
  <si>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</si>
  <si>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</si>
  <si>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</si>
  <si>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</si>
  <si>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</si>
  <si>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</si>
  <si>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</si>
  <si>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</si>
  <si>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</si>
  <si>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</si>
  <si>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</si>
  <si>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</si>
  <si>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</si>
  <si>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</si>
  <si>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</si>
  <si>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</si>
  <si>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</si>
  <si>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</si>
  <si>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</si>
  <si>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</si>
  <si>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</si>
  <si>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</si>
  <si>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</si>
  <si>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</si>
  <si>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</si>
  <si>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</si>
  <si>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</si>
  <si>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</si>
  <si>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</si>
  <si>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</si>
  <si>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</si>
  <si>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</si>
  <si>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</si>
  <si>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</si>
  <si>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</si>
  <si>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</si>
  <si>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</si>
  <si>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</si>
  <si>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</si>
  <si>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</si>
  <si>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</si>
  <si>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</si>
  <si>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</si>
  <si>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</si>
  <si>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</si>
  <si>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</si>
  <si>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</si>
  <si>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</si>
  <si>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</si>
  <si>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</si>
  <si>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</si>
  <si>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</si>
  <si>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</si>
  <si>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</si>
  <si>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</si>
  <si>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</si>
  <si>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</si>
  <si>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</si>
  <si>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</si>
  <si>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</si>
  <si>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</si>
  <si>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</si>
  <si>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</si>
  <si>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</si>
  <si>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</si>
  <si>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</si>
  <si>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</si>
  <si>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</si>
  <si>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</si>
  <si>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</si>
  <si>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</si>
  <si>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</si>
  <si>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</si>
  <si>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</si>
  <si>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</si>
  <si>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</si>
  <si>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</si>
  <si>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</si>
  <si>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</si>
  <si>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</si>
  <si>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</si>
  <si>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</si>
  <si>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</si>
  <si>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</si>
  <si>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</si>
  <si>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</si>
  <si>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</si>
  <si>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</si>
  <si>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</si>
  <si>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</si>
  <si>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</si>
  <si>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</si>
  <si>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</si>
  <si>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</si>
  <si>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</si>
  <si>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</si>
  <si>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</si>
  <si>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</si>
  <si>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</si>
  <si>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</si>
  <si>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</si>
  <si>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</si>
  <si>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</si>
  <si>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</si>
  <si>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</si>
  <si>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</si>
  <si>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</si>
  <si>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</si>
  <si>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</si>
  <si>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</si>
  <si>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</si>
  <si>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</si>
  <si>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</si>
  <si>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</si>
  <si>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</si>
  <si>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</si>
  <si>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</si>
  <si>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</si>
  <si>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</si>
  <si>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</si>
  <si>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</si>
  <si>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</si>
  <si>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</si>
  <si>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</si>
  <si>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</si>
  <si>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</si>
  <si>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</si>
  <si>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</si>
  <si>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</si>
  <si>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</si>
  <si>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</si>
  <si>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</si>
  <si>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</si>
  <si>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</si>
  <si>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</si>
  <si>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</si>
  <si>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</si>
  <si>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</si>
  <si>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</si>
  <si>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</si>
  <si>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</si>
  <si>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</si>
  <si>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</si>
  <si>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</si>
  <si>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</si>
  <si>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</si>
  <si>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</si>
  <si>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</si>
  <si>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</si>
  <si>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</si>
  <si>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</si>
  <si>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</si>
  <si>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</si>
  <si>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</si>
  <si>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</si>
  <si>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</si>
  <si>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</si>
  <si>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</si>
  <si>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</si>
  <si>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</si>
  <si>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</si>
  <si>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</si>
  <si>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</si>
  <si>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</si>
  <si>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</si>
  <si>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</si>
  <si>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</si>
  <si>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</si>
  <si>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</si>
  <si>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</si>
  <si>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</si>
  <si>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</si>
  <si>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</si>
  <si>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</si>
  <si>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</si>
  <si>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</si>
  <si>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</si>
  <si>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</si>
  <si>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</si>
  <si>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</si>
  <si>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</si>
  <si>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</si>
  <si>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</si>
  <si>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</si>
  <si>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</si>
  <si>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</si>
  <si>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</si>
  <si>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</si>
  <si>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</si>
  <si>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</si>
  <si>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</si>
  <si>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</si>
  <si>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</si>
  <si>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</si>
  <si>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</si>
  <si>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</si>
  <si>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</si>
  <si>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</si>
  <si>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</si>
  <si>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</si>
  <si>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</si>
  <si>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</si>
  <si>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</si>
  <si>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</si>
  <si>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</si>
  <si>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</si>
  <si>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</si>
  <si>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</si>
  <si>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</si>
  <si>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</si>
  <si>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</si>
  <si>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</si>
  <si>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</si>
  <si>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</si>
  <si>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</si>
  <si>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</si>
  <si>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</si>
  <si>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</si>
  <si>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</si>
  <si>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</si>
  <si>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</si>
  <si>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</si>
  <si>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</si>
  <si>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</si>
  <si>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</si>
  <si>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</si>
  <si>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</si>
  <si>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</si>
  <si>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</si>
  <si>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</si>
  <si>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</si>
  <si>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</si>
  <si>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</si>
  <si>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</si>
  <si>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</si>
  <si>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</si>
  <si>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</si>
  <si>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</si>
  <si>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</si>
  <si>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</si>
  <si>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</si>
  <si>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</si>
  <si>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</si>
  <si>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</si>
  <si>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</si>
  <si>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</si>
  <si>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</si>
  <si>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</si>
  <si>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</si>
  <si>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</si>
  <si>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</si>
  <si>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</si>
  <si>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</si>
  <si>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</si>
  <si>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</si>
  <si>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</si>
  <si>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</si>
  <si>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</si>
  <si>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</si>
  <si>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</si>
  <si>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</si>
  <si>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</si>
  <si>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</si>
  <si>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</si>
  <si>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</si>
  <si>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</si>
  <si>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</si>
  <si>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</si>
  <si>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</si>
  <si>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</si>
  <si>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</si>
  <si>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</si>
  <si>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</si>
  <si>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</si>
  <si>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</si>
  <si>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</si>
  <si>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</si>
  <si>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</si>
  <si>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</si>
  <si>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</si>
  <si>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</si>
  <si>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</si>
  <si>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</si>
  <si>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</si>
  <si>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</si>
  <si>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</si>
  <si>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</si>
  <si>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</si>
  <si>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</si>
  <si>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</si>
  <si>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</si>
  <si>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</si>
  <si>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</si>
  <si>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</si>
  <si>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</si>
  <si>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</si>
  <si>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</si>
  <si>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</si>
  <si>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</si>
  <si>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</si>
  <si>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</si>
  <si>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</si>
  <si>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</si>
  <si>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</si>
  <si>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</si>
  <si>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</si>
  <si>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</si>
  <si>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</si>
  <si>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</si>
  <si>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</si>
  <si>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</si>
  <si>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</si>
  <si>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</si>
  <si>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</si>
  <si>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</si>
  <si>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</si>
  <si>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</si>
  <si>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</si>
  <si>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</si>
  <si>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</si>
  <si>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</si>
  <si>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</si>
  <si>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</si>
  <si>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</si>
  <si>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</si>
  <si>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</si>
  <si>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</si>
  <si>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</si>
  <si>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</si>
  <si>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</si>
  <si>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</si>
  <si>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</si>
  <si>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</si>
  <si>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</si>
  <si>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</si>
  <si>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</si>
  <si>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</si>
  <si>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</si>
  <si>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</si>
  <si>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</si>
  <si>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</si>
  <si>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</si>
  <si>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</si>
  <si>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</si>
  <si>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</si>
  <si>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</si>
  <si>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</si>
  <si>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</si>
  <si>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</si>
  <si>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</si>
  <si>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</si>
  <si>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</si>
  <si>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</si>
  <si>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</si>
  <si>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</si>
  <si>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</si>
  <si>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</si>
  <si>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</si>
  <si>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</si>
  <si>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</si>
  <si>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</si>
  <si>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</si>
  <si>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</si>
  <si>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</si>
  <si>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</si>
  <si>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</si>
  <si>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</si>
  <si>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</si>
  <si>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</si>
  <si>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</si>
  <si>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</si>
  <si>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</si>
  <si>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</si>
  <si>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</si>
  <si>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</si>
  <si>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</si>
  <si>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</si>
  <si>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</si>
  <si>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</si>
  <si>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</si>
  <si>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</si>
  <si>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</si>
  <si>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</si>
  <si>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</si>
  <si>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</si>
  <si>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</si>
  <si>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</si>
  <si>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</si>
  <si>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</si>
  <si>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</si>
  <si>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</si>
  <si>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</si>
  <si>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</si>
  <si>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</si>
  <si>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</si>
  <si>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</si>
  <si>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</si>
  <si>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</si>
  <si>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</si>
  <si>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</si>
  <si>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</si>
  <si>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</si>
  <si>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</si>
  <si>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</si>
  <si>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</si>
  <si>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</si>
  <si>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</si>
  <si>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</si>
  <si>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</si>
  <si>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</si>
  <si>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</si>
  <si>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</si>
  <si>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</si>
  <si>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</si>
  <si>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</si>
  <si>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</si>
  <si>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</si>
  <si>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</si>
  <si>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</si>
  <si>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</si>
  <si>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</si>
  <si>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</si>
  <si>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</si>
  <si>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</si>
  <si>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</si>
  <si>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</si>
  <si>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</si>
  <si>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</si>
  <si>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</si>
  <si>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</si>
  <si>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</si>
  <si>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</si>
  <si>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</si>
  <si>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</si>
  <si>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</si>
  <si>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</si>
  <si>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</si>
  <si>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</si>
  <si>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</si>
  <si>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</si>
  <si>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</si>
  <si>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</si>
  <si>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</si>
  <si>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</si>
  <si>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</si>
  <si>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</si>
  <si>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</si>
  <si>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</si>
  <si>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</si>
  <si>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</si>
  <si>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</si>
  <si>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</si>
  <si>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</si>
  <si>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</si>
  <si>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</si>
  <si>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</si>
  <si>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</si>
  <si>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</si>
  <si>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</si>
  <si>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</si>
  <si>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</si>
  <si>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</si>
  <si>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</si>
  <si>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</si>
  <si>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</si>
  <si>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</si>
  <si>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</si>
  <si>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</si>
  <si>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</si>
  <si>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</si>
  <si>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</si>
  <si>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</si>
  <si>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</si>
  <si>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</si>
  <si>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</si>
  <si>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</si>
  <si>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</si>
  <si>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</si>
  <si>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</si>
  <si>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</si>
  <si>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</si>
  <si>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</si>
  <si>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</si>
  <si>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</si>
  <si>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</si>
  <si>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</si>
  <si>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</si>
  <si>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</si>
  <si>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</si>
  <si>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</si>
  <si>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</si>
  <si>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</si>
  <si>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</si>
  <si>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</si>
  <si>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</si>
  <si>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</si>
  <si>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</si>
  <si>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</si>
  <si>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</si>
  <si>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</si>
  <si>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</si>
  <si>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</si>
  <si>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</si>
  <si>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</si>
  <si>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</si>
  <si>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</si>
  <si>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</si>
  <si>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</si>
  <si>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</si>
  <si>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</si>
  <si>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</si>
  <si>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</si>
  <si>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</si>
  <si>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</si>
  <si>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</si>
  <si>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</si>
  <si>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</si>
  <si>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</si>
  <si>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</si>
  <si>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</si>
  <si>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</si>
  <si>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</si>
  <si>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</si>
  <si>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</si>
  <si>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</si>
  <si>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</si>
  <si>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</si>
  <si>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</si>
  <si>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</si>
  <si>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</si>
  <si>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</si>
  <si>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</si>
  <si>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</si>
  <si>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</si>
  <si>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</si>
  <si>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</si>
  <si>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</si>
  <si>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</si>
  <si>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</si>
  <si>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</si>
  <si>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</si>
  <si>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</si>
  <si>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</si>
  <si>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</si>
  <si>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</si>
  <si>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</si>
  <si>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</si>
  <si>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</si>
  <si>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</si>
  <si>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</si>
  <si>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</si>
  <si>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</si>
  <si>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</si>
  <si>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</si>
  <si>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</si>
  <si>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</si>
  <si>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</si>
  <si>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</si>
  <si>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</si>
  <si>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</si>
  <si>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</si>
  <si>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</si>
  <si>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</si>
  <si>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</si>
  <si>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</si>
  <si>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</si>
  <si>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</si>
  <si>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</si>
  <si>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</si>
  <si>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</si>
  <si>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</si>
  <si>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</si>
  <si>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</si>
  <si>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</si>
  <si>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</si>
  <si>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</si>
  <si>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</si>
  <si>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</si>
  <si>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</si>
  <si>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</si>
  <si>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</si>
  <si>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</si>
  <si>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</si>
  <si>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</si>
  <si>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</si>
  <si>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</si>
  <si>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</si>
  <si>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</si>
  <si>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</si>
  <si>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</si>
  <si>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</si>
  <si>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</si>
  <si>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</si>
  <si>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</si>
  <si>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</si>
  <si>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</si>
  <si>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</si>
  <si>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</si>
  <si>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</si>
  <si>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</si>
  <si>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</si>
  <si>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</si>
  <si>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</si>
  <si>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</si>
  <si>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</si>
  <si>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</si>
  <si>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</si>
  <si>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</si>
  <si>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</si>
  <si>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</si>
  <si>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</si>
  <si>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</si>
  <si>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</si>
  <si>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</si>
  <si>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</si>
  <si>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</si>
  <si>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</si>
  <si>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</si>
  <si>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</si>
  <si>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</si>
  <si>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</si>
  <si>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</si>
  <si>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</si>
  <si>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</si>
  <si>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</si>
  <si>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</si>
  <si>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</si>
  <si>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</si>
  <si>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</si>
  <si>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</si>
  <si>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</si>
  <si>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</si>
  <si>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</si>
  <si>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</si>
  <si>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</si>
  <si>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</si>
  <si>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</si>
  <si>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</si>
  <si>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</si>
  <si>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</si>
  <si>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</si>
  <si>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</si>
  <si>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</si>
  <si>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</si>
  <si>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</si>
  <si>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</si>
  <si>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</si>
  <si>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</si>
  <si>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</si>
  <si>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</si>
  <si>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</si>
  <si>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</si>
  <si>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</si>
  <si>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</si>
  <si>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</si>
  <si>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</si>
  <si>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</si>
  <si>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</si>
  <si>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</si>
  <si>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</si>
  <si>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</si>
  <si>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</si>
  <si>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</si>
  <si>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</si>
  <si>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</si>
  <si>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</si>
  <si>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</si>
  <si>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</si>
  <si>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</si>
  <si>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</si>
  <si>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</si>
  <si>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</si>
  <si>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</si>
  <si>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</si>
  <si>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</si>
  <si>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</si>
  <si>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</si>
  <si>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</si>
  <si>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</si>
  <si>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</si>
  <si>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</si>
  <si>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</si>
  <si>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</si>
  <si>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</si>
  <si>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</si>
  <si>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</si>
  <si>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</si>
  <si>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</si>
  <si>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</si>
  <si>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</si>
  <si>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</si>
  <si>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</si>
  <si>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</si>
  <si>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</si>
  <si>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</si>
  <si>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</si>
  <si>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</si>
  <si>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</si>
  <si>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</si>
  <si>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</si>
  <si>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</si>
  <si>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</si>
  <si>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</si>
  <si>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</si>
  <si>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</si>
  <si>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</si>
  <si>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</si>
  <si>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</si>
  <si>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</si>
  <si>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</si>
  <si>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</si>
  <si>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</si>
  <si>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</si>
  <si>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</si>
  <si>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</si>
  <si>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</si>
  <si>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</si>
  <si>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</si>
  <si>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</si>
  <si>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</si>
  <si>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</si>
  <si>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</si>
  <si>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</si>
  <si>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</si>
  <si>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</si>
  <si>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</si>
  <si>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</si>
  <si>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</si>
  <si>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</si>
  <si>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</si>
  <si>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</si>
  <si>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</si>
  <si>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</si>
  <si>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</si>
  <si>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</si>
  <si>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</si>
  <si>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</si>
  <si>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</si>
  <si>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</si>
  <si>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</si>
  <si>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</si>
  <si>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</si>
  <si>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</si>
  <si>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</si>
  <si>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</si>
  <si>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</si>
  <si>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</si>
  <si>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</si>
  <si>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</si>
  <si>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</si>
  <si>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</si>
  <si>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</si>
  <si>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</si>
  <si>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</si>
  <si>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</si>
  <si>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</si>
  <si>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</si>
  <si>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</si>
  <si>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</si>
  <si>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</si>
  <si>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</si>
  <si>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</si>
  <si>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</si>
  <si>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</si>
  <si>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</si>
  <si>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</si>
  <si>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</si>
  <si>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</si>
  <si>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</si>
  <si>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</si>
  <si>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</si>
  <si>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</si>
  <si>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</si>
  <si>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</si>
  <si>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</si>
  <si>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</si>
  <si>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</si>
  <si>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</si>
  <si>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</si>
  <si>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</si>
  <si>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</si>
  <si>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</si>
  <si>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</si>
  <si>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</si>
  <si>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</si>
  <si>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</si>
  <si>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</si>
  <si>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</si>
  <si>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</si>
  <si>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</si>
  <si>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</si>
  <si>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</si>
  <si>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</si>
  <si>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</si>
  <si>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</si>
  <si>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</si>
  <si>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</si>
  <si>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</si>
  <si>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</si>
  <si>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</si>
  <si>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</si>
  <si>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</si>
  <si>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</si>
  <si>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</si>
  <si>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</si>
  <si>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</si>
  <si>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</si>
  <si>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</si>
  <si>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</si>
  <si>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</si>
  <si>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</si>
  <si>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</si>
  <si>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</si>
  <si>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</si>
  <si>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</si>
  <si>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</si>
  <si>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</si>
  <si>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</si>
  <si>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</si>
  <si>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</si>
  <si>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</si>
  <si>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</si>
  <si>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</si>
  <si>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</si>
  <si>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</si>
  <si>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</si>
  <si>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</si>
  <si>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</si>
  <si>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</si>
  <si>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</si>
  <si>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</si>
  <si>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</si>
  <si>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</si>
  <si>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</si>
  <si>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</si>
  <si>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</si>
  <si>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</si>
  <si>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</si>
  <si>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</si>
  <si>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</si>
  <si>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</si>
  <si>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</si>
  <si>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</si>
  <si>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</si>
  <si>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</si>
  <si>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</si>
  <si>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</si>
  <si>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</si>
  <si>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</si>
  <si>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</si>
  <si>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</si>
  <si>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</si>
  <si>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</si>
  <si>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</si>
  <si>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</si>
  <si>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</si>
  <si>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</si>
  <si>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</si>
  <si>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</si>
  <si>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</si>
  <si>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</si>
  <si>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</si>
  <si>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</si>
  <si>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</si>
  <si>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</si>
  <si>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</si>
  <si>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</si>
  <si>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</si>
  <si>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</si>
  <si>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</si>
  <si>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</si>
  <si>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</si>
  <si>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</si>
  <si>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</si>
  <si>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</si>
  <si>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</si>
  <si>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</si>
  <si>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</si>
  <si>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</si>
  <si>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</si>
  <si>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</si>
  <si>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</si>
  <si>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</si>
  <si>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</si>
  <si>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</si>
  <si>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</si>
  <si>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</si>
  <si>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</si>
  <si>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</si>
  <si>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</si>
  <si>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</si>
  <si>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</si>
  <si>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</si>
  <si>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</si>
  <si>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</si>
  <si>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</si>
  <si>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</si>
  <si>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</si>
  <si>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</si>
  <si>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</si>
  <si>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</si>
  <si>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</si>
  <si>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</si>
  <si>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</si>
  <si>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</si>
  <si>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</si>
  <si>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</si>
  <si>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</si>
  <si>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</si>
  <si>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</si>
  <si>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</si>
  <si>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</si>
  <si>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</si>
  <si>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</si>
  <si>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</si>
  <si>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</si>
  <si>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</si>
  <si>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</si>
  <si>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</si>
  <si>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</si>
  <si>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</si>
  <si>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</si>
  <si>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</si>
  <si>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</si>
  <si>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</si>
  <si>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</si>
  <si>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</si>
  <si>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</si>
  <si>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</si>
  <si>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</si>
  <si>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</si>
  <si>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</si>
  <si>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</si>
  <si>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</si>
  <si>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</si>
  <si>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</si>
  <si>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</si>
  <si>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</si>
  <si>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</si>
  <si>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</si>
  <si>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</si>
  <si>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</si>
  <si>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</si>
  <si>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</si>
  <si>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</si>
  <si>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</si>
  <si>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</si>
  <si>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</si>
  <si>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</si>
  <si>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</si>
  <si>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</si>
  <si>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</si>
  <si>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</si>
  <si>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</si>
  <si>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</si>
  <si>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</si>
  <si>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</si>
  <si>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</si>
  <si>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</si>
  <si>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</si>
  <si>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</si>
  <si>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</si>
  <si>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</si>
  <si>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</si>
  <si>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</si>
  <si>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</si>
  <si>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</si>
  <si>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</si>
  <si>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</si>
  <si>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</si>
  <si>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</si>
  <si>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</si>
  <si>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</si>
  <si>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</si>
  <si>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</si>
  <si>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</si>
  <si>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</si>
  <si>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</si>
  <si>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</si>
  <si>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</si>
  <si>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</si>
  <si>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</si>
  <si>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</si>
  <si>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</si>
  <si>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</si>
  <si>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</si>
  <si>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</si>
  <si>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</si>
  <si>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</si>
  <si>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</si>
  <si>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</si>
  <si>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</si>
  <si>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</si>
  <si>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</si>
  <si>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</si>
  <si>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</si>
  <si>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</si>
  <si>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</si>
  <si>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</si>
  <si>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</si>
  <si>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</si>
  <si>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</si>
  <si>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</si>
  <si>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</si>
  <si>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</si>
  <si>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</si>
  <si>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</si>
  <si>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</si>
  <si>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</si>
  <si>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</si>
  <si>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</si>
  <si>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</si>
  <si>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</si>
  <si>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</si>
  <si>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</si>
  <si>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</si>
  <si>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</si>
  <si>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</si>
  <si>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</si>
  <si>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</si>
  <si>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</si>
  <si>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</si>
  <si>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</si>
  <si>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</si>
  <si>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</si>
  <si>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</si>
  <si>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</si>
  <si>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</si>
  <si>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</si>
  <si>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</si>
  <si>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</si>
  <si>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</si>
  <si>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</si>
  <si>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</si>
  <si>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</si>
  <si>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</si>
  <si>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</si>
  <si>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</si>
  <si>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</si>
  <si>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</si>
  <si>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</si>
  <si>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</si>
  <si>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</si>
  <si>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</si>
  <si>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</si>
  <si>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</si>
  <si>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</si>
  <si>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</si>
  <si>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</si>
  <si>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</si>
  <si>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</si>
  <si>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</si>
  <si>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</si>
  <si>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</si>
  <si>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</si>
  <si>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</si>
  <si>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</si>
  <si>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</si>
  <si>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</si>
  <si>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</si>
  <si>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</si>
  <si>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</si>
  <si>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</si>
  <si>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</si>
  <si>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</si>
  <si>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</si>
  <si>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</si>
  <si>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</si>
  <si>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</si>
  <si>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</si>
  <si>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</si>
  <si>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</si>
  <si>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</si>
  <si>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</si>
  <si>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</si>
  <si>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</si>
  <si>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</si>
  <si>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</si>
  <si>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</si>
  <si>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</si>
  <si>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</si>
  <si>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</si>
  <si>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</si>
  <si>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</si>
  <si>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</si>
  <si>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</si>
  <si>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</si>
  <si>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</si>
  <si>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</si>
  <si>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</si>
  <si>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</si>
  <si>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</si>
  <si>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</si>
  <si>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</si>
  <si>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</si>
  <si>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</si>
  <si>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</si>
  <si>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</si>
  <si>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</si>
  <si>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</si>
  <si>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</si>
  <si>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</si>
  <si>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</si>
  <si>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</si>
  <si>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</si>
  <si>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</si>
  <si>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</si>
  <si>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</si>
  <si>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</si>
  <si>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</si>
  <si>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</si>
  <si>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</si>
  <si>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</si>
  <si>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</si>
  <si>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</si>
  <si>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</si>
  <si>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</si>
  <si>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</si>
  <si>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</si>
  <si>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</si>
  <si>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</si>
  <si>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</si>
  <si>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</si>
  <si>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</si>
  <si>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</si>
  <si>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</si>
  <si>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</si>
  <si>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</si>
  <si>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</si>
  <si>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</si>
  <si>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</si>
  <si>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</si>
  <si>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</si>
  <si>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</si>
  <si>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</si>
  <si>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</si>
  <si>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</si>
  <si>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</si>
  <si>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</si>
  <si>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</si>
  <si>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</si>
  <si>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</si>
  <si>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</si>
  <si>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</si>
  <si>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</si>
  <si>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</si>
  <si>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</si>
  <si>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</si>
  <si>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</si>
  <si>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</si>
  <si>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</si>
  <si>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</si>
  <si>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</si>
  <si>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</si>
  <si>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</si>
  <si>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</si>
  <si>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</si>
  <si>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</si>
  <si>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</si>
  <si>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</si>
  <si>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</si>
  <si>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</si>
  <si>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</si>
  <si>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</si>
  <si>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</si>
  <si>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</si>
  <si>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</si>
  <si>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</si>
  <si>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</si>
  <si>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</si>
  <si>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</si>
  <si>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</si>
  <si>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</si>
  <si>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</si>
  <si>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</si>
  <si>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</si>
  <si>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</si>
  <si>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</si>
  <si>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</si>
  <si>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</si>
  <si>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</si>
  <si>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</si>
  <si>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</si>
  <si>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</si>
  <si>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</si>
  <si>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</si>
  <si>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</si>
  <si>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</si>
  <si>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</si>
  <si>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</si>
  <si>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</si>
  <si>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</si>
  <si>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</si>
  <si>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</si>
  <si>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</si>
  <si>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</si>
  <si>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</si>
  <si>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</si>
  <si>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</si>
  <si>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</si>
  <si>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</si>
  <si>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</si>
  <si>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</si>
  <si>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</si>
  <si>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</si>
  <si>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</si>
  <si>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</si>
  <si>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</si>
  <si>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</si>
  <si>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</si>
  <si>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</si>
  <si>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</si>
  <si>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</si>
  <si>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</si>
  <si>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</si>
  <si>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</si>
  <si>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</si>
  <si>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</si>
  <si>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</si>
  <si>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</si>
  <si>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</si>
  <si>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</si>
  <si>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</si>
  <si>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</si>
  <si>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</si>
  <si>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</si>
  <si>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</si>
  <si>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</si>
  <si>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</si>
  <si>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</si>
  <si>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</si>
  <si>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</si>
  <si>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</si>
  <si>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</si>
  <si>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</si>
  <si>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</si>
  <si>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</si>
  <si>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</si>
  <si>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</si>
  <si>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</si>
  <si>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</si>
  <si>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</si>
  <si>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</si>
  <si>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</si>
  <si>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</si>
  <si>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</si>
  <si>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</si>
  <si>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</si>
  <si>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</si>
  <si>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</si>
  <si>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</si>
  <si>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</si>
  <si>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</si>
  <si>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</si>
  <si>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</si>
  <si>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</si>
  <si>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</si>
  <si>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</si>
  <si>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</si>
  <si>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</si>
  <si>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</si>
  <si>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</si>
  <si>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</si>
  <si>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</si>
  <si>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</si>
  <si>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</si>
  <si>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</si>
  <si>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</si>
  <si>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</si>
  <si>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</si>
  <si>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</si>
  <si>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</si>
  <si>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</si>
  <si>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</si>
  <si>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</si>
  <si>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</si>
  <si>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</si>
  <si>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</si>
  <si>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</si>
  <si>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</si>
  <si>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</si>
  <si>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</si>
  <si>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</si>
  <si>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</si>
  <si>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</si>
  <si>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</si>
  <si>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</si>
  <si>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</si>
  <si>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</si>
  <si>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</si>
  <si>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</si>
  <si>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</si>
  <si>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</si>
  <si>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</si>
  <si>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</si>
  <si>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H000001474</t>
  </si>
  <si>
    <t>1250BA - SITE INFRASTRUCTURE</t>
  </si>
  <si>
    <t>1250BA - QUALITY</t>
  </si>
  <si>
    <t>1250BA - OTHERS</t>
  </si>
  <si>
    <t>H000011472</t>
  </si>
  <si>
    <t>1250BA - MANUFACTURING</t>
  </si>
  <si>
    <t>H000012472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</si>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</sst>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55" totalsRowShown="0">
  <autoFilter ref="A1:M55" xr:uid="{00000000-000C-0000-FFFF-FFFF00000000}">
    <filterColumn colId="6">
      <filters>
        <filter val="New"/>
      </filters>
    </filterColumn>
    <filterColumn colId="8">
      <filters blank="1"/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55"/>
  <sheetViews>
    <sheetView tabSelected="1" zoomScale="115" zoomScaleNormal="115" workbookViewId="0">
      <selection activeCell="F53" sqref="F53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7982</v>
      </c>
      <c r="J2" s="36" t="s">
        <v>17</v>
      </c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hidden="1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hidden="1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hidden="1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hidden="1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hidden="1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hidden="1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hidden="1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hidden="1" x14ac:dyDescent="0.25">
      <c r="A20" s="42">
        <f t="shared" ref="A20:A55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hidden="1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hidden="1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hidden="1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hidden="1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7950</v>
      </c>
      <c r="D26" s="9" t="s">
        <v>7954</v>
      </c>
      <c r="E26" s="9" t="s">
        <v>7924</v>
      </c>
      <c r="F26" s="9" t="s">
        <v>1125</v>
      </c>
      <c r="G26" s="36" t="s">
        <v>14</v>
      </c>
      <c r="H26" s="36" t="str">
        <f>IFERROR(VLOOKUP(Table2[[#This Row], [Ticket]],Okey!A:B,2,0),"")</f>
        <v/>
      </c>
      <c r="J26" s="36" t="s">
        <v>19</v>
      </c>
      <c r="K26" s="36" t="s">
        <v>7909</v>
      </c>
      <c r="M26" s="9" t="s">
        <v>7949</v>
      </c>
    </row>
    <row r="27" spans="1:13" x14ac:dyDescent="0.25">
      <c r="A27" s="42">
        <f t="shared" si="1"/>
        <v>26</v>
      </c>
      <c r="B27" s="36" t="s">
        <v>4</v>
      </c>
      <c r="C27" s="36" t="s">
        <v>7950</v>
      </c>
      <c r="D27" s="9" t="s">
        <v>7956</v>
      </c>
      <c r="E27" s="9" t="s">
        <v>7925</v>
      </c>
      <c r="F27" s="9" t="s">
        <v>7954</v>
      </c>
      <c r="G27" s="36" t="s">
        <v>14</v>
      </c>
      <c r="H27" s="36" t="str">
        <f>IFERROR(VLOOKUP(Table2[[#This Row], [Ticket]],Okey!A:B,2,0),"")</f>
        <v/>
      </c>
      <c r="J27" s="36" t="s">
        <v>19</v>
      </c>
      <c r="K27" s="36" t="s">
        <v>7909</v>
      </c>
      <c r="M27" s="36" t="s">
        <v>7949</v>
      </c>
    </row>
    <row r="28" spans="1:13" x14ac:dyDescent="0.25">
      <c r="A28" s="42">
        <f t="shared" si="1"/>
        <v>27</v>
      </c>
      <c r="B28" s="36" t="s">
        <v>4</v>
      </c>
      <c r="C28" s="36" t="s">
        <v>7950</v>
      </c>
      <c r="D28" s="9" t="s">
        <v>7957</v>
      </c>
      <c r="E28" s="9" t="s">
        <v>7926</v>
      </c>
      <c r="F28" s="9" t="s">
        <v>7954</v>
      </c>
      <c r="G28" s="36" t="s">
        <v>14</v>
      </c>
      <c r="H28" s="36" t="str">
        <f>IFERROR(VLOOKUP(Table2[[#This Row], [Ticket]],Okey!A:B,2,0),"")</f>
        <v/>
      </c>
      <c r="J28" s="36" t="s">
        <v>19</v>
      </c>
      <c r="K28" s="36" t="s">
        <v>7909</v>
      </c>
      <c r="M28" s="36" t="s">
        <v>7949</v>
      </c>
    </row>
    <row r="29" spans="1:13" x14ac:dyDescent="0.25">
      <c r="A29" s="42">
        <f t="shared" si="1"/>
        <v>28</v>
      </c>
      <c r="B29" s="36" t="s">
        <v>4</v>
      </c>
      <c r="C29" s="36" t="s">
        <v>7950</v>
      </c>
      <c r="D29" s="9" t="s">
        <v>7958</v>
      </c>
      <c r="E29" s="9" t="s">
        <v>7928</v>
      </c>
      <c r="F29" s="9" t="s">
        <v>7954</v>
      </c>
      <c r="G29" s="36" t="s">
        <v>14</v>
      </c>
      <c r="H29" s="36" t="str">
        <f>IFERROR(VLOOKUP(Table2[[#This Row], [Ticket]],Okey!A:B,2,0),"")</f>
        <v/>
      </c>
      <c r="J29" s="36" t="s">
        <v>19</v>
      </c>
      <c r="K29" s="36" t="s">
        <v>7909</v>
      </c>
      <c r="M29" s="36" t="s">
        <v>7949</v>
      </c>
    </row>
    <row r="30" spans="1:13" x14ac:dyDescent="0.25">
      <c r="A30" s="42">
        <f t="shared" si="1"/>
        <v>29</v>
      </c>
      <c r="B30" s="36" t="s">
        <v>4</v>
      </c>
      <c r="C30" s="36" t="s">
        <v>7950</v>
      </c>
      <c r="D30" s="9" t="s">
        <v>7959</v>
      </c>
      <c r="E30" s="9" t="s">
        <v>7929</v>
      </c>
      <c r="F30" s="9" t="s">
        <v>7954</v>
      </c>
      <c r="G30" s="36" t="s">
        <v>14</v>
      </c>
      <c r="H30" s="36" t="str">
        <f>IFERROR(VLOOKUP(Table2[[#This Row], [Ticket]],Okey!A:B,2,0),"")</f>
        <v/>
      </c>
      <c r="J30" s="36" t="s">
        <v>19</v>
      </c>
      <c r="K30" s="36" t="s">
        <v>7909</v>
      </c>
      <c r="M30" s="36" t="s">
        <v>7949</v>
      </c>
    </row>
    <row r="31" spans="1:13" x14ac:dyDescent="0.25">
      <c r="A31" s="42">
        <f t="shared" si="1"/>
        <v>30</v>
      </c>
      <c r="B31" s="36" t="s">
        <v>4</v>
      </c>
      <c r="C31" s="36" t="s">
        <v>7950</v>
      </c>
      <c r="D31" s="9" t="s">
        <v>7960</v>
      </c>
      <c r="E31" s="9" t="s">
        <v>7930</v>
      </c>
      <c r="F31" s="9" t="s">
        <v>7954</v>
      </c>
      <c r="G31" s="36" t="s">
        <v>14</v>
      </c>
      <c r="H31" s="36" t="str">
        <f>IFERROR(VLOOKUP(Table2[[#This Row], [Ticket]],Okey!A:B,2,0),"")</f>
        <v/>
      </c>
      <c r="J31" s="36" t="s">
        <v>19</v>
      </c>
      <c r="K31" s="36" t="s">
        <v>7909</v>
      </c>
      <c r="M31" s="36" t="s">
        <v>7949</v>
      </c>
    </row>
    <row r="32" spans="1:13" x14ac:dyDescent="0.25">
      <c r="A32" s="42">
        <f t="shared" si="1"/>
        <v>31</v>
      </c>
      <c r="B32" s="36" t="s">
        <v>4</v>
      </c>
      <c r="C32" s="36" t="s">
        <v>7950</v>
      </c>
      <c r="D32" s="9" t="s">
        <v>7961</v>
      </c>
      <c r="E32" s="9" t="s">
        <v>7932</v>
      </c>
      <c r="F32" s="9" t="s">
        <v>7956</v>
      </c>
      <c r="G32" s="36" t="s">
        <v>14</v>
      </c>
      <c r="H32" s="36" t="str">
        <f>IFERROR(VLOOKUP(Table2[[#This Row], [Ticket]],Okey!A:B,2,0),"")</f>
        <v/>
      </c>
      <c r="J32" s="36" t="s">
        <v>19</v>
      </c>
      <c r="K32" s="36" t="s">
        <v>7909</v>
      </c>
      <c r="M32" s="36" t="s">
        <v>7949</v>
      </c>
    </row>
    <row r="33" spans="1:13" x14ac:dyDescent="0.25">
      <c r="A33" s="42">
        <f t="shared" si="1"/>
        <v>32</v>
      </c>
      <c r="B33" s="36" t="s">
        <v>4</v>
      </c>
      <c r="C33" s="36" t="s">
        <v>7950</v>
      </c>
      <c r="D33" s="9" t="s">
        <v>7962</v>
      </c>
      <c r="E33" s="9" t="s">
        <v>7934</v>
      </c>
      <c r="F33" s="9" t="s">
        <v>7956</v>
      </c>
      <c r="G33" s="36" t="s">
        <v>14</v>
      </c>
      <c r="H33" s="36" t="str">
        <f>IFERROR(VLOOKUP(Table2[[#This Row], [Ticket]],Okey!A:B,2,0),"")</f>
        <v/>
      </c>
      <c r="J33" s="36" t="s">
        <v>19</v>
      </c>
      <c r="K33" s="36" t="s">
        <v>7909</v>
      </c>
      <c r="M33" s="36" t="s">
        <v>7949</v>
      </c>
    </row>
    <row r="34" spans="1:13" x14ac:dyDescent="0.25">
      <c r="A34" s="42">
        <f t="shared" si="1"/>
        <v>33</v>
      </c>
      <c r="B34" s="36" t="s">
        <v>4</v>
      </c>
      <c r="C34" s="36" t="s">
        <v>7950</v>
      </c>
      <c r="D34" s="9" t="s">
        <v>7963</v>
      </c>
      <c r="E34" s="9" t="s">
        <v>7935</v>
      </c>
      <c r="F34" s="9" t="s">
        <v>7957</v>
      </c>
      <c r="G34" s="36" t="s">
        <v>14</v>
      </c>
      <c r="H34" s="36" t="str">
        <f>IFERROR(VLOOKUP(Table2[[#This Row], [Ticket]],Okey!A:B,2,0),"")</f>
        <v/>
      </c>
      <c r="J34" s="36" t="s">
        <v>19</v>
      </c>
      <c r="K34" s="36" t="s">
        <v>7909</v>
      </c>
      <c r="M34" s="36" t="s">
        <v>7949</v>
      </c>
    </row>
    <row r="35" spans="1:13" x14ac:dyDescent="0.25">
      <c r="A35" s="42">
        <f t="shared" si="1"/>
        <v>34</v>
      </c>
      <c r="B35" s="36" t="s">
        <v>4</v>
      </c>
      <c r="C35" s="36" t="s">
        <v>7950</v>
      </c>
      <c r="D35" s="9" t="s">
        <v>7964</v>
      </c>
      <c r="E35" s="9" t="s">
        <v>7936</v>
      </c>
      <c r="F35" s="9" t="s">
        <v>7957</v>
      </c>
      <c r="G35" s="36" t="s">
        <v>14</v>
      </c>
      <c r="H35" s="36" t="str">
        <f>IFERROR(VLOOKUP(Table2[[#This Row], [Ticket]],Okey!A:B,2,0),"")</f>
        <v/>
      </c>
      <c r="J35" s="36" t="s">
        <v>19</v>
      </c>
      <c r="K35" s="36" t="s">
        <v>7909</v>
      </c>
      <c r="M35" s="36" t="s">
        <v>7949</v>
      </c>
    </row>
    <row r="36" spans="1:13" x14ac:dyDescent="0.25">
      <c r="A36" s="42">
        <f t="shared" si="1"/>
        <v>35</v>
      </c>
      <c r="B36" s="36" t="s">
        <v>4</v>
      </c>
      <c r="C36" s="36" t="s">
        <v>7950</v>
      </c>
      <c r="D36" s="9" t="s">
        <v>7965</v>
      </c>
      <c r="E36" s="9" t="s">
        <v>7937</v>
      </c>
      <c r="F36" s="9" t="s">
        <v>7957</v>
      </c>
      <c r="G36" s="36" t="s">
        <v>14</v>
      </c>
      <c r="H36" s="36" t="str">
        <f>IFERROR(VLOOKUP(Table2[[#This Row], [Ticket]],Okey!A:B,2,0),"")</f>
        <v/>
      </c>
      <c r="J36" s="36" t="s">
        <v>19</v>
      </c>
      <c r="K36" s="36" t="s">
        <v>7909</v>
      </c>
      <c r="M36" s="36" t="s">
        <v>7949</v>
      </c>
    </row>
    <row r="37" spans="1:13" x14ac:dyDescent="0.25">
      <c r="A37" s="42">
        <f t="shared" si="1"/>
        <v>36</v>
      </c>
      <c r="B37" s="36" t="s">
        <v>4</v>
      </c>
      <c r="C37" s="36" t="s">
        <v>7950</v>
      </c>
      <c r="D37" s="9" t="s">
        <v>7966</v>
      </c>
      <c r="E37" s="9" t="s">
        <v>7938</v>
      </c>
      <c r="F37" s="9" t="s">
        <v>7958</v>
      </c>
      <c r="G37" s="36" t="s">
        <v>14</v>
      </c>
      <c r="H37" s="36" t="str">
        <f>IFERROR(VLOOKUP(Table2[[#This Row], [Ticket]],Okey!A:B,2,0),"")</f>
        <v/>
      </c>
      <c r="J37" s="36" t="s">
        <v>19</v>
      </c>
      <c r="K37" s="36" t="s">
        <v>7909</v>
      </c>
      <c r="M37" s="36" t="s">
        <v>7949</v>
      </c>
    </row>
    <row r="38" spans="1:13" x14ac:dyDescent="0.25">
      <c r="A38" s="42">
        <f t="shared" si="1"/>
        <v>37</v>
      </c>
      <c r="B38" s="36" t="s">
        <v>4</v>
      </c>
      <c r="C38" s="36" t="s">
        <v>7950</v>
      </c>
      <c r="D38" s="9" t="s">
        <v>7967</v>
      </c>
      <c r="E38" s="9" t="s">
        <v>7939</v>
      </c>
      <c r="F38" s="9" t="s">
        <v>7958</v>
      </c>
      <c r="G38" s="36" t="s">
        <v>14</v>
      </c>
      <c r="H38" s="36" t="str">
        <f>IFERROR(VLOOKUP(Table2[[#This Row], [Ticket]],Okey!A:B,2,0),"")</f>
        <v/>
      </c>
      <c r="J38" s="36" t="s">
        <v>19</v>
      </c>
      <c r="K38" s="36" t="s">
        <v>7909</v>
      </c>
      <c r="M38" s="36" t="s">
        <v>7949</v>
      </c>
    </row>
    <row r="39" spans="1:13" x14ac:dyDescent="0.25">
      <c r="A39" s="42">
        <f t="shared" si="1"/>
        <v>38</v>
      </c>
      <c r="B39" s="36" t="s">
        <v>4</v>
      </c>
      <c r="C39" s="36" t="s">
        <v>7950</v>
      </c>
      <c r="D39" s="9" t="s">
        <v>7968</v>
      </c>
      <c r="E39" s="9" t="s">
        <v>7940</v>
      </c>
      <c r="F39" s="9" t="s">
        <v>7958</v>
      </c>
      <c r="G39" s="36" t="s">
        <v>14</v>
      </c>
      <c r="H39" s="36" t="str">
        <f>IFERROR(VLOOKUP(Table2[[#This Row], [Ticket]],Okey!A:B,2,0),"")</f>
        <v/>
      </c>
      <c r="J39" s="36" t="s">
        <v>19</v>
      </c>
      <c r="K39" s="36" t="s">
        <v>7909</v>
      </c>
      <c r="M39" s="36" t="s">
        <v>7949</v>
      </c>
    </row>
    <row r="40" spans="1:13" x14ac:dyDescent="0.25">
      <c r="A40" s="42">
        <f t="shared" si="1"/>
        <v>39</v>
      </c>
      <c r="B40" s="36" t="s">
        <v>4</v>
      </c>
      <c r="C40" s="36" t="s">
        <v>7950</v>
      </c>
      <c r="D40" s="9" t="s">
        <v>7969</v>
      </c>
      <c r="E40" s="9" t="s">
        <v>7941</v>
      </c>
      <c r="F40" s="9" t="s">
        <v>7958</v>
      </c>
      <c r="G40" s="36" t="s">
        <v>14</v>
      </c>
      <c r="H40" s="36" t="str">
        <f>IFERROR(VLOOKUP(Table2[[#This Row], [Ticket]],Okey!A:B,2,0),"")</f>
        <v/>
      </c>
      <c r="J40" s="36" t="s">
        <v>19</v>
      </c>
      <c r="K40" s="36" t="s">
        <v>7909</v>
      </c>
      <c r="M40" s="36" t="s">
        <v>7949</v>
      </c>
    </row>
    <row r="41" spans="1:13" x14ac:dyDescent="0.25">
      <c r="A41" s="42">
        <f t="shared" si="1"/>
        <v>40</v>
      </c>
      <c r="B41" s="36" t="s">
        <v>4</v>
      </c>
      <c r="C41" s="36" t="s">
        <v>7950</v>
      </c>
      <c r="D41" s="9" t="s">
        <v>7970</v>
      </c>
      <c r="E41" s="9" t="s">
        <v>7942</v>
      </c>
      <c r="F41" s="9" t="s">
        <v>7961</v>
      </c>
      <c r="G41" s="36" t="s">
        <v>14</v>
      </c>
      <c r="H41" s="36" t="str">
        <f>IFERROR(VLOOKUP(Table2[[#This Row], [Ticket]],Okey!A:B,2,0),"")</f>
        <v/>
      </c>
      <c r="J41" s="36" t="s">
        <v>19</v>
      </c>
      <c r="K41" s="36" t="s">
        <v>7909</v>
      </c>
      <c r="M41" s="36" t="s">
        <v>7949</v>
      </c>
    </row>
    <row r="42" spans="1:13" x14ac:dyDescent="0.25">
      <c r="A42" s="42">
        <f t="shared" si="1"/>
        <v>41</v>
      </c>
      <c r="B42" s="36" t="s">
        <v>4</v>
      </c>
      <c r="C42" s="36" t="s">
        <v>7950</v>
      </c>
      <c r="D42" s="9" t="s">
        <v>7971</v>
      </c>
      <c r="E42" s="9" t="s">
        <v>7943</v>
      </c>
      <c r="F42" s="9" t="s">
        <v>7962</v>
      </c>
      <c r="G42" s="36" t="s">
        <v>14</v>
      </c>
      <c r="H42" s="36" t="str">
        <f>IFERROR(VLOOKUP(Table2[[#This Row], [Ticket]],Okey!A:B,2,0),"")</f>
        <v/>
      </c>
      <c r="J42" s="36" t="s">
        <v>19</v>
      </c>
      <c r="K42" s="36" t="s">
        <v>7909</v>
      </c>
      <c r="M42" s="36" t="s">
        <v>7949</v>
      </c>
    </row>
    <row r="43" spans="1:13" x14ac:dyDescent="0.25">
      <c r="A43" s="42">
        <f t="shared" si="1"/>
        <v>42</v>
      </c>
      <c r="B43" s="36" t="s">
        <v>4</v>
      </c>
      <c r="C43" s="36" t="s">
        <v>7950</v>
      </c>
      <c r="D43" s="9" t="s">
        <v>7972</v>
      </c>
      <c r="E43" s="9" t="s">
        <v>7944</v>
      </c>
      <c r="F43" s="9" t="s">
        <v>7961</v>
      </c>
      <c r="G43" s="36" t="s">
        <v>14</v>
      </c>
      <c r="H43" s="36" t="str">
        <f>IFERROR(VLOOKUP(Table2[[#This Row], [Ticket]],Okey!A:B,2,0),"")</f>
        <v/>
      </c>
      <c r="J43" s="36" t="s">
        <v>19</v>
      </c>
      <c r="K43" s="36" t="s">
        <v>7909</v>
      </c>
      <c r="M43" s="36" t="s">
        <v>7949</v>
      </c>
    </row>
    <row r="44" spans="1:13" x14ac:dyDescent="0.25">
      <c r="A44" s="42">
        <f t="shared" si="1"/>
        <v>43</v>
      </c>
      <c r="B44" s="36" t="s">
        <v>4</v>
      </c>
      <c r="C44" s="36" t="s">
        <v>7950</v>
      </c>
      <c r="D44" s="9" t="s">
        <v>7973</v>
      </c>
      <c r="E44" s="9" t="s">
        <v>7945</v>
      </c>
      <c r="F44" s="9" t="s">
        <v>7961</v>
      </c>
      <c r="G44" s="36" t="s">
        <v>14</v>
      </c>
      <c r="H44" s="36" t="str">
        <f>IFERROR(VLOOKUP(Table2[[#This Row], [Ticket]],Okey!A:B,2,0),"")</f>
        <v/>
      </c>
      <c r="J44" s="36" t="s">
        <v>19</v>
      </c>
      <c r="K44" s="36" t="s">
        <v>7909</v>
      </c>
      <c r="M44" s="36" t="s">
        <v>7949</v>
      </c>
    </row>
    <row r="45" spans="1:13" x14ac:dyDescent="0.25">
      <c r="A45" s="42">
        <f t="shared" si="1"/>
        <v>44</v>
      </c>
      <c r="B45" s="36" t="s">
        <v>4</v>
      </c>
      <c r="C45" s="36" t="s">
        <v>7950</v>
      </c>
      <c r="D45" s="9" t="s">
        <v>7974</v>
      </c>
      <c r="E45" s="9" t="s">
        <v>7946</v>
      </c>
      <c r="F45" s="9" t="s">
        <v>7961</v>
      </c>
      <c r="G45" s="36" t="s">
        <v>14</v>
      </c>
      <c r="H45" s="36" t="str">
        <f>IFERROR(VLOOKUP(Table2[[#This Row], [Ticket]],Okey!A:B,2,0),"")</f>
        <v/>
      </c>
      <c r="J45" s="36" t="s">
        <v>19</v>
      </c>
      <c r="K45" s="36" t="s">
        <v>7909</v>
      </c>
      <c r="M45" s="36" t="s">
        <v>7949</v>
      </c>
    </row>
    <row r="46" spans="1:13" x14ac:dyDescent="0.25">
      <c r="A46" s="42">
        <f t="shared" si="1"/>
        <v>45</v>
      </c>
      <c r="B46" s="36" t="s">
        <v>4</v>
      </c>
      <c r="C46" s="36" t="s">
        <v>7950</v>
      </c>
      <c r="D46" s="9" t="s">
        <v>7975</v>
      </c>
      <c r="E46" s="9" t="s">
        <v>7947</v>
      </c>
      <c r="F46" s="9" t="s">
        <v>7961</v>
      </c>
      <c r="G46" s="36" t="s">
        <v>14</v>
      </c>
      <c r="H46" s="36" t="str">
        <f>IFERROR(VLOOKUP(Table2[[#This Row], [Ticket]],Okey!A:B,2,0),"")</f>
        <v/>
      </c>
      <c r="J46" s="36" t="s">
        <v>19</v>
      </c>
      <c r="K46" s="36" t="s">
        <v>7909</v>
      </c>
      <c r="M46" s="36" t="s">
        <v>7949</v>
      </c>
    </row>
    <row r="47" spans="1:13" x14ac:dyDescent="0.25">
      <c r="A47" s="42">
        <f t="shared" si="1"/>
        <v>46</v>
      </c>
      <c r="B47" s="36" t="s">
        <v>4</v>
      </c>
      <c r="C47" s="36" t="s">
        <v>7950</v>
      </c>
      <c r="D47" s="9" t="s">
        <v>7976</v>
      </c>
      <c r="E47" s="9" t="s">
        <v>7944</v>
      </c>
      <c r="F47" s="9" t="s">
        <v>7962</v>
      </c>
      <c r="G47" s="36" t="s">
        <v>14</v>
      </c>
      <c r="H47" s="36" t="str">
        <f>IFERROR(VLOOKUP(Table2[[#This Row], [Ticket]],Okey!A:B,2,0),"")</f>
        <v/>
      </c>
      <c r="J47" s="36" t="s">
        <v>19</v>
      </c>
      <c r="K47" s="36" t="s">
        <v>7909</v>
      </c>
      <c r="M47" s="36" t="s">
        <v>7949</v>
      </c>
    </row>
    <row r="48" spans="1:13" x14ac:dyDescent="0.25">
      <c r="A48" s="42">
        <f t="shared" si="1"/>
        <v>47</v>
      </c>
      <c r="B48" s="36" t="s">
        <v>4</v>
      </c>
      <c r="C48" s="36" t="s">
        <v>7950</v>
      </c>
      <c r="D48" s="9" t="s">
        <v>7977</v>
      </c>
      <c r="E48" s="9" t="s">
        <v>7945</v>
      </c>
      <c r="F48" s="9" t="s">
        <v>7962</v>
      </c>
      <c r="G48" s="36" t="s">
        <v>14</v>
      </c>
      <c r="H48" s="36" t="str">
        <f>IFERROR(VLOOKUP(Table2[[#This Row], [Ticket]],Okey!A:B,2,0),"")</f>
        <v/>
      </c>
      <c r="J48" s="36" t="s">
        <v>19</v>
      </c>
      <c r="K48" s="36" t="s">
        <v>7909</v>
      </c>
      <c r="M48" s="36" t="s">
        <v>7949</v>
      </c>
    </row>
    <row r="49" spans="1:13" x14ac:dyDescent="0.25">
      <c r="A49" s="42">
        <f t="shared" si="1"/>
        <v>48</v>
      </c>
      <c r="B49" s="36" t="s">
        <v>4</v>
      </c>
      <c r="C49" s="36" t="s">
        <v>7950</v>
      </c>
      <c r="D49" s="9" t="s">
        <v>7978</v>
      </c>
      <c r="E49" s="9" t="s">
        <v>7946</v>
      </c>
      <c r="F49" s="9" t="s">
        <v>7962</v>
      </c>
      <c r="G49" s="36" t="s">
        <v>14</v>
      </c>
      <c r="H49" s="36" t="str">
        <f>IFERROR(VLOOKUP(Table2[[#This Row], [Ticket]],Okey!A:B,2,0),"")</f>
        <v/>
      </c>
      <c r="J49" s="36" t="s">
        <v>19</v>
      </c>
      <c r="K49" s="36" t="s">
        <v>7909</v>
      </c>
      <c r="M49" s="36" t="s">
        <v>7949</v>
      </c>
    </row>
    <row r="50" spans="1:13" x14ac:dyDescent="0.25">
      <c r="A50" s="42">
        <f t="shared" si="1"/>
        <v>49</v>
      </c>
      <c r="B50" s="36" t="s">
        <v>4</v>
      </c>
      <c r="C50" s="36" t="s">
        <v>7950</v>
      </c>
      <c r="D50" s="9" t="s">
        <v>7979</v>
      </c>
      <c r="E50" s="9" t="s">
        <v>7947</v>
      </c>
      <c r="F50" s="9" t="s">
        <v>7962</v>
      </c>
      <c r="G50" s="36" t="s">
        <v>14</v>
      </c>
      <c r="H50" s="36" t="str">
        <f>IFERROR(VLOOKUP(Table2[[#This Row], [Ticket]],Okey!A:B,2,0),"")</f>
        <v/>
      </c>
      <c r="J50" s="36" t="s">
        <v>19</v>
      </c>
      <c r="K50" s="36" t="s">
        <v>7909</v>
      </c>
      <c r="M50" s="36" t="s">
        <v>7949</v>
      </c>
    </row>
    <row r="51" spans="1:13" x14ac:dyDescent="0.25">
      <c r="A51" s="42">
        <f t="shared" si="1"/>
        <v>50</v>
      </c>
      <c r="B51" s="36" t="s">
        <v>4</v>
      </c>
      <c r="C51" s="36" t="s">
        <v>7950</v>
      </c>
      <c r="D51" s="9" t="s">
        <v>7980</v>
      </c>
      <c r="E51" s="9" t="s">
        <v>7948</v>
      </c>
      <c r="F51" s="9" t="s">
        <v>1125</v>
      </c>
      <c r="G51" s="36" t="s">
        <v>14</v>
      </c>
      <c r="H51" s="36" t="str">
        <f>IFERROR(VLOOKUP(Table2[[#This Row], [Ticket]],Okey!A:B,2,0),"")</f>
        <v/>
      </c>
      <c r="J51" s="36" t="s">
        <v>19</v>
      </c>
      <c r="K51" s="36" t="s">
        <v>7909</v>
      </c>
      <c r="M51" s="36" t="s">
        <v>7949</v>
      </c>
    </row>
    <row r="52" spans="1:13" x14ac:dyDescent="0.25">
      <c r="A52" s="42">
        <f t="shared" si="1"/>
        <v>51</v>
      </c>
      <c r="B52" s="36" t="s">
        <v>4</v>
      </c>
      <c r="C52" s="9" t="s">
        <v>7953</v>
      </c>
      <c r="D52" s="36" t="s">
        <v>7981</v>
      </c>
      <c r="E52" s="9" t="s">
        <v>7951</v>
      </c>
      <c r="F52" s="9" t="s">
        <v>1534</v>
      </c>
      <c r="G52" s="36" t="s">
        <v>14</v>
      </c>
      <c r="H52" s="36" t="str">
        <f>IFERROR(VLOOKUP(Table2[[#This Row], [Ticket]],Okey!A:B,2,0),"")</f>
        <v/>
      </c>
      <c r="J52" s="36" t="s">
        <v>19</v>
      </c>
      <c r="K52" s="36" t="s">
        <v>7909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7953</v>
      </c>
      <c r="D53" s="9" t="s">
        <v>7952</v>
      </c>
      <c r="E53" s="9" t="s">
        <v>7951</v>
      </c>
      <c r="F53" s="36" t="s">
        <v>7981</v>
      </c>
      <c r="G53" s="36" t="s">
        <v>14</v>
      </c>
      <c r="H53" s="36" t="str">
        <f>IFERROR(VLOOKUP(Table2[[#This Row], [Ticket]],Okey!A:B,2,0),"")</f>
        <v/>
      </c>
      <c r="J53" s="36" t="s">
        <v>19</v>
      </c>
      <c r="K53" s="36" t="s">
        <v>7909</v>
      </c>
      <c r="M53" s="9" t="s">
        <v>6354</v>
      </c>
    </row>
    <row r="54" spans="1:13" hidden="1" x14ac:dyDescent="0.25">
      <c r="A54" s="42">
        <f t="shared" si="1"/>
        <v>53</v>
      </c>
      <c r="B54" s="36" t="s">
        <v>4</v>
      </c>
      <c r="C54" s="9" t="s">
        <v>7985</v>
      </c>
      <c r="D54" s="9" t="s">
        <v>653</v>
      </c>
      <c r="E54" s="9" t="s">
        <v>7983</v>
      </c>
      <c r="G54" s="9" t="s">
        <v>15</v>
      </c>
      <c r="H54" s="36" t="str">
        <f>IFERROR(VLOOKUP(Table2[[#This Row], [Ticket]],Okey!A:B,2,0),"")</f>
        <v/>
      </c>
      <c r="J54" s="36" t="s">
        <v>19</v>
      </c>
      <c r="K54" s="36" t="s">
        <v>7909</v>
      </c>
    </row>
    <row r="55" spans="1:13" hidden="1" x14ac:dyDescent="0.25">
      <c r="A55" s="42">
        <f t="shared" si="1"/>
        <v>54</v>
      </c>
      <c r="B55" s="36" t="s">
        <v>4</v>
      </c>
      <c r="C55" s="9" t="s">
        <v>7985</v>
      </c>
      <c r="D55" s="9" t="s">
        <v>1700</v>
      </c>
      <c r="E55" s="9" t="s">
        <v>7984</v>
      </c>
      <c r="G55" s="36" t="s">
        <v>15</v>
      </c>
      <c r="H55" s="36" t="str">
        <f>IFERROR(VLOOKUP(Table2[[#This Row], [Ticket]],Okey!A:B,2,0),"")</f>
        <v/>
      </c>
      <c r="J55" s="36" t="s">
        <v>19</v>
      </c>
      <c r="K55" s="36" t="s">
        <v>7909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D7D0F-EF2E-4984-96B8-325E87192E7F}">
  <dimension ref="A1:I26"/>
  <sheetViews>
    <sheetView workbookViewId="0">
      <selection activeCell="I26" sqref="I1:I26"/>
    </sheetView>
  </sheetViews>
  <sheetFormatPr defaultRowHeight="15" x14ac:dyDescent="0.25"/>
  <cols>
    <col min="1" max="1" width="11.28515625" bestFit="1" customWidth="1"/>
    <col min="2" max="2" width="40.28515625" bestFit="1" customWidth="1"/>
    <col min="3" max="3" width="40.28515625" customWidth="1"/>
    <col min="4" max="4" width="11.28515625" bestFit="1" customWidth="1"/>
    <col min="5" max="5" width="40.28515625" bestFit="1" customWidth="1"/>
  </cols>
  <sheetData>
    <row r="1" spans="1:9" x14ac:dyDescent="0.25">
      <c r="A1" t="s">
        <v>7954</v>
      </c>
      <c r="B1" t="s">
        <v>7924</v>
      </c>
      <c r="C1" t="str">
        <f>A1</f>
        <v>H000004866</v>
      </c>
      <c r="D1" t="s">
        <v>1125</v>
      </c>
      <c r="E1" t="e">
        <v>#N/A</v>
      </c>
      <c r="F1" s="47" t="s">
        <v>7955</v>
      </c>
      <c r="G1">
        <v>4866</v>
      </c>
      <c r="I1" t="s">
        <v>1125</v>
      </c>
    </row>
    <row r="2" spans="1:9" x14ac:dyDescent="0.25">
      <c r="A2" t="s">
        <v>7956</v>
      </c>
      <c r="B2" t="s">
        <v>7925</v>
      </c>
      <c r="C2" t="str">
        <f t="shared" ref="C2:C26" si="0">A2</f>
        <v>H000004867</v>
      </c>
      <c r="D2" t="s">
        <v>939</v>
      </c>
      <c r="E2" t="s">
        <v>7924</v>
      </c>
      <c r="F2" s="47" t="s">
        <v>7955</v>
      </c>
      <c r="G2">
        <f>+G1+1</f>
        <v>4867</v>
      </c>
      <c r="I2" t="str">
        <f>VLOOKUP(E2,B:C,2,0)</f>
        <v>H000004866</v>
      </c>
    </row>
    <row r="3" spans="1:9" x14ac:dyDescent="0.25">
      <c r="A3" t="s">
        <v>7957</v>
      </c>
      <c r="B3" t="s">
        <v>7926</v>
      </c>
      <c r="C3" t="str">
        <f t="shared" si="0"/>
        <v>H000004868</v>
      </c>
      <c r="D3" t="s">
        <v>939</v>
      </c>
      <c r="E3" t="s">
        <v>7924</v>
      </c>
      <c r="F3" s="47" t="s">
        <v>7955</v>
      </c>
      <c r="G3">
        <f t="shared" ref="G3:G26" si="1">+G2+1</f>
        <v>4868</v>
      </c>
      <c r="I3" t="str">
        <f t="shared" ref="I3:I25" si="2">VLOOKUP(E3,B:C,2,0)</f>
        <v>H000004866</v>
      </c>
    </row>
    <row r="4" spans="1:9" x14ac:dyDescent="0.25">
      <c r="A4" t="s">
        <v>7958</v>
      </c>
      <c r="B4" t="s">
        <v>7928</v>
      </c>
      <c r="C4" t="str">
        <f t="shared" si="0"/>
        <v>H000004869</v>
      </c>
      <c r="D4" t="s">
        <v>939</v>
      </c>
      <c r="E4" t="s">
        <v>7924</v>
      </c>
      <c r="F4" s="47" t="s">
        <v>7955</v>
      </c>
      <c r="G4">
        <f t="shared" si="1"/>
        <v>4869</v>
      </c>
      <c r="I4" t="str">
        <f t="shared" si="2"/>
        <v>H000004866</v>
      </c>
    </row>
    <row r="5" spans="1:9" x14ac:dyDescent="0.25">
      <c r="A5" t="s">
        <v>7959</v>
      </c>
      <c r="B5" t="s">
        <v>7929</v>
      </c>
      <c r="C5" t="str">
        <f t="shared" si="0"/>
        <v>H000004870</v>
      </c>
      <c r="D5" t="s">
        <v>939</v>
      </c>
      <c r="E5" t="s">
        <v>7924</v>
      </c>
      <c r="F5" s="47" t="s">
        <v>7955</v>
      </c>
      <c r="G5">
        <f t="shared" si="1"/>
        <v>4870</v>
      </c>
      <c r="I5" t="str">
        <f t="shared" si="2"/>
        <v>H000004866</v>
      </c>
    </row>
    <row r="6" spans="1:9" x14ac:dyDescent="0.25">
      <c r="A6" t="s">
        <v>7960</v>
      </c>
      <c r="B6" t="s">
        <v>7930</v>
      </c>
      <c r="C6" t="str">
        <f t="shared" si="0"/>
        <v>H000004871</v>
      </c>
      <c r="D6" t="s">
        <v>939</v>
      </c>
      <c r="E6" t="s">
        <v>7924</v>
      </c>
      <c r="F6" s="47" t="s">
        <v>7955</v>
      </c>
      <c r="G6">
        <f t="shared" si="1"/>
        <v>4871</v>
      </c>
      <c r="I6" t="str">
        <f t="shared" si="2"/>
        <v>H000004866</v>
      </c>
    </row>
    <row r="7" spans="1:9" x14ac:dyDescent="0.25">
      <c r="A7" t="s">
        <v>7961</v>
      </c>
      <c r="B7" t="s">
        <v>7932</v>
      </c>
      <c r="C7" t="str">
        <f t="shared" si="0"/>
        <v>H000004872</v>
      </c>
      <c r="D7" t="s">
        <v>941</v>
      </c>
      <c r="E7" t="s">
        <v>7925</v>
      </c>
      <c r="F7" s="47" t="s">
        <v>7955</v>
      </c>
      <c r="G7">
        <f t="shared" si="1"/>
        <v>4872</v>
      </c>
      <c r="I7" t="str">
        <f t="shared" si="2"/>
        <v>H000004867</v>
      </c>
    </row>
    <row r="8" spans="1:9" x14ac:dyDescent="0.25">
      <c r="A8" t="s">
        <v>7962</v>
      </c>
      <c r="B8" t="s">
        <v>7934</v>
      </c>
      <c r="C8" t="str">
        <f t="shared" si="0"/>
        <v>H000004873</v>
      </c>
      <c r="D8" t="s">
        <v>941</v>
      </c>
      <c r="E8" t="s">
        <v>7925</v>
      </c>
      <c r="F8" s="47" t="s">
        <v>7955</v>
      </c>
      <c r="G8">
        <f t="shared" si="1"/>
        <v>4873</v>
      </c>
      <c r="I8" t="str">
        <f t="shared" si="2"/>
        <v>H000004867</v>
      </c>
    </row>
    <row r="9" spans="1:9" x14ac:dyDescent="0.25">
      <c r="A9" t="s">
        <v>7963</v>
      </c>
      <c r="B9" t="s">
        <v>7935</v>
      </c>
      <c r="C9" t="str">
        <f t="shared" si="0"/>
        <v>H000004874</v>
      </c>
      <c r="D9" t="s">
        <v>943</v>
      </c>
      <c r="E9" t="s">
        <v>7926</v>
      </c>
      <c r="F9" s="47" t="s">
        <v>7955</v>
      </c>
      <c r="G9">
        <f t="shared" si="1"/>
        <v>4874</v>
      </c>
      <c r="I9" t="str">
        <f t="shared" si="2"/>
        <v>H000004868</v>
      </c>
    </row>
    <row r="10" spans="1:9" x14ac:dyDescent="0.25">
      <c r="A10" t="s">
        <v>7964</v>
      </c>
      <c r="B10" t="s">
        <v>7936</v>
      </c>
      <c r="C10" t="str">
        <f t="shared" si="0"/>
        <v>H000004875</v>
      </c>
      <c r="D10" t="s">
        <v>943</v>
      </c>
      <c r="E10" t="s">
        <v>7926</v>
      </c>
      <c r="F10" s="47" t="s">
        <v>7955</v>
      </c>
      <c r="G10">
        <f t="shared" si="1"/>
        <v>4875</v>
      </c>
      <c r="I10" t="str">
        <f t="shared" si="2"/>
        <v>H000004868</v>
      </c>
    </row>
    <row r="11" spans="1:9" x14ac:dyDescent="0.25">
      <c r="A11" t="s">
        <v>7965</v>
      </c>
      <c r="B11" t="s">
        <v>7937</v>
      </c>
      <c r="C11" t="str">
        <f t="shared" si="0"/>
        <v>H000004876</v>
      </c>
      <c r="D11" t="s">
        <v>943</v>
      </c>
      <c r="E11" t="s">
        <v>7926</v>
      </c>
      <c r="F11" s="47" t="s">
        <v>7955</v>
      </c>
      <c r="G11">
        <f t="shared" si="1"/>
        <v>4876</v>
      </c>
      <c r="I11" t="str">
        <f t="shared" si="2"/>
        <v>H000004868</v>
      </c>
    </row>
    <row r="12" spans="1:9" x14ac:dyDescent="0.25">
      <c r="A12" t="s">
        <v>7966</v>
      </c>
      <c r="B12" t="s">
        <v>7938</v>
      </c>
      <c r="C12" t="str">
        <f t="shared" si="0"/>
        <v>H000004877</v>
      </c>
      <c r="D12" t="s">
        <v>7927</v>
      </c>
      <c r="E12" t="s">
        <v>7928</v>
      </c>
      <c r="F12" s="47" t="s">
        <v>7955</v>
      </c>
      <c r="G12">
        <f t="shared" si="1"/>
        <v>4877</v>
      </c>
      <c r="I12" t="str">
        <f t="shared" si="2"/>
        <v>H000004869</v>
      </c>
    </row>
    <row r="13" spans="1:9" x14ac:dyDescent="0.25">
      <c r="A13" t="s">
        <v>7967</v>
      </c>
      <c r="B13" t="s">
        <v>7939</v>
      </c>
      <c r="C13" t="str">
        <f t="shared" si="0"/>
        <v>H000004878</v>
      </c>
      <c r="D13" t="s">
        <v>7927</v>
      </c>
      <c r="E13" t="s">
        <v>7928</v>
      </c>
      <c r="F13" s="47" t="s">
        <v>7955</v>
      </c>
      <c r="G13">
        <f t="shared" si="1"/>
        <v>4878</v>
      </c>
      <c r="I13" t="str">
        <f t="shared" si="2"/>
        <v>H000004869</v>
      </c>
    </row>
    <row r="14" spans="1:9" x14ac:dyDescent="0.25">
      <c r="A14" t="s">
        <v>7968</v>
      </c>
      <c r="B14" t="s">
        <v>7940</v>
      </c>
      <c r="C14" t="str">
        <f t="shared" si="0"/>
        <v>H000004879</v>
      </c>
      <c r="D14" t="s">
        <v>7927</v>
      </c>
      <c r="E14" t="s">
        <v>7928</v>
      </c>
      <c r="F14" s="47" t="s">
        <v>7955</v>
      </c>
      <c r="G14">
        <f t="shared" si="1"/>
        <v>4879</v>
      </c>
      <c r="I14" t="str">
        <f t="shared" si="2"/>
        <v>H000004869</v>
      </c>
    </row>
    <row r="15" spans="1:9" x14ac:dyDescent="0.25">
      <c r="A15" t="s">
        <v>7969</v>
      </c>
      <c r="B15" t="s">
        <v>7941</v>
      </c>
      <c r="C15" t="str">
        <f t="shared" si="0"/>
        <v>H000004880</v>
      </c>
      <c r="D15" t="s">
        <v>7927</v>
      </c>
      <c r="E15" t="s">
        <v>7928</v>
      </c>
      <c r="F15" s="47" t="s">
        <v>7955</v>
      </c>
      <c r="G15">
        <f t="shared" si="1"/>
        <v>4880</v>
      </c>
      <c r="I15" t="str">
        <f t="shared" si="2"/>
        <v>H000004869</v>
      </c>
    </row>
    <row r="16" spans="1:9" x14ac:dyDescent="0.25">
      <c r="A16" t="s">
        <v>7970</v>
      </c>
      <c r="B16" t="s">
        <v>7942</v>
      </c>
      <c r="C16" t="str">
        <f t="shared" si="0"/>
        <v>H000004881</v>
      </c>
      <c r="D16" t="s">
        <v>7931</v>
      </c>
      <c r="E16" t="s">
        <v>7932</v>
      </c>
      <c r="F16" s="47" t="s">
        <v>7955</v>
      </c>
      <c r="G16">
        <f t="shared" si="1"/>
        <v>4881</v>
      </c>
      <c r="I16" t="str">
        <f t="shared" si="2"/>
        <v>H000004872</v>
      </c>
    </row>
    <row r="17" spans="1:9" x14ac:dyDescent="0.25">
      <c r="A17" t="s">
        <v>7971</v>
      </c>
      <c r="B17" t="s">
        <v>7943</v>
      </c>
      <c r="C17" t="str">
        <f t="shared" si="0"/>
        <v>H000004882</v>
      </c>
      <c r="D17" t="s">
        <v>7933</v>
      </c>
      <c r="E17" t="s">
        <v>7934</v>
      </c>
      <c r="F17" s="47" t="s">
        <v>7955</v>
      </c>
      <c r="G17">
        <f t="shared" si="1"/>
        <v>4882</v>
      </c>
      <c r="I17" t="str">
        <f t="shared" si="2"/>
        <v>H000004873</v>
      </c>
    </row>
    <row r="18" spans="1:9" x14ac:dyDescent="0.25">
      <c r="A18" t="s">
        <v>7972</v>
      </c>
      <c r="B18" t="s">
        <v>7944</v>
      </c>
      <c r="C18" t="str">
        <f t="shared" si="0"/>
        <v>H000004883</v>
      </c>
      <c r="D18" t="s">
        <v>7931</v>
      </c>
      <c r="E18" t="s">
        <v>7932</v>
      </c>
      <c r="F18" s="47" t="s">
        <v>7955</v>
      </c>
      <c r="G18">
        <f t="shared" si="1"/>
        <v>4883</v>
      </c>
      <c r="I18" t="str">
        <f t="shared" si="2"/>
        <v>H000004872</v>
      </c>
    </row>
    <row r="19" spans="1:9" x14ac:dyDescent="0.25">
      <c r="A19" t="s">
        <v>7973</v>
      </c>
      <c r="B19" t="s">
        <v>7945</v>
      </c>
      <c r="C19" t="str">
        <f t="shared" si="0"/>
        <v>H000004884</v>
      </c>
      <c r="D19" t="s">
        <v>7931</v>
      </c>
      <c r="E19" t="s">
        <v>7932</v>
      </c>
      <c r="F19" s="47" t="s">
        <v>7955</v>
      </c>
      <c r="G19">
        <f t="shared" si="1"/>
        <v>4884</v>
      </c>
      <c r="I19" t="str">
        <f t="shared" si="2"/>
        <v>H000004872</v>
      </c>
    </row>
    <row r="20" spans="1:9" x14ac:dyDescent="0.25">
      <c r="A20" t="s">
        <v>7974</v>
      </c>
      <c r="B20" t="s">
        <v>7946</v>
      </c>
      <c r="C20" t="str">
        <f t="shared" si="0"/>
        <v>H000004885</v>
      </c>
      <c r="D20" t="s">
        <v>7931</v>
      </c>
      <c r="E20" t="s">
        <v>7932</v>
      </c>
      <c r="F20" s="47" t="s">
        <v>7955</v>
      </c>
      <c r="G20">
        <f t="shared" si="1"/>
        <v>4885</v>
      </c>
      <c r="I20" t="str">
        <f t="shared" si="2"/>
        <v>H000004872</v>
      </c>
    </row>
    <row r="21" spans="1:9" x14ac:dyDescent="0.25">
      <c r="A21" t="s">
        <v>7975</v>
      </c>
      <c r="B21" t="s">
        <v>7947</v>
      </c>
      <c r="C21" t="str">
        <f t="shared" si="0"/>
        <v>H000004886</v>
      </c>
      <c r="D21" t="s">
        <v>7931</v>
      </c>
      <c r="E21" t="s">
        <v>7932</v>
      </c>
      <c r="F21" s="47" t="s">
        <v>7955</v>
      </c>
      <c r="G21">
        <f t="shared" si="1"/>
        <v>4886</v>
      </c>
      <c r="I21" t="str">
        <f t="shared" si="2"/>
        <v>H000004872</v>
      </c>
    </row>
    <row r="22" spans="1:9" x14ac:dyDescent="0.25">
      <c r="A22" t="s">
        <v>7976</v>
      </c>
      <c r="B22" t="s">
        <v>7944</v>
      </c>
      <c r="C22" t="str">
        <f t="shared" si="0"/>
        <v>H000004887</v>
      </c>
      <c r="D22" t="s">
        <v>7933</v>
      </c>
      <c r="E22" t="s">
        <v>7934</v>
      </c>
      <c r="F22" s="47" t="s">
        <v>7955</v>
      </c>
      <c r="G22">
        <f t="shared" si="1"/>
        <v>4887</v>
      </c>
      <c r="I22" t="str">
        <f t="shared" si="2"/>
        <v>H000004873</v>
      </c>
    </row>
    <row r="23" spans="1:9" x14ac:dyDescent="0.25">
      <c r="A23" t="s">
        <v>7977</v>
      </c>
      <c r="B23" t="s">
        <v>7945</v>
      </c>
      <c r="C23" t="str">
        <f t="shared" si="0"/>
        <v>H000004888</v>
      </c>
      <c r="D23" t="s">
        <v>7933</v>
      </c>
      <c r="E23" t="s">
        <v>7934</v>
      </c>
      <c r="F23" s="47" t="s">
        <v>7955</v>
      </c>
      <c r="G23">
        <f t="shared" si="1"/>
        <v>4888</v>
      </c>
      <c r="I23" t="str">
        <f t="shared" si="2"/>
        <v>H000004873</v>
      </c>
    </row>
    <row r="24" spans="1:9" x14ac:dyDescent="0.25">
      <c r="A24" t="s">
        <v>7978</v>
      </c>
      <c r="B24" t="s">
        <v>7946</v>
      </c>
      <c r="C24" t="str">
        <f t="shared" si="0"/>
        <v>H000004889</v>
      </c>
      <c r="D24" t="s">
        <v>7933</v>
      </c>
      <c r="E24" t="s">
        <v>7934</v>
      </c>
      <c r="F24" s="47" t="s">
        <v>7955</v>
      </c>
      <c r="G24">
        <f t="shared" si="1"/>
        <v>4889</v>
      </c>
      <c r="I24" t="str">
        <f t="shared" si="2"/>
        <v>H000004873</v>
      </c>
    </row>
    <row r="25" spans="1:9" x14ac:dyDescent="0.25">
      <c r="A25" t="s">
        <v>7979</v>
      </c>
      <c r="B25" t="s">
        <v>7947</v>
      </c>
      <c r="C25" t="str">
        <f t="shared" si="0"/>
        <v>H000004890</v>
      </c>
      <c r="D25" t="s">
        <v>7933</v>
      </c>
      <c r="E25" t="s">
        <v>7934</v>
      </c>
      <c r="F25" s="47" t="s">
        <v>7955</v>
      </c>
      <c r="G25">
        <f t="shared" si="1"/>
        <v>4890</v>
      </c>
      <c r="I25" t="str">
        <f t="shared" si="2"/>
        <v>H000004873</v>
      </c>
    </row>
    <row r="26" spans="1:9" x14ac:dyDescent="0.25">
      <c r="A26" t="s">
        <v>7980</v>
      </c>
      <c r="B26" t="s">
        <v>7948</v>
      </c>
      <c r="C26" t="str">
        <f t="shared" si="0"/>
        <v>H000004891</v>
      </c>
      <c r="D26" t="s">
        <v>1125</v>
      </c>
      <c r="E26" t="e">
        <v>#N/A</v>
      </c>
      <c r="F26" s="47" t="s">
        <v>7955</v>
      </c>
      <c r="G26">
        <f t="shared" si="1"/>
        <v>4891</v>
      </c>
      <c r="I26" t="s">
        <v>1125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2026-01-02T17:20:33Z</dcterms:modified>
</cp:coreProperties>
</file>