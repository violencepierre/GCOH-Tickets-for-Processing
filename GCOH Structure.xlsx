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EE597840-94F9-4E2E-974B-DB2926AE44A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5" sheetId="23" r:id="rId3"/>
    <sheet name="Sheet6" sheetId="24" r:id="rId4"/>
    <sheet name="Sheet4" sheetId="22" r:id="rId5"/>
    <sheet name="Sheet3" sheetId="21" r:id="rId6"/>
    <sheet name="Sheet2" sheetId="20" r:id="rId7"/>
    <sheet name="Sheet1" sheetId="18" r:id="rId8"/>
    <sheet name="Names" sheetId="5" r:id="rId9"/>
    <sheet name="NEW NODES" sheetId="6" r:id="rId10"/>
    <sheet name="People" sheetId="7" r:id="rId11"/>
    <sheet name="2023" sheetId="8" r:id="rId12"/>
    <sheet name="2024" sheetId="19" r:id="rId13"/>
    <sheet name="Sectors" sheetId="9" r:id="rId14"/>
    <sheet name="Okey" sheetId="10" r:id="rId15"/>
    <sheet name="KPI" sheetId="12" r:id="rId16"/>
  </sheets>
  <definedNames>
    <definedName name="_xlnm._FilterDatabase" localSheetId="11">'2023'!$A$1:$M$1</definedName>
    <definedName name="_xlnm._FilterDatabase" localSheetId="8">Names!$A$237:$G$388</definedName>
    <definedName name="_xlnm._FilterDatabase" localSheetId="10">People!$A$1:$B$1</definedName>
    <definedName name="_xlnm._FilterDatabase" localSheetId="1">STUCT1!#REF!</definedName>
  </definedNames>
  <calcPr calcId="181029"/>
  <pivotCaches>
    <pivotCache cacheId="0" r:id="rId17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93" i="1" l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686" i="1"/>
  <c r="H1687" i="1"/>
  <c r="H1688" i="1"/>
  <c r="H1689" i="1"/>
  <c r="H1690" i="1"/>
  <c r="H1691" i="1"/>
  <c r="H1692" i="1"/>
  <c r="H1685" i="1"/>
  <c r="H1684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541" i="1"/>
  <c r="L1524" i="1"/>
  <c r="L1523" i="1"/>
  <c r="L1522" i="1"/>
  <c r="L1521" i="1"/>
  <c r="L1520" i="1"/>
  <c r="L1519" i="1"/>
  <c r="L1621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18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1" i="21"/>
  <c r="C3" i="21"/>
  <c r="C4" i="21" s="1"/>
  <c r="C5" i="21" s="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  <c r="C39" i="21" s="1"/>
  <c r="C40" i="21" s="1"/>
  <c r="C41" i="21" s="1"/>
  <c r="C42" i="21" s="1"/>
  <c r="C43" i="21" s="1"/>
  <c r="C44" i="21" s="1"/>
  <c r="C45" i="21" s="1"/>
  <c r="C46" i="21" s="1"/>
  <c r="C2" i="21"/>
  <c r="H1680" i="1"/>
  <c r="H1681" i="1"/>
  <c r="H1682" i="1"/>
  <c r="H1683" i="1"/>
  <c r="H1678" i="1"/>
  <c r="H1679" i="1"/>
  <c r="H1668" i="1"/>
  <c r="H1669" i="1"/>
  <c r="H1670" i="1"/>
  <c r="H1671" i="1"/>
  <c r="H1672" i="1"/>
  <c r="H1673" i="1"/>
  <c r="H1674" i="1"/>
  <c r="H1675" i="1"/>
  <c r="H1676" i="1"/>
  <c r="H1677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22" i="1" l="1"/>
  <c r="H1621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77" i="1"/>
  <c r="H1578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50" i="1"/>
  <c r="J1549" i="1"/>
  <c r="J1548" i="1"/>
  <c r="J1547" i="1"/>
  <c r="J1546" i="1"/>
  <c r="J1545" i="1"/>
  <c r="J1544" i="1"/>
  <c r="J1543" i="1"/>
  <c r="J1542" i="1"/>
  <c r="J1541" i="1"/>
  <c r="H1542" i="1"/>
  <c r="H1543" i="1"/>
  <c r="H1544" i="1"/>
  <c r="H1545" i="1"/>
  <c r="H1546" i="1"/>
  <c r="H1547" i="1"/>
  <c r="H1548" i="1"/>
  <c r="H1549" i="1"/>
  <c r="H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J1524" i="1"/>
  <c r="J1523" i="1"/>
  <c r="J1522" i="1"/>
  <c r="J1521" i="1"/>
  <c r="J1520" i="1"/>
  <c r="J1519" i="1"/>
  <c r="J1518" i="1"/>
  <c r="H1519" i="1"/>
  <c r="H1520" i="1"/>
  <c r="H1521" i="1"/>
  <c r="H1522" i="1"/>
  <c r="H1523" i="1"/>
  <c r="H1524" i="1"/>
  <c r="H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</calcChain>
</file>

<file path=xl/sharedStrings.xml><?xml version="1.0" encoding="utf-8"?>
<sst xmlns="http://schemas.openxmlformats.org/spreadsheetml/2006/main" count="49669" uniqueCount="8864">
  <si>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</si>
  <si>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</si>
  <si>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</si>
  <si>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</si>
  <si>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</si>
  <si>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</si>
  <si>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</si>
  <si>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</si>
  <si>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</si>
  <si>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</si>
  <si>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</si>
  <si>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</si>
  <si>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</si>
  <si>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</si>
  <si>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</si>
  <si>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</si>
  <si>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</si>
  <si>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</si>
  <si>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</si>
  <si>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</si>
  <si>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</si>
  <si>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</si>
  <si>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</si>
  <si>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</si>
  <si>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</si>
  <si>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</si>
  <si>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</si>
  <si>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</si>
  <si>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</si>
  <si>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</si>
  <si>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</si>
  <si>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</si>
  <si>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</si>
  <si>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</si>
  <si>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</si>
  <si>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</si>
  <si>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</si>
  <si>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</si>
  <si>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</si>
  <si>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</si>
  <si>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</si>
  <si>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</si>
  <si>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</si>
  <si>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</si>
  <si>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</si>
  <si>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</si>
  <si>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</si>
  <si>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</si>
  <si>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</si>
  <si>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</si>
  <si>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</si>
  <si>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</si>
  <si>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</si>
  <si>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</si>
  <si>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</si>
  <si>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</si>
  <si>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</si>
  <si>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</si>
  <si>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</si>
  <si>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</si>
  <si>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</si>
  <si>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</si>
  <si>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</si>
  <si>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</si>
  <si>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</si>
  <si>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</si>
  <si>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</si>
  <si>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</si>
  <si>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</si>
  <si>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</si>
  <si>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</si>
  <si>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</si>
  <si>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</si>
  <si>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</si>
  <si>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</si>
  <si>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</si>
  <si>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</si>
  <si>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</si>
  <si>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</si>
  <si>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</si>
  <si>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</si>
  <si>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</si>
  <si>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</si>
  <si>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</si>
  <si>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</si>
  <si>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</si>
  <si>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</si>
  <si>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</si>
  <si>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</si>
  <si>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</si>
  <si>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</si>
  <si>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</si>
  <si>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</si>
  <si>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</si>
  <si>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</si>
  <si>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</si>
  <si>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</si>
  <si>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</si>
  <si>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</si>
  <si>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</si>
  <si>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</si>
  <si>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</si>
  <si>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</si>
  <si>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</si>
  <si>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</si>
  <si>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</si>
  <si>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</si>
  <si>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</si>
  <si>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</si>
  <si>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</si>
  <si>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</si>
  <si>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</si>
  <si>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</si>
  <si>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</si>
  <si>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</si>
  <si>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</si>
  <si>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</si>
  <si>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</si>
  <si>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</si>
  <si>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</si>
  <si>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</si>
  <si>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</si>
  <si>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</si>
  <si>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</si>
  <si>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</si>
  <si>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</si>
  <si>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</si>
  <si>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</si>
  <si>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</si>
  <si>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</si>
  <si>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</si>
  <si>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</si>
  <si>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</si>
  <si>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</si>
  <si>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</si>
  <si>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</si>
  <si>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</si>
  <si>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</si>
  <si>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</si>
  <si>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</si>
  <si>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</si>
  <si>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</si>
  <si>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</si>
  <si>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</si>
  <si>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</si>
  <si>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</si>
  <si>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</si>
  <si>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</si>
  <si>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</si>
  <si>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</si>
  <si>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</si>
  <si>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</si>
  <si>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</si>
  <si>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</si>
  <si>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</si>
  <si>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</si>
  <si>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</si>
  <si>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</si>
  <si>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</si>
  <si>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</si>
  <si>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</si>
  <si>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</si>
  <si>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</si>
  <si>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</si>
  <si>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</si>
  <si>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</si>
  <si>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</si>
  <si>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</si>
  <si>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</si>
  <si>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</si>
  <si>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</si>
  <si>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</si>
  <si>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</si>
  <si>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</si>
  <si>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</si>
  <si>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</si>
  <si>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</si>
  <si>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</si>
  <si>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</si>
  <si>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</si>
  <si>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</si>
  <si>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</si>
  <si>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</si>
  <si>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</si>
  <si>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</si>
  <si>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</si>
  <si>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</si>
  <si>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</si>
  <si>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</si>
  <si>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</si>
  <si>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</si>
  <si>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</si>
  <si>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</si>
  <si>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</si>
  <si>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</si>
  <si>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</si>
  <si>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</si>
  <si>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</si>
  <si>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</si>
  <si>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</si>
  <si>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</si>
  <si>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</si>
  <si>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</si>
  <si>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</si>
  <si>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</si>
  <si>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</si>
  <si>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</si>
  <si>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</si>
  <si>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</si>
  <si>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</si>
  <si>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</si>
  <si>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</si>
  <si>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</si>
  <si>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</si>
  <si>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</si>
  <si>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</si>
  <si>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</si>
  <si>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</si>
  <si>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</si>
  <si>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</si>
  <si>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</si>
  <si>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</si>
  <si>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</si>
  <si>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</si>
  <si>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</si>
  <si>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</si>
  <si>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</si>
  <si>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</si>
  <si>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</si>
  <si>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</si>
  <si>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</si>
  <si>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</si>
  <si>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</si>
  <si>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</si>
  <si>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</si>
  <si>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</si>
  <si>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</si>
  <si>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</si>
  <si>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</si>
  <si>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</si>
  <si>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</si>
  <si>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</si>
  <si>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</si>
  <si>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</si>
  <si>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</si>
  <si>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</si>
  <si>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</si>
  <si>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</si>
  <si>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</si>
  <si>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</si>
  <si>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</si>
  <si>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</si>
  <si>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</si>
  <si>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</si>
  <si>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</si>
  <si>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</si>
  <si>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</si>
  <si>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</si>
  <si>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</si>
  <si>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</si>
  <si>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</si>
  <si>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</si>
  <si>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</si>
  <si>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</si>
  <si>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</si>
  <si>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</si>
  <si>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</si>
  <si>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</si>
  <si>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</si>
  <si>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</si>
  <si>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</si>
  <si>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</si>
  <si>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</si>
  <si>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</si>
  <si>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</si>
  <si>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</si>
  <si>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</si>
  <si>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</si>
  <si>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</si>
  <si>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</si>
  <si>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</si>
  <si>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</si>
  <si>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</si>
  <si>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</si>
  <si>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</si>
  <si>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</si>
  <si>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</si>
  <si>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</si>
  <si>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</si>
  <si>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</si>
  <si>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</si>
  <si>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</si>
  <si>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</si>
  <si>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</si>
  <si>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</si>
  <si>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</si>
  <si>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</si>
  <si>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</si>
  <si>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</si>
  <si>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</si>
  <si>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</si>
  <si>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</si>
  <si>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</si>
  <si>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</si>
  <si>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</si>
  <si>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</si>
  <si>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</si>
  <si>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</si>
  <si>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</si>
  <si>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</si>
  <si>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</si>
  <si>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</si>
  <si>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</si>
  <si>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</si>
  <si>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</si>
  <si>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</si>
  <si>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</si>
  <si>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</si>
  <si>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</si>
  <si>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</si>
  <si>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</si>
  <si>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</si>
  <si>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</si>
  <si>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</si>
  <si>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</si>
  <si>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</si>
  <si>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</si>
  <si>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</si>
  <si>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</si>
  <si>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</si>
  <si>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</si>
  <si>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</si>
  <si>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</si>
  <si>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</si>
  <si>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</si>
  <si>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</si>
  <si>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</si>
  <si>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</si>
  <si>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</si>
  <si>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</si>
  <si>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</si>
  <si>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</si>
  <si>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</si>
  <si>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</si>
  <si>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</si>
  <si>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</si>
  <si>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</si>
  <si>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</si>
  <si>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</si>
  <si>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</si>
  <si>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</si>
  <si>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</si>
  <si>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</si>
  <si>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</si>
  <si>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</si>
  <si>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</si>
  <si>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</si>
  <si>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</si>
  <si>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</si>
  <si>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</si>
  <si>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</si>
  <si>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</si>
  <si>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</si>
  <si>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</si>
  <si>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</si>
  <si>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</si>
  <si>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</si>
  <si>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</si>
  <si>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</si>
  <si>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</si>
  <si>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</si>
  <si>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</si>
  <si>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</si>
  <si>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</si>
  <si>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</si>
  <si>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</si>
  <si>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</si>
  <si>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</si>
  <si>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</si>
  <si>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</si>
  <si>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</si>
  <si>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</si>
  <si>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</si>
  <si>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</si>
  <si>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</si>
  <si>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</si>
  <si>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</si>
  <si>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</si>
  <si>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</si>
  <si>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</si>
  <si>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</si>
  <si>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</si>
  <si>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</si>
  <si>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</si>
  <si>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</si>
  <si>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</si>
  <si>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</si>
  <si>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</si>
  <si>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</si>
  <si>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</si>
  <si>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</si>
  <si>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</si>
  <si>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</si>
  <si>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</si>
  <si>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</si>
  <si>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</si>
  <si>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</si>
  <si>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</si>
  <si>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</si>
  <si>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</si>
  <si>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</si>
  <si>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</si>
  <si>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</si>
  <si>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</si>
  <si>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</si>
  <si>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</si>
  <si>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</si>
  <si>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</si>
  <si>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</si>
  <si>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</si>
  <si>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</si>
  <si>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</si>
  <si>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</si>
  <si>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</si>
  <si>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</si>
  <si>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</si>
  <si>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</si>
  <si>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</si>
  <si>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</si>
  <si>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</si>
  <si>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</si>
  <si>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</si>
  <si>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</si>
  <si>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</si>
  <si>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</si>
  <si>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</si>
  <si>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</si>
  <si>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</si>
  <si>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</si>
  <si>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</si>
  <si>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</si>
  <si>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</si>
  <si>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</si>
  <si>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</si>
  <si>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</si>
  <si>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</si>
  <si>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</si>
  <si>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</si>
  <si>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</si>
  <si>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</si>
  <si>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</si>
  <si>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</si>
  <si>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</si>
  <si>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</si>
  <si>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</si>
  <si>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</si>
  <si>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</si>
  <si>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</si>
  <si>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</si>
  <si>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</si>
  <si>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</si>
  <si>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</si>
  <si>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</si>
  <si>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</si>
  <si>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</si>
  <si>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</si>
  <si>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</si>
  <si>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</si>
  <si>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</si>
  <si>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</si>
  <si>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</si>
  <si>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</si>
  <si>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</si>
  <si>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</si>
  <si>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</si>
  <si>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</si>
  <si>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</si>
  <si>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</si>
  <si>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</si>
  <si>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</si>
  <si>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</si>
  <si>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</si>
  <si>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</si>
  <si>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</si>
  <si>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</si>
  <si>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</si>
  <si>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</si>
  <si>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</si>
  <si>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</si>
  <si>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</si>
  <si>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</si>
  <si>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</si>
  <si>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</si>
  <si>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</si>
  <si>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</si>
  <si>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</si>
  <si>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</si>
  <si>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</si>
  <si>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</si>
  <si>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</si>
  <si>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</si>
  <si>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</si>
  <si>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</si>
  <si>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</si>
  <si>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</si>
  <si>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</si>
  <si>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</si>
  <si>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</si>
  <si>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</si>
  <si>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</si>
  <si>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</si>
  <si>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</si>
  <si>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</si>
  <si>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</si>
  <si>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</si>
  <si>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</si>
  <si>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</si>
  <si>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</si>
  <si>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</si>
  <si>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</si>
  <si>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</si>
  <si>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</si>
  <si>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</si>
  <si>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</si>
  <si>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</si>
  <si>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</si>
  <si>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</si>
  <si>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</si>
  <si>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</si>
  <si>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</si>
  <si>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</si>
  <si>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</si>
  <si>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</si>
  <si>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</si>
  <si>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</si>
  <si>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</si>
  <si>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</si>
  <si>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</si>
  <si>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</si>
  <si>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</si>
  <si>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</si>
  <si>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</si>
  <si>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</si>
  <si>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</si>
  <si>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</si>
  <si>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</si>
  <si>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</si>
  <si>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</si>
  <si>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</si>
  <si>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</si>
  <si>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</si>
  <si>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</si>
  <si>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</si>
  <si>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</si>
  <si>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</si>
  <si>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</si>
  <si>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</si>
  <si>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</si>
  <si>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</si>
  <si>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</si>
  <si>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</si>
  <si>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</si>
  <si>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</si>
  <si>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</si>
  <si>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</si>
  <si>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</si>
  <si>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</si>
  <si>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</si>
  <si>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</si>
  <si>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</si>
  <si>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</si>
  <si>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</si>
  <si>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</si>
  <si>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</si>
  <si>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</si>
  <si>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</si>
  <si>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</si>
  <si>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</si>
  <si>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</si>
  <si>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</si>
  <si>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</si>
  <si>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</si>
  <si>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</si>
  <si>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</si>
  <si>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</si>
  <si>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</si>
  <si>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</si>
  <si>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</si>
  <si>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</si>
  <si>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</si>
  <si>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</si>
  <si>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</si>
  <si>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</si>
  <si>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</si>
  <si>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</si>
  <si>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</si>
  <si>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</si>
  <si>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</si>
  <si>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</si>
  <si>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</si>
  <si>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</si>
  <si>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</si>
  <si>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</si>
  <si>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</si>
  <si>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</si>
  <si>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</si>
  <si>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</si>
  <si>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</si>
  <si>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</si>
  <si>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</si>
  <si>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</si>
  <si>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</si>
  <si>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</si>
  <si>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</si>
  <si>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</si>
  <si>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</si>
  <si>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</si>
  <si>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</si>
  <si>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</si>
  <si>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</si>
  <si>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</si>
  <si>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</si>
  <si>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</si>
  <si>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</si>
  <si>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</si>
  <si>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</si>
  <si>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</si>
  <si>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</si>
  <si>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</si>
  <si>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</si>
  <si>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</si>
  <si>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</si>
  <si>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</si>
  <si>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</si>
  <si>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</si>
  <si>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</si>
  <si>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</si>
  <si>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</si>
  <si>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</si>
  <si>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</si>
  <si>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</si>
  <si>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</si>
  <si>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</si>
  <si>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</si>
  <si>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</si>
  <si>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</si>
  <si>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</si>
  <si>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</si>
  <si>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</si>
  <si>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</si>
  <si>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</si>
  <si>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</si>
  <si>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</si>
  <si>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</si>
  <si>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</si>
  <si>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</si>
  <si>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</si>
  <si>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</si>
  <si>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</si>
  <si>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</si>
  <si>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</si>
  <si>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</si>
  <si>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</si>
  <si>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</si>
  <si>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</si>
  <si>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</si>
  <si>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</si>
  <si>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</si>
  <si>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</si>
  <si>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</si>
  <si>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</si>
  <si>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</si>
  <si>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</si>
  <si>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</si>
  <si>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</si>
  <si>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</si>
  <si>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</si>
  <si>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</si>
  <si>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</si>
  <si>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</si>
  <si>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</si>
  <si>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</si>
  <si>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</si>
  <si>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</si>
  <si>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</si>
  <si>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</si>
  <si>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</si>
  <si>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</si>
  <si>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</si>
  <si>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</si>
  <si>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</si>
  <si>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</si>
  <si>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</si>
  <si>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</si>
  <si>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</si>
  <si>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</si>
  <si>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</si>
  <si>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</si>
  <si>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</si>
  <si>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</si>
  <si>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</si>
  <si>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</si>
  <si>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</si>
  <si>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</si>
  <si>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</si>
  <si>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</si>
  <si>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</si>
  <si>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</si>
  <si>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</si>
  <si>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</si>
  <si>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</si>
  <si>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</si>
  <si>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</si>
  <si>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</si>
  <si>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</si>
  <si>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</si>
  <si>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</si>
  <si>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</si>
  <si>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</si>
  <si>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</si>
  <si>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</si>
  <si>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</si>
  <si>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</si>
  <si>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</si>
  <si>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</si>
  <si>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</si>
  <si>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</si>
  <si>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</si>
  <si>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</si>
  <si>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</si>
  <si>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</si>
  <si>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</si>
  <si>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</si>
  <si>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</si>
  <si>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</si>
  <si>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</si>
  <si>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</si>
  <si>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</si>
  <si>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</si>
  <si>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</si>
  <si>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</si>
  <si>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</si>
  <si>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</si>
  <si>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</si>
  <si>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</si>
  <si>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</si>
  <si>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</si>
  <si>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</si>
  <si>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</si>
  <si>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</si>
  <si>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</si>
  <si>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</si>
  <si>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</si>
  <si>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</si>
  <si>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</si>
  <si>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</si>
  <si>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</si>
  <si>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</si>
  <si>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</si>
  <si>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</si>
  <si>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</si>
  <si>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</si>
  <si>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</si>
  <si>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</si>
  <si>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</si>
  <si>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</si>
  <si>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</si>
  <si>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</si>
  <si>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</si>
  <si>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</si>
  <si>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</si>
  <si>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</si>
  <si>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</si>
  <si>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</si>
  <si>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</si>
  <si>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</si>
  <si>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</si>
  <si>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</si>
  <si>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</si>
  <si>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</si>
  <si>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</si>
  <si>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</si>
  <si>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</si>
  <si>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</si>
  <si>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</si>
  <si>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</si>
  <si>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</si>
  <si>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</si>
  <si>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</si>
  <si>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</si>
  <si>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</si>
  <si>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</si>
  <si>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</si>
  <si>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</si>
  <si>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</si>
  <si>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</si>
  <si>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</si>
  <si>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</si>
  <si>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</si>
  <si>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</si>
  <si>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</si>
  <si>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</si>
  <si>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</si>
  <si>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</si>
  <si>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</si>
  <si>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</si>
  <si>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</si>
  <si>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</si>
  <si>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</si>
  <si>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</si>
  <si>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</si>
  <si>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</si>
  <si>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</si>
  <si>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</si>
  <si>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</si>
  <si>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</si>
  <si>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</si>
  <si>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</si>
  <si>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</si>
  <si>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</si>
  <si>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</si>
  <si>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</si>
  <si>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</si>
  <si>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</si>
  <si>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</si>
  <si>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</si>
  <si>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</si>
  <si>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</si>
  <si>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</si>
  <si>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</si>
  <si>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</si>
  <si>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</si>
  <si>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</si>
  <si>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</si>
  <si>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</si>
  <si>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</si>
  <si>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</si>
  <si>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</si>
  <si>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</si>
  <si>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</si>
  <si>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</si>
  <si>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</si>
  <si>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</si>
  <si>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</si>
  <si>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</si>
  <si>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</si>
  <si>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</si>
  <si>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</si>
  <si>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</si>
  <si>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</si>
  <si>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</si>
  <si>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</si>
  <si>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</si>
  <si>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</si>
  <si>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</si>
  <si>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</si>
  <si>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</si>
  <si>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</si>
  <si>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</si>
  <si>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</si>
  <si>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</si>
  <si>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</si>
  <si>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</si>
  <si>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</si>
  <si>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</si>
  <si>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</si>
  <si>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</si>
  <si>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</si>
  <si>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</si>
  <si>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</si>
  <si>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</si>
  <si>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</si>
  <si>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</si>
  <si>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</si>
  <si>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</si>
  <si>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</si>
  <si>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</si>
  <si>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</si>
  <si>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</si>
  <si>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</si>
  <si>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</si>
  <si>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</si>
  <si>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</si>
  <si>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</si>
  <si>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</si>
  <si>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</si>
  <si>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</si>
  <si>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</si>
  <si>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</si>
  <si>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</si>
  <si>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</si>
  <si>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</si>
  <si>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</si>
  <si>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</si>
  <si>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</si>
  <si>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</si>
  <si>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</si>
  <si>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</si>
  <si>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</si>
  <si>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</si>
  <si>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</si>
  <si>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</si>
  <si>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</si>
  <si>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</si>
  <si>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</si>
  <si>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</si>
  <si>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</si>
  <si>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</si>
  <si>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</si>
  <si>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</si>
  <si>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</si>
  <si>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</si>
  <si>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</si>
  <si>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</si>
  <si>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</si>
  <si>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</si>
  <si>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</si>
  <si>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</si>
  <si>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</si>
  <si>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</si>
  <si>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</si>
  <si>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</si>
  <si>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</si>
  <si>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</si>
  <si>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</si>
  <si>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</si>
  <si>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</si>
  <si>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</si>
  <si>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</si>
  <si>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</si>
  <si>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</si>
  <si>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</si>
  <si>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</si>
  <si>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</si>
  <si>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</si>
  <si>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</si>
  <si>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</si>
  <si>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</si>
  <si>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</si>
  <si>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</si>
  <si>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</si>
  <si>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</si>
  <si>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</si>
  <si>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</si>
  <si>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</si>
  <si>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</si>
  <si>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</si>
  <si>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</si>
  <si>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</si>
  <si>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</si>
  <si>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</si>
  <si>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</si>
  <si>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</si>
  <si>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</si>
  <si>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</si>
  <si>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</si>
  <si>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</si>
  <si>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</si>
  <si>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</si>
  <si>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</si>
  <si>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</si>
  <si>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</si>
  <si>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</si>
  <si>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</si>
  <si>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</si>
  <si>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</si>
  <si>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</si>
  <si>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</si>
  <si>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</si>
  <si>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</si>
  <si>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</si>
  <si>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</si>
  <si>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</si>
  <si>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</si>
  <si>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</si>
  <si>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</si>
  <si>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</si>
  <si>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</si>
  <si>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</si>
  <si>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</si>
  <si>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</si>
  <si>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</si>
  <si>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</si>
  <si>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</si>
  <si>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</si>
  <si>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</si>
  <si>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</si>
  <si>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</si>
  <si>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</si>
  <si>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</si>
  <si>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</si>
  <si>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</si>
  <si>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</si>
  <si>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</si>
  <si>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</si>
  <si>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</si>
  <si>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</si>
  <si>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</si>
  <si>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</si>
  <si>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</si>
  <si>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</si>
  <si>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</si>
  <si>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</si>
  <si>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</si>
  <si>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</si>
  <si>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</si>
  <si>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</si>
  <si>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</si>
  <si>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</si>
  <si>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</si>
  <si>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</si>
  <si>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</si>
  <si>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</si>
  <si>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</si>
  <si>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</si>
  <si>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</si>
  <si>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</si>
  <si>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</si>
  <si>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</si>
  <si>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</si>
  <si>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</si>
  <si>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</si>
  <si>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</si>
  <si>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</si>
  <si>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</si>
  <si>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</si>
  <si>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</si>
  <si>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</si>
  <si>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</si>
  <si>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</si>
  <si>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</si>
  <si>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</si>
  <si>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</si>
  <si>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</si>
  <si>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</si>
  <si>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</si>
  <si>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</si>
  <si>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</si>
  <si>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</si>
  <si>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</si>
  <si>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</si>
  <si>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</si>
  <si>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</si>
  <si>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</si>
  <si>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</si>
  <si>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</si>
  <si>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</si>
  <si>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</si>
  <si>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</si>
  <si>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</si>
  <si>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</si>
  <si>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</si>
  <si>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</si>
  <si>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</si>
  <si>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</si>
  <si>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</si>
  <si>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</si>
  <si>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</si>
  <si>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</si>
  <si>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</si>
  <si>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</si>
  <si>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</si>
  <si>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</si>
  <si>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</si>
  <si>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</si>
  <si>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</si>
  <si>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</si>
  <si>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</si>
  <si>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</si>
  <si>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</si>
  <si>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</si>
  <si>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</si>
  <si>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</si>
  <si>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</si>
  <si>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</si>
  <si>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</si>
  <si>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</si>
  <si>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</si>
  <si>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</si>
  <si>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</si>
  <si>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</si>
  <si>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</si>
  <si>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</si>
  <si>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</si>
  <si>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</si>
  <si>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</si>
  <si>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</si>
  <si>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</si>
  <si>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</si>
  <si>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</si>
  <si>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</si>
  <si>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</si>
  <si>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</si>
  <si>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</si>
  <si>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</si>
  <si>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</si>
  <si>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</si>
  <si>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</si>
  <si>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</si>
  <si>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</si>
  <si>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</si>
  <si>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</si>
  <si>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</si>
  <si>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</si>
  <si>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</si>
  <si>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</si>
  <si>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</si>
  <si>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</si>
  <si>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</si>
  <si>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</si>
  <si>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</si>
  <si>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</si>
  <si>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</si>
  <si>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</si>
  <si>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</si>
  <si>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</si>
  <si>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</si>
  <si>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</si>
  <si>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</si>
  <si>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</si>
  <si>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</si>
  <si>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</si>
  <si>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</si>
  <si>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</si>
  <si>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</si>
  <si>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</si>
  <si>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</si>
  <si>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</si>
  <si>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</si>
  <si>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</si>
  <si>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</si>
  <si>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</si>
  <si>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</si>
  <si>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</si>
  <si>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</si>
  <si>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</si>
  <si>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</si>
  <si>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</si>
  <si>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</si>
  <si>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</si>
  <si>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</si>
  <si>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</si>
  <si>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</si>
  <si>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</si>
  <si>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</si>
  <si>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</si>
  <si>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</si>
  <si>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</si>
  <si>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</si>
  <si>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</si>
  <si>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</si>
  <si>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</si>
  <si>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</si>
  <si>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</si>
  <si>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</si>
  <si>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</si>
  <si>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</si>
  <si>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</si>
  <si>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</si>
  <si>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</si>
  <si>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</si>
  <si>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</si>
  <si>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</si>
  <si>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</si>
  <si>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</si>
  <si>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</si>
  <si>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</si>
  <si>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</si>
  <si>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</si>
  <si>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</si>
  <si>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</si>
  <si>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</si>
  <si>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</si>
  <si>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</si>
  <si>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</si>
  <si>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</si>
  <si>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</si>
  <si>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</si>
  <si>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</si>
  <si>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</si>
  <si>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</si>
  <si>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</si>
  <si>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</si>
  <si>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</si>
  <si>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</si>
  <si>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</si>
  <si>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</si>
  <si>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</si>
  <si>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</si>
  <si>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</si>
  <si>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</si>
  <si>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</si>
  <si>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</si>
  <si>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</si>
  <si>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</si>
  <si>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</si>
  <si>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</si>
  <si>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</si>
  <si>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</si>
  <si>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</si>
  <si>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</si>
  <si>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</si>
  <si>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</si>
  <si>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</si>
  <si>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</si>
  <si>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</si>
  <si>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</si>
  <si>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</si>
  <si>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</si>
  <si>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</si>
  <si>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</si>
  <si>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</si>
  <si>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</si>
  <si>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</si>
  <si>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</si>
  <si>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</si>
  <si>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</si>
  <si>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</si>
  <si>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</si>
  <si>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</si>
  <si>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</si>
  <si>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</si>
  <si>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</si>
  <si>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</si>
  <si>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</si>
  <si>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</si>
  <si>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</si>
  <si>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</si>
  <si>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</si>
  <si>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</si>
  <si>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</si>
  <si>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</si>
  <si>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</si>
  <si>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</si>
  <si>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</si>
  <si>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</si>
  <si>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</si>
  <si>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</si>
  <si>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</si>
  <si>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</si>
  <si>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</si>
  <si>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</si>
  <si>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</si>
  <si>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</si>
  <si>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</si>
  <si>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</si>
  <si>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</si>
  <si>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</si>
  <si>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</si>
  <si>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</si>
  <si>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</si>
  <si>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</si>
  <si>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</si>
  <si>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</si>
  <si>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</si>
  <si>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</si>
  <si>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</si>
  <si>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</si>
  <si>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</si>
  <si>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</si>
  <si>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</si>
  <si>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</si>
  <si>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</si>
  <si>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</si>
  <si>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</si>
  <si>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</si>
  <si>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</si>
  <si>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</si>
  <si>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</si>
  <si>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</si>
  <si>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</si>
  <si>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</si>
  <si>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</si>
  <si>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</si>
  <si>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</si>
  <si>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</si>
  <si>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</si>
  <si>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</si>
  <si>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</si>
  <si>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</si>
  <si>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</si>
  <si>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</si>
  <si>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</si>
  <si>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</si>
  <si>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</si>
  <si>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</si>
  <si>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</si>
  <si>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</si>
  <si>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</si>
  <si>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</si>
  <si>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</si>
  <si>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</si>
  <si>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</si>
  <si>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</si>
  <si>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</si>
  <si>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</si>
  <si>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</si>
  <si>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</si>
  <si>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</si>
  <si>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</si>
  <si>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</si>
  <si>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</si>
  <si>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</si>
  <si>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</si>
  <si>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</si>
  <si>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</si>
  <si>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</si>
  <si>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</si>
  <si>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</si>
  <si>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</si>
  <si>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</si>
  <si>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</si>
  <si>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</si>
  <si>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</si>
  <si>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</si>
  <si>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</si>
  <si>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</si>
  <si>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</si>
  <si>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</si>
  <si>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</si>
  <si>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</si>
  <si>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</si>
  <si>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</si>
  <si>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</si>
  <si>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</si>
  <si>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</si>
  <si>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</si>
  <si>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</si>
  <si>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</si>
  <si>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</si>
  <si>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</si>
  <si>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</si>
  <si>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</si>
  <si>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</si>
  <si>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</si>
  <si>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</si>
  <si>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</si>
  <si>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</si>
  <si>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</si>
  <si>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</si>
  <si>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</si>
  <si>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</si>
  <si>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</si>
  <si>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</si>
  <si>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</si>
  <si>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</si>
  <si>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</si>
  <si>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</si>
  <si>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</si>
  <si>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</si>
  <si>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</si>
  <si>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</si>
  <si>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</si>
  <si>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</si>
  <si>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</si>
  <si>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</si>
  <si>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</si>
  <si>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</si>
  <si>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</si>
  <si>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</si>
  <si>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</si>
  <si>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</si>
  <si>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</si>
  <si>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</si>
  <si>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</si>
  <si>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</si>
  <si>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</si>
  <si>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</si>
  <si>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</si>
  <si>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</si>
  <si>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</si>
  <si>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</si>
  <si>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</si>
  <si>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</si>
  <si>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</si>
  <si>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</si>
  <si>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</si>
  <si>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</si>
  <si>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</si>
  <si>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</si>
  <si>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</si>
  <si>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</si>
  <si>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</si>
  <si>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</si>
  <si>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</si>
  <si>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</si>
  <si>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</si>
  <si>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</si>
  <si>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</si>
  <si>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</si>
  <si>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</si>
  <si>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</si>
  <si>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</si>
  <si>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</si>
  <si>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</si>
  <si>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</si>
  <si>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</si>
  <si>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</si>
  <si>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</si>
  <si>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</si>
  <si>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</si>
  <si>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</si>
  <si>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</si>
  <si>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</si>
  <si>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</si>
  <si>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</si>
  <si>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</si>
  <si>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</si>
  <si>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</si>
  <si>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</si>
  <si>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</si>
  <si>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</si>
  <si>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</si>
  <si>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</si>
  <si>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</si>
  <si>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</si>
  <si>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</si>
  <si>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</si>
  <si>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</si>
  <si>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</si>
  <si>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</si>
  <si>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</si>
  <si>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</si>
  <si>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</si>
  <si>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</si>
  <si>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</si>
  <si>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</si>
  <si>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</si>
  <si>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</si>
  <si>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</si>
  <si>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</si>
  <si>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</si>
  <si>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</si>
  <si>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</si>
  <si>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</si>
  <si>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</si>
  <si>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</si>
  <si>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</si>
  <si>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</si>
  <si>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</si>
  <si>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</si>
  <si>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</si>
  <si>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</si>
  <si>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</si>
  <si>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</si>
  <si>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</si>
  <si>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</si>
  <si>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</si>
  <si>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</si>
  <si>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</si>
  <si>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</si>
  <si>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</si>
  <si>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</si>
  <si>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</si>
  <si>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</si>
  <si>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</si>
  <si>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</si>
  <si>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</si>
  <si>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</si>
  <si>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</si>
  <si>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</si>
  <si>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</si>
  <si>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</si>
  <si>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</si>
  <si>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</si>
  <si>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</si>
  <si>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</si>
  <si>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</si>
  <si>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</si>
  <si>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</si>
  <si>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</si>
  <si>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</si>
  <si>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</si>
  <si>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</si>
  <si>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</si>
  <si>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</si>
  <si>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</si>
  <si>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</si>
  <si>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</si>
  <si>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</si>
  <si>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</si>
  <si>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</si>
  <si>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</si>
  <si>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</si>
  <si>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</si>
  <si>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</si>
  <si>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</si>
  <si>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</si>
  <si>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</si>
  <si>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</si>
  <si>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</si>
  <si>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</si>
  <si>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</si>
  <si>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</si>
  <si>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</si>
  <si>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</si>
  <si>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</si>
  <si>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</si>
  <si>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</si>
  <si>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</si>
  <si>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</si>
  <si>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</si>
  <si>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</si>
  <si>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</si>
  <si>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</si>
  <si>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</si>
  <si>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</si>
  <si>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</si>
  <si>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</si>
  <si>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</si>
  <si>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</si>
  <si>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</si>
  <si>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</si>
  <si>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</si>
  <si>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</si>
  <si>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</si>
  <si>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</si>
  <si>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</si>
  <si>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</si>
  <si>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</si>
  <si>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</si>
  <si>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</si>
  <si>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</si>
  <si>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</si>
  <si>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</si>
  <si>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</si>
  <si>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</si>
  <si>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</si>
  <si>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</si>
  <si>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</si>
  <si>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</si>
  <si>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</si>
  <si>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</si>
  <si>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</si>
  <si>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</si>
  <si>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</si>
  <si>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</si>
  <si>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</si>
  <si>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</si>
  <si>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</si>
  <si>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</si>
  <si>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</si>
  <si>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</si>
  <si>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</si>
  <si>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</si>
  <si>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</si>
  <si>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</si>
  <si>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</si>
  <si>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</si>
  <si>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</si>
  <si>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</si>
  <si>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</si>
  <si>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</si>
  <si>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</si>
  <si>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</si>
  <si>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</si>
  <si>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</si>
  <si>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</si>
  <si>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</si>
  <si>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</si>
  <si>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</si>
  <si>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</si>
  <si>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</si>
  <si>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</si>
  <si>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</si>
  <si>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</si>
  <si>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</si>
  <si>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</si>
  <si>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</si>
  <si>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</si>
  <si>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</si>
  <si>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</si>
  <si>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</si>
  <si>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</si>
  <si>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</si>
  <si>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</si>
  <si>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</si>
  <si>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</si>
  <si>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</si>
  <si>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</si>
  <si>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</si>
  <si>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</si>
  <si>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</si>
  <si>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</si>
  <si>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</si>
  <si>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</si>
  <si>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</si>
  <si>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</si>
  <si>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</si>
  <si>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</si>
  <si>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</si>
  <si>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</si>
  <si>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</si>
  <si>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</si>
  <si>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</si>
  <si>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</si>
  <si>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</si>
  <si>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</si>
  <si>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</si>
  <si>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</si>
  <si>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</si>
  <si>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</si>
  <si>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</si>
  <si>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</si>
  <si>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</si>
  <si>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</si>
  <si>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</si>
  <si>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</si>
  <si>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</si>
  <si>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</si>
  <si>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</si>
  <si>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</si>
  <si>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</si>
  <si>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</si>
  <si>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</si>
  <si>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</si>
  <si>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</si>
  <si>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</si>
  <si>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</si>
  <si>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</si>
  <si>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</si>
  <si>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</si>
  <si>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</si>
  <si>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</si>
  <si>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</si>
  <si>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</si>
  <si>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</si>
  <si>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</si>
  <si>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</si>
  <si>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</si>
  <si>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</si>
  <si>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</si>
  <si>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</si>
  <si>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</si>
  <si>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</si>
  <si>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</si>
  <si>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</si>
  <si>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</si>
  <si>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</si>
  <si>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</si>
  <si>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</si>
  <si>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</si>
  <si>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</si>
  <si>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</si>
  <si>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</si>
  <si>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</si>
  <si>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</si>
  <si>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</si>
  <si>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</si>
  <si>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</si>
  <si>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</si>
  <si>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</si>
  <si>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</si>
  <si>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</si>
  <si>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</si>
  <si>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</si>
  <si>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</si>
  <si>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</si>
  <si>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</si>
  <si>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</si>
  <si>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</si>
  <si>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</si>
  <si>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</si>
  <si>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</si>
  <si>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</si>
  <si>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</si>
  <si>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</si>
  <si>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</si>
  <si>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</si>
  <si>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</si>
  <si>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</si>
  <si>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</si>
  <si>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</si>
  <si>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</si>
  <si>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</si>
  <si>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</si>
  <si>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</si>
  <si>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</si>
  <si>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</si>
  <si>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</si>
  <si>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</si>
  <si>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</si>
  <si>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</si>
  <si>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</si>
  <si>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</si>
  <si>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</si>
  <si>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</si>
  <si>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</si>
  <si>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</si>
  <si>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</si>
  <si>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</si>
  <si>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</si>
  <si>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</si>
  <si>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</si>
  <si>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</si>
  <si>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</si>
  <si>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</si>
  <si>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</si>
  <si>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</si>
  <si>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</si>
  <si>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</si>
  <si>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</si>
  <si>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</si>
  <si>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</si>
  <si>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</si>
  <si>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</si>
  <si>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</si>
  <si>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</si>
  <si>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</si>
  <si>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</si>
  <si>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</si>
  <si>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</si>
  <si>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</si>
  <si>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</si>
  <si>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</si>
  <si>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</si>
  <si>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</si>
  <si>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</si>
  <si>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</si>
  <si>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</si>
  <si>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</si>
  <si>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</si>
  <si>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</si>
  <si>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</si>
  <si>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</si>
  <si>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</si>
  <si>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</si>
  <si>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</si>
  <si>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</si>
  <si>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</si>
  <si>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</si>
  <si>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</si>
  <si>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</si>
  <si>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</si>
  <si>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</si>
  <si>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</si>
  <si>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</si>
  <si>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</si>
  <si>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</si>
  <si>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</si>
  <si>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</si>
  <si>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</si>
  <si>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</si>
  <si>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</si>
  <si>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</si>
  <si>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</si>
  <si>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</si>
  <si>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</si>
  <si>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</si>
  <si>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</si>
  <si>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</si>
  <si>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</si>
  <si>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</si>
  <si>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</si>
  <si>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</si>
  <si>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</si>
  <si>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</si>
  <si>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</si>
  <si>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</si>
  <si>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</si>
  <si>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</si>
  <si>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</si>
  <si>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</si>
  <si>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</si>
  <si>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</si>
  <si>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</si>
  <si>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</si>
  <si>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</si>
  <si>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</si>
  <si>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</si>
  <si>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</si>
  <si>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</si>
  <si>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</si>
  <si>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</si>
  <si>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</si>
  <si>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</si>
  <si>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</si>
  <si>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</si>
  <si>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</si>
  <si>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</si>
  <si>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</si>
  <si>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</si>
  <si>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</si>
  <si>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</si>
  <si>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</si>
  <si>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</si>
  <si>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</si>
  <si>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</si>
  <si>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</si>
  <si>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</si>
  <si>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</si>
  <si>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</si>
  <si>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</si>
  <si>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</si>
  <si>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</si>
  <si>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</si>
  <si>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</si>
  <si>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</si>
  <si>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</si>
  <si>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</si>
  <si>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</si>
  <si>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</si>
  <si>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</si>
  <si>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</si>
  <si>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</si>
  <si>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</si>
  <si>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</si>
  <si>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</si>
  <si>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</si>
  <si>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</si>
  <si>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</si>
  <si>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</si>
  <si>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</si>
  <si>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</si>
  <si>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</si>
  <si>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</si>
  <si>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</si>
  <si>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</si>
  <si>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</si>
  <si>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</si>
  <si>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</si>
  <si>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</si>
  <si>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</si>
  <si>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</si>
  <si>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</si>
  <si>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</si>
  <si>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</si>
  <si>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</si>
  <si>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</si>
  <si>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</si>
  <si>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</si>
  <si>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</si>
  <si>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</si>
  <si>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</si>
  <si>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</si>
  <si>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</si>
  <si>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</si>
  <si>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</si>
  <si>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</si>
  <si>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</si>
  <si>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</si>
  <si>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</si>
  <si>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</si>
  <si>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</si>
  <si>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</si>
  <si>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</si>
  <si>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</si>
  <si>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</si>
  <si>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</si>
  <si>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</si>
  <si>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</si>
  <si>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</si>
  <si>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</si>
  <si>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</si>
  <si>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</si>
  <si>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</si>
  <si>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</si>
  <si>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</si>
  <si>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</si>
  <si>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</si>
  <si>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</si>
  <si>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</si>
  <si>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</si>
  <si>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</si>
  <si>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</si>
  <si>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</si>
  <si>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</si>
  <si>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</si>
  <si>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</si>
  <si>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</si>
  <si>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</si>
  <si>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</si>
  <si>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</si>
  <si>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</si>
  <si>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</si>
  <si>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</si>
  <si>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</si>
  <si>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</si>
  <si>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</si>
  <si>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</si>
  <si>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</si>
  <si>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</si>
  <si>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</si>
  <si>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</si>
  <si>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</si>
  <si>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</si>
  <si>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</si>
  <si>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</si>
  <si>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</si>
  <si>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</si>
  <si>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</si>
  <si>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</si>
  <si>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</si>
  <si>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</si>
  <si>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</si>
  <si>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</si>
  <si>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</si>
  <si>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</si>
  <si>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</si>
  <si>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</si>
  <si>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</si>
  <si>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</si>
  <si>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</si>
  <si>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</si>
  <si>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</si>
  <si>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</si>
  <si>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</si>
  <si>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</si>
  <si>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</si>
  <si>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</si>
  <si>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</si>
  <si>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</si>
  <si>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</si>
  <si>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</si>
  <si>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</si>
  <si>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</si>
  <si>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</si>
  <si>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</si>
  <si>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</si>
  <si>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</si>
  <si>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</si>
  <si>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</si>
  <si>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</si>
  <si>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</si>
  <si>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</si>
  <si>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</si>
  <si>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</si>
  <si>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</si>
  <si>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</si>
  <si>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</si>
  <si>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</si>
  <si>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</si>
  <si>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</si>
  <si>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</si>
  <si>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</si>
  <si>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</si>
  <si>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</si>
  <si>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</si>
  <si>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</si>
  <si>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</si>
  <si>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</si>
  <si>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</si>
  <si>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</si>
  <si>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</si>
  <si>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</si>
  <si>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</si>
  <si>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</si>
  <si>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</si>
  <si>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</si>
  <si>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</si>
  <si>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</si>
  <si>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</si>
  <si>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</si>
  <si>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</si>
  <si>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</si>
  <si>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</si>
  <si>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</si>
  <si>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</si>
  <si>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</si>
  <si>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</si>
  <si>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</si>
  <si>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</si>
  <si>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</si>
  <si>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</si>
  <si>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</si>
  <si>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</si>
  <si>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</si>
  <si>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</si>
  <si>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</si>
  <si>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</si>
  <si>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</si>
  <si>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</si>
  <si>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</si>
  <si>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</si>
  <si>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</si>
  <si>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</si>
  <si>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</si>
  <si>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</si>
  <si>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</si>
  <si>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</si>
  <si>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</si>
  <si>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</si>
  <si>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</si>
  <si>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</si>
  <si>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</si>
  <si>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</si>
  <si>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</si>
  <si>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</si>
  <si>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</si>
  <si>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</si>
  <si>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</si>
  <si>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</si>
  <si>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</si>
  <si>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</si>
  <si>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</si>
  <si>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</si>
  <si>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</si>
  <si>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</si>
  <si>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</si>
  <si>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</si>
  <si>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</si>
  <si>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</si>
  <si>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</si>
  <si>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</si>
  <si>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</si>
  <si>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</si>
  <si>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</si>
  <si>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</si>
  <si>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</si>
  <si>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</si>
  <si>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</si>
  <si>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</si>
  <si>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</si>
  <si>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</si>
  <si>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</si>
  <si>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</si>
  <si>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</si>
  <si>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</si>
  <si>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</si>
  <si>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</si>
  <si>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</si>
  <si>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</si>
  <si>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</si>
  <si>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</si>
  <si>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</si>
  <si>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</si>
  <si>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</si>
  <si>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</si>
  <si>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</si>
  <si>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</si>
  <si>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</si>
  <si>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</si>
  <si>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</si>
  <si>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</si>
  <si>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</si>
  <si>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</si>
  <si>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</si>
  <si>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</si>
  <si>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</si>
  <si>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</si>
  <si>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</si>
  <si>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</si>
  <si>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</si>
  <si>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</si>
  <si>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</si>
  <si>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</si>
  <si>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</si>
  <si>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</si>
  <si>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</si>
  <si>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</si>
  <si>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</si>
  <si>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</si>
  <si>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</si>
  <si>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</si>
  <si>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</si>
  <si>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</si>
  <si>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</si>
  <si>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</si>
  <si>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</si>
  <si>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</si>
  <si>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</si>
  <si>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</si>
  <si>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</si>
  <si>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</si>
  <si>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</si>
  <si>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</si>
  <si>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</si>
  <si>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</si>
  <si>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</si>
  <si>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</si>
  <si>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</si>
  <si>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</si>
  <si>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</si>
  <si>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</si>
  <si>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</si>
  <si>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</si>
  <si>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</si>
  <si>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</si>
  <si>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</si>
  <si>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</si>
  <si>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</si>
  <si>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</si>
  <si>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</si>
  <si>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</si>
  <si>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</si>
  <si>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</si>
  <si>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</si>
  <si>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</si>
  <si>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</si>
  <si>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</si>
  <si>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</si>
  <si>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</si>
  <si>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</si>
  <si>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</si>
  <si>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</si>
  <si>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</si>
  <si>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</si>
  <si>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</si>
  <si>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</si>
  <si>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</si>
  <si>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</si>
  <si>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</si>
  <si>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</si>
  <si>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</si>
  <si>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</si>
  <si>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</si>
  <si>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</si>
  <si>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</si>
  <si>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</si>
  <si>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</si>
  <si>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</si>
  <si>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</si>
  <si>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</si>
  <si>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</si>
  <si>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</si>
  <si>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</si>
  <si>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</si>
  <si>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</si>
  <si>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</si>
  <si>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</si>
  <si>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</si>
  <si>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</si>
  <si>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</si>
  <si>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</si>
  <si>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</si>
  <si>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</si>
  <si>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</si>
  <si>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</si>
  <si>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</si>
  <si>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</si>
  <si>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</si>
  <si>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</si>
  <si>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</si>
  <si>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</si>
  <si>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</si>
  <si>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</si>
  <si>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</si>
  <si>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</si>
  <si>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</si>
  <si>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</si>
  <si>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</si>
  <si>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</si>
  <si>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</si>
  <si>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</si>
  <si>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</si>
  <si>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</si>
  <si>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</si>
  <si>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</si>
  <si>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</si>
  <si>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</si>
  <si>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</si>
  <si>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</si>
  <si>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</si>
  <si>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</si>
  <si>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</si>
  <si>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</si>
  <si>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</si>
  <si>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</si>
  <si>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</si>
  <si>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</si>
  <si>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</si>
  <si>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</si>
  <si>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</si>
  <si>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</si>
  <si>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</si>
  <si>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</si>
  <si>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</si>
  <si>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</si>
  <si>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</si>
  <si>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</si>
  <si>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</si>
  <si>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</si>
  <si>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</si>
  <si>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</si>
  <si>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</si>
  <si>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</si>
  <si>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</si>
  <si>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</si>
  <si>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</si>
  <si>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</si>
  <si>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</si>
  <si>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</si>
  <si>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</si>
  <si>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</si>
  <si>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</si>
  <si>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</si>
  <si>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</si>
  <si>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</si>
  <si>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</si>
  <si>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</si>
  <si>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</si>
  <si>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</si>
  <si>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</si>
  <si>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</si>
  <si>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</si>
  <si>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</si>
  <si>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</si>
  <si>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</si>
  <si>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</si>
  <si>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</si>
  <si>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</si>
  <si>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</si>
  <si>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</si>
  <si>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</si>
  <si>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</si>
  <si>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</si>
  <si>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</si>
  <si>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</si>
  <si>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</si>
  <si>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</si>
  <si>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</si>
  <si>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</si>
  <si>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</si>
  <si>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</si>
  <si>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</si>
  <si>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</si>
  <si>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</si>
  <si>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</si>
  <si>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</si>
  <si>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</si>
  <si>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</si>
  <si>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</si>
  <si>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</si>
  <si>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</si>
  <si>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</si>
  <si>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</si>
  <si>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</si>
  <si>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</si>
  <si>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</si>
  <si>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</si>
  <si>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</si>
  <si>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</si>
  <si>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</si>
  <si>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</si>
  <si>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</si>
  <si>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</si>
  <si>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</si>
  <si>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</si>
  <si>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</si>
  <si>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</si>
  <si>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</si>
  <si>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</si>
  <si>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</si>
  <si>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</si>
  <si>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</si>
  <si>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</si>
  <si>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</si>
  <si>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</si>
  <si>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</si>
  <si>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</si>
  <si>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</si>
  <si>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</si>
  <si>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</si>
  <si>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</si>
  <si>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</si>
  <si>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</si>
  <si>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</si>
  <si>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</si>
  <si>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</si>
  <si>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</si>
  <si>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</si>
  <si>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</si>
  <si>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</si>
  <si>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</si>
  <si>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</si>
  <si>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</si>
  <si>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</si>
  <si>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</si>
  <si>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</si>
  <si>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</si>
  <si>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</si>
  <si>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</si>
  <si>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</si>
  <si>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</si>
  <si>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</si>
  <si>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</si>
  <si>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</si>
  <si>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</si>
  <si>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</si>
  <si>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</si>
  <si>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</si>
  <si>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</si>
  <si>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</si>
  <si>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</si>
  <si>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</si>
  <si>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</si>
  <si>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</si>
  <si>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</si>
  <si>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</si>
  <si>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</si>
  <si>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</si>
  <si>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</si>
  <si>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</si>
  <si>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</si>
  <si>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</si>
  <si>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</si>
  <si>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</si>
  <si>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</si>
  <si>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</si>
  <si>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</si>
  <si>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</si>
  <si>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</si>
  <si>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</si>
  <si>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</si>
  <si>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</si>
  <si>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</si>
  <si>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</si>
  <si>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</si>
  <si>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</si>
  <si>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</si>
  <si>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</si>
  <si>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</si>
  <si>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</si>
  <si>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</si>
  <si>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</si>
  <si>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</si>
  <si>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</si>
  <si>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</si>
  <si>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</si>
  <si>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</si>
  <si>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</si>
  <si>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</si>
  <si>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</si>
  <si>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</si>
  <si>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</si>
  <si>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</si>
  <si>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</si>
  <si>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</si>
  <si>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</si>
  <si>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</si>
  <si>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</si>
  <si>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</si>
  <si>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</si>
  <si>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</si>
  <si>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</si>
  <si>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</si>
  <si>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</si>
  <si>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</si>
  <si>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</si>
  <si>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</si>
  <si>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</si>
  <si>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</si>
  <si>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</si>
  <si>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</si>
  <si>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</si>
  <si>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</si>
  <si>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</si>
  <si>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</si>
  <si>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</si>
  <si>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</si>
  <si>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</si>
  <si>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</si>
  <si>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</si>
  <si>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</si>
  <si>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</si>
  <si>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</si>
  <si>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</si>
  <si>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</si>
  <si>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</si>
  <si>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</si>
  <si>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</si>
  <si>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</si>
  <si>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</si>
  <si>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</si>
  <si>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</si>
  <si>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</si>
  <si>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</si>
  <si>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</si>
  <si>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</si>
  <si>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</si>
  <si>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</si>
  <si>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</si>
  <si>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</si>
  <si>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</si>
  <si>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</si>
  <si>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</si>
  <si>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</si>
  <si>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</si>
  <si>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</si>
  <si>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</si>
  <si>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</si>
  <si>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</si>
  <si>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</si>
  <si>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</si>
  <si>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</si>
  <si>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</si>
  <si>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</si>
  <si>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</si>
  <si>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</si>
  <si>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</si>
  <si>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</si>
  <si>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</si>
  <si>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</si>
  <si>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</si>
  <si>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</si>
  <si>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</si>
  <si>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</si>
  <si>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</si>
  <si>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</si>
  <si>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</si>
  <si>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</si>
  <si>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</si>
  <si>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</si>
  <si>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</si>
  <si>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</si>
  <si>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</si>
  <si>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</si>
  <si>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</si>
  <si>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</si>
  <si>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</si>
  <si>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</si>
  <si>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</si>
  <si>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</si>
  <si>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</si>
  <si>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</si>
  <si>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</si>
  <si>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</si>
  <si>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</si>
  <si>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</si>
  <si>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</si>
  <si>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</si>
  <si>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</si>
  <si>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</si>
  <si>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</si>
  <si>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</si>
  <si>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</si>
  <si>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</si>
  <si>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</si>
  <si>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</si>
  <si>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</si>
  <si>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</si>
  <si>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</si>
  <si>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</si>
  <si>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</si>
  <si>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</si>
  <si>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</si>
  <si>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</si>
  <si>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</si>
  <si>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</si>
  <si>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</si>
  <si>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</si>
  <si>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</si>
  <si>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</si>
  <si>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</si>
  <si>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</si>
  <si>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</si>
  <si>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</si>
  <si>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</si>
  <si>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</si>
  <si>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</si>
  <si>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</si>
  <si>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</si>
  <si>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</si>
  <si>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</si>
  <si>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</si>
  <si>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</si>
  <si>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</si>
  <si>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</si>
  <si>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</si>
  <si>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</si>
  <si>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</si>
  <si>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</si>
  <si>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</si>
  <si>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</si>
  <si>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</si>
  <si>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</si>
  <si>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</si>
  <si>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</si>
  <si>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</si>
  <si>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</si>
  <si>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</si>
  <si>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</si>
  <si>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</si>
  <si>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</si>
  <si>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</si>
  <si>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</si>
  <si>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</si>
  <si>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</si>
  <si>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</si>
  <si>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</si>
  <si>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</si>
  <si>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</si>
  <si>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</si>
  <si>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</si>
  <si>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</si>
  <si>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</si>
  <si>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</si>
  <si>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</si>
  <si>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</si>
  <si>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</si>
  <si>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</si>
  <si>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</si>
  <si>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</si>
  <si>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</si>
  <si>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</si>
  <si>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</si>
  <si>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</si>
  <si>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</si>
  <si>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</si>
  <si>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</si>
  <si>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</si>
  <si>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</si>
  <si>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</si>
  <si>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</si>
  <si>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</si>
  <si>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</si>
  <si>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</si>
  <si>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</si>
  <si>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</si>
  <si>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</si>
  <si>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</si>
  <si>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</si>
  <si>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</si>
  <si>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</si>
  <si>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</si>
  <si>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</si>
  <si>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</si>
  <si>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</si>
  <si>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</si>
  <si>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</si>
  <si>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</si>
  <si>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</si>
  <si>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</si>
  <si>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</si>
  <si>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</si>
  <si>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</si>
  <si>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</si>
  <si>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</si>
  <si>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</si>
  <si>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</si>
  <si>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</si>
  <si>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</si>
  <si>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</si>
  <si>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</si>
  <si>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</si>
  <si>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</si>
  <si>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</si>
  <si>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</si>
  <si>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</si>
  <si>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</si>
  <si>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</si>
  <si>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</si>
  <si>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</si>
  <si>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</si>
  <si>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</si>
  <si>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</si>
  <si>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</si>
  <si>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</si>
  <si>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</si>
  <si>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</si>
  <si>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</si>
  <si>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</si>
  <si>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</si>
  <si>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</si>
  <si>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</si>
  <si>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</si>
  <si>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</si>
  <si>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</si>
  <si>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</si>
  <si>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</si>
  <si>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</si>
  <si>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</si>
  <si>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</si>
  <si>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</si>
  <si>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</si>
  <si>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</si>
  <si>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</si>
  <si>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</si>
  <si>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</si>
  <si>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</si>
  <si>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</si>
  <si>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</si>
  <si>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</si>
  <si>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</si>
  <si>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</si>
  <si>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</si>
  <si>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</si>
  <si>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</si>
  <si>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</si>
  <si>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</si>
  <si>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</si>
  <si>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</si>
  <si>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</si>
  <si>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</si>
  <si>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</si>
  <si>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</si>
  <si>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</si>
  <si>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</si>
  <si>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</si>
  <si>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</si>
  <si>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</si>
  <si>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</si>
  <si>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</si>
  <si>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</si>
  <si>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</si>
  <si>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</si>
  <si>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</si>
  <si>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</si>
  <si>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</si>
  <si>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</si>
  <si>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</si>
  <si>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</si>
  <si>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</si>
  <si>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</si>
  <si>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</si>
  <si>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</si>
  <si>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</si>
  <si>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</si>
  <si>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</si>
  <si>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</si>
  <si>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</si>
  <si>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</si>
  <si>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</si>
  <si>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</si>
  <si>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</si>
  <si>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</si>
  <si>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</si>
  <si>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</si>
  <si>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</si>
  <si>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</si>
  <si>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</si>
  <si>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</si>
  <si>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</si>
  <si>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</si>
  <si>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</si>
  <si>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</si>
  <si>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</si>
  <si>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</si>
  <si>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</si>
  <si>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</si>
  <si>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</si>
  <si>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</si>
  <si>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</si>
  <si>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</si>
  <si>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</si>
  <si>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</si>
  <si>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</si>
  <si>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</si>
  <si>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</si>
  <si>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</si>
  <si>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</si>
  <si>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</si>
  <si>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</si>
  <si>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</si>
  <si>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</si>
  <si>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</si>
  <si>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</si>
  <si>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</si>
  <si>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</si>
  <si>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</si>
  <si>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</si>
  <si>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</si>
  <si>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</si>
  <si>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</si>
  <si>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</si>
  <si>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</si>
  <si>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</si>
  <si>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</si>
  <si>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</si>
  <si>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</si>
  <si>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</si>
  <si>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</si>
  <si>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</si>
  <si>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</si>
  <si>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</si>
  <si>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</si>
  <si>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</si>
  <si>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</si>
  <si>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</si>
  <si>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</si>
  <si>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</si>
  <si>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</si>
  <si>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</si>
  <si>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</si>
  <si>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</si>
  <si>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</si>
  <si>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</si>
  <si>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</si>
  <si>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</si>
  <si>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</si>
  <si>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</si>
  <si>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</si>
  <si>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</si>
  <si>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</si>
  <si>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</si>
  <si>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</si>
  <si>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</si>
  <si>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</si>
  <si>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</si>
  <si>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</si>
  <si>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</si>
  <si>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</si>
  <si>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</si>
  <si>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</si>
  <si>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</si>
  <si>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</si>
  <si>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</si>
  <si>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</si>
  <si>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</si>
  <si>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</si>
  <si>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</si>
  <si>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</si>
  <si>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</si>
  <si>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</si>
  <si>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</si>
  <si>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</si>
  <si>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</si>
  <si>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</si>
  <si>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</si>
  <si>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</si>
  <si>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</si>
  <si>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</si>
  <si>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</si>
  <si>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</si>
  <si>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</si>
  <si>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</si>
  <si>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</si>
  <si>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</si>
  <si>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</si>
  <si>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</si>
  <si>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</si>
  <si>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</si>
  <si>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</si>
  <si>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</si>
  <si>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</si>
  <si>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</si>
  <si>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</si>
  <si>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</si>
  <si>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</si>
  <si>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</si>
  <si>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</si>
  <si>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</si>
  <si>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</si>
  <si>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</si>
  <si>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</si>
  <si>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</si>
  <si>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</si>
  <si>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</si>
  <si>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</si>
  <si>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</si>
  <si>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</si>
  <si>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</si>
  <si>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</si>
  <si>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</si>
  <si>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</si>
  <si>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</si>
  <si>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</si>
  <si>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</si>
  <si>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</si>
  <si>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</si>
  <si>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</si>
  <si>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</si>
  <si>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</si>
  <si>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</si>
  <si>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</si>
  <si>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</si>
  <si>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</si>
  <si>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</si>
  <si>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</si>
  <si>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</si>
  <si>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</si>
  <si>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</si>
  <si>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</si>
  <si>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</si>
  <si>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</si>
  <si>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</si>
  <si>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</si>
  <si>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</si>
  <si>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</si>
  <si>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</si>
  <si>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</si>
  <si>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</si>
  <si>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</si>
  <si>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</si>
  <si>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</si>
  <si>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</si>
  <si>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</si>
  <si>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</si>
  <si>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</si>
  <si>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</si>
  <si>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</si>
  <si>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</si>
  <si>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</si>
  <si>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</si>
  <si>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</si>
  <si>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</si>
  <si>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</si>
  <si>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</si>
  <si>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</si>
  <si>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</si>
  <si>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</si>
  <si>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</si>
  <si>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</si>
  <si>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</si>
  <si>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</si>
  <si>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</si>
  <si>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</si>
  <si>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</si>
  <si>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</si>
  <si>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</si>
  <si>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</si>
  <si>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</si>
  <si>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</si>
  <si>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</si>
  <si>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</si>
  <si>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</si>
  <si>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</si>
  <si>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</si>
  <si>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</si>
  <si>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</si>
  <si>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</si>
  <si>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</si>
  <si>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</si>
  <si>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</si>
  <si>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</si>
  <si>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</si>
  <si>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</si>
  <si>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</si>
  <si>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</si>
  <si>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</si>
  <si>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</si>
  <si>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</si>
  <si>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</si>
  <si>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</si>
  <si>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</si>
  <si>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</si>
  <si>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</si>
  <si>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</si>
  <si>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</si>
  <si>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</si>
  <si>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</si>
  <si>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</si>
  <si>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</si>
  <si>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</si>
  <si>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</si>
  <si>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</si>
  <si>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</si>
  <si>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</si>
  <si>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</si>
  <si>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</si>
  <si>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</si>
  <si>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</si>
  <si>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</si>
  <si>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</si>
  <si>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</si>
  <si>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</si>
  <si>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</si>
  <si>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</si>
  <si>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</si>
  <si>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</si>
  <si>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</si>
  <si>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</si>
  <si>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</si>
  <si>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</si>
  <si>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</si>
  <si>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</si>
  <si>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</si>
  <si>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</si>
  <si>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</si>
  <si>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</si>
  <si>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</si>
  <si>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</si>
  <si>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</si>
  <si>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</si>
  <si>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</si>
  <si>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</si>
  <si>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</si>
  <si>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</si>
  <si>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</si>
  <si>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</si>
  <si>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</si>
  <si>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</si>
  <si>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</si>
  <si>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</si>
  <si>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</si>
  <si>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</si>
  <si>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</si>
  <si>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</si>
  <si>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</si>
  <si>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</si>
  <si>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</si>
  <si>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</si>
  <si>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</si>
  <si>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</si>
  <si>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</si>
  <si>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</si>
  <si>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</si>
  <si>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</si>
  <si>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</si>
  <si>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</si>
  <si>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</si>
  <si>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</si>
  <si>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</si>
  <si>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</si>
  <si>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</si>
  <si>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</si>
  <si>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</si>
  <si>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</si>
  <si>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</si>
  <si>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</si>
  <si>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</si>
  <si>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</si>
  <si>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</si>
  <si>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</si>
  <si>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</si>
  <si>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</si>
  <si>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</si>
  <si>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</si>
  <si>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</si>
  <si>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</si>
  <si>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</si>
  <si>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</si>
  <si>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</si>
  <si>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</si>
  <si>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</si>
  <si>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</si>
  <si>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</si>
  <si>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</si>
  <si>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</si>
  <si>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</si>
  <si>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</si>
  <si>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</si>
  <si>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</si>
  <si>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</si>
  <si>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</si>
  <si>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</si>
  <si>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</si>
  <si>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</si>
  <si>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</si>
  <si>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</si>
  <si>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</si>
  <si>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</si>
  <si>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</si>
  <si>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</si>
  <si>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</si>
  <si>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</si>
  <si>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</si>
  <si>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</si>
  <si>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</si>
  <si>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</si>
  <si>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</si>
  <si>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</si>
  <si>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</si>
  <si>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</si>
  <si>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</si>
  <si>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</si>
  <si>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</si>
  <si>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</si>
  <si>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</si>
  <si>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</si>
  <si>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</si>
  <si>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</si>
  <si>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</si>
  <si>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</si>
  <si>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</si>
  <si>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</si>
  <si>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</si>
  <si>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</si>
  <si>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</si>
  <si>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</si>
  <si>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</si>
  <si>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</si>
  <si>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</si>
  <si>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</si>
  <si>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</si>
  <si>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</si>
  <si>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</si>
  <si>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</si>
  <si>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</si>
  <si>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</si>
  <si>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</si>
  <si>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</si>
  <si>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</si>
  <si>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</si>
  <si>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</si>
  <si>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</si>
  <si>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</si>
  <si>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</si>
  <si>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</si>
  <si>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</si>
  <si>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</si>
  <si>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</si>
  <si>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</si>
  <si>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</si>
  <si>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</si>
  <si>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</si>
  <si>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</si>
  <si>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</si>
  <si>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</si>
  <si>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</si>
  <si>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</si>
  <si>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</si>
  <si>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</si>
  <si>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</si>
  <si>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</si>
  <si>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</si>
  <si>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</si>
  <si>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</si>
  <si>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</si>
  <si>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</si>
  <si>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</si>
  <si>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</si>
  <si>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</si>
  <si>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</si>
  <si>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</si>
  <si>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</si>
  <si>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</si>
  <si>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</si>
  <si>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</si>
  <si>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</si>
  <si>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</si>
  <si>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</si>
  <si>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</si>
  <si>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</si>
  <si>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</si>
  <si>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</si>
  <si>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</si>
  <si>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</si>
  <si>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</si>
  <si>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</si>
  <si>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</si>
  <si>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</si>
  <si>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</si>
  <si>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</si>
  <si>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</si>
  <si>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</si>
  <si>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</si>
  <si>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</si>
  <si>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</si>
  <si>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</si>
  <si>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</si>
  <si>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</si>
  <si>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</si>
  <si>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</si>
  <si>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</si>
  <si>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</si>
  <si>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</si>
  <si>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</si>
  <si>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</si>
  <si>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</si>
  <si>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</si>
  <si>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</si>
  <si>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</si>
  <si>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</si>
  <si>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</si>
  <si>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</si>
  <si>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</si>
  <si>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</si>
  <si>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</si>
  <si>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</si>
  <si>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</si>
  <si>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</si>
  <si>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</si>
  <si>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</si>
  <si>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</si>
  <si>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</si>
  <si>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</si>
  <si>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</si>
  <si>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</si>
  <si>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</si>
  <si>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</si>
  <si>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</si>
  <si>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</si>
  <si>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</si>
  <si>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</si>
  <si>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</si>
  <si>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</si>
  <si>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</si>
  <si>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</si>
  <si>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</si>
  <si>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</si>
  <si>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</si>
  <si>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</si>
  <si>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</si>
  <si>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</si>
  <si>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</si>
  <si>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</si>
  <si>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</si>
  <si>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</si>
  <si>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</si>
  <si>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</si>
  <si>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</si>
  <si>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</si>
  <si>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</si>
  <si>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</si>
  <si>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</si>
  <si>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</si>
  <si>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</si>
  <si>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</si>
  <si>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</si>
  <si>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</si>
  <si>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</si>
  <si>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</si>
  <si>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</si>
  <si>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</si>
  <si>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</si>
  <si>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</si>
  <si>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</si>
  <si>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</si>
  <si>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</si>
  <si>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</si>
  <si>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</si>
  <si>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</si>
  <si>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</si>
  <si>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</si>
  <si>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</si>
  <si>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</si>
  <si>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</si>
  <si>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</si>
  <si>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</si>
  <si>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</si>
  <si>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</si>
  <si>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</si>
  <si>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</si>
  <si>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</si>
  <si>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</si>
  <si>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</si>
  <si>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</si>
  <si>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</si>
  <si>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</si>
  <si>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</si>
  <si>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</si>
  <si>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</si>
  <si>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</si>
  <si>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</si>
  <si>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</si>
  <si>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</si>
  <si>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</si>
  <si>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</si>
  <si>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</si>
  <si>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</si>
  <si>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</si>
  <si>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</si>
  <si>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</si>
  <si>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</si>
  <si>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</si>
  <si>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</si>
  <si>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</si>
  <si>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</si>
  <si>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</si>
  <si>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</si>
  <si>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</si>
  <si>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</si>
  <si>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</si>
  <si>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</si>
  <si>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</si>
  <si>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</si>
  <si>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</si>
  <si>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</si>
  <si>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</si>
  <si>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</si>
  <si>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</si>
  <si>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</si>
  <si>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</si>
  <si>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</si>
  <si>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</si>
  <si>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</si>
  <si>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</si>
  <si>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</si>
  <si>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</si>
  <si>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</si>
  <si>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</si>
  <si>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</si>
  <si>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</si>
  <si>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</si>
  <si>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</si>
  <si>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</si>
  <si>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</si>
  <si>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</si>
  <si>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</si>
  <si>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</si>
  <si>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</si>
  <si>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</si>
  <si>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</si>
  <si>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</si>
  <si>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</si>
  <si>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</si>
  <si>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</si>
  <si>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</si>
  <si>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</si>
  <si>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</si>
  <si>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</si>
  <si>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</si>
  <si>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</si>
  <si>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</si>
  <si>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</si>
  <si>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</si>
  <si>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</si>
  <si>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</si>
  <si>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</si>
  <si>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</si>
  <si>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</si>
  <si>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</si>
  <si>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</si>
  <si>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</si>
  <si>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</si>
  <si>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</si>
  <si>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</si>
  <si>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</si>
  <si>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</si>
  <si>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</si>
  <si>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</si>
  <si>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</si>
  <si>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</si>
  <si>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</si>
  <si>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</si>
  <si>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</si>
  <si>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</si>
  <si>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</si>
  <si>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</si>
  <si>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</si>
  <si>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</si>
  <si>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</si>
  <si>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</si>
  <si>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</si>
  <si>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</si>
  <si>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</si>
  <si>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</si>
  <si>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</si>
  <si>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</si>
  <si>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</si>
  <si>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</si>
  <si>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</si>
  <si>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</si>
  <si>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</si>
  <si>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</si>
  <si>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</si>
  <si>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</si>
  <si>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</si>
  <si>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</si>
  <si>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</si>
  <si>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</si>
  <si>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</si>
  <si>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</si>
  <si>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</si>
  <si>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</si>
  <si>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</si>
  <si>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</si>
  <si>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</si>
  <si>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</si>
  <si>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</si>
  <si>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</si>
  <si>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</si>
  <si>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</si>
  <si>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</si>
  <si>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</si>
  <si>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</si>
  <si>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</si>
  <si>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</si>
  <si>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</si>
  <si>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</si>
  <si>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</si>
  <si>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</si>
  <si>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</si>
  <si>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</si>
  <si>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</si>
  <si>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</si>
  <si>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</si>
  <si>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</si>
  <si>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</si>
  <si>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</si>
  <si>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</si>
  <si>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</si>
  <si>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</si>
  <si>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</si>
  <si>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</si>
  <si>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</si>
  <si>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</si>
  <si>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</si>
  <si>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</si>
  <si>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</si>
  <si>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</si>
  <si>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</si>
  <si>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</si>
  <si>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</si>
  <si>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</si>
  <si>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</si>
  <si>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</si>
  <si>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</si>
  <si>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</si>
  <si>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</si>
  <si>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</si>
  <si>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</si>
  <si>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</si>
  <si>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</si>
  <si>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</si>
  <si>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</si>
  <si>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</si>
  <si>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</si>
  <si>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</si>
  <si>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</si>
  <si>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</si>
  <si>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</si>
  <si>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</si>
  <si>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</si>
  <si>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</si>
  <si>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</si>
  <si>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</si>
  <si>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</si>
  <si>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</si>
  <si>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</si>
  <si>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</si>
  <si>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</si>
  <si>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</si>
  <si>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</si>
  <si>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</si>
  <si>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</si>
  <si>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</si>
  <si>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</si>
  <si>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</si>
  <si>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</si>
  <si>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</si>
  <si>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</si>
  <si>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</si>
  <si>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</si>
  <si>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</si>
  <si>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</si>
  <si>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</si>
  <si>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</si>
  <si>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</si>
  <si>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</si>
  <si>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</si>
  <si>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</si>
  <si>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</si>
  <si>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</si>
  <si>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</si>
  <si>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</si>
  <si>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</si>
  <si>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</si>
  <si>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</si>
  <si>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</si>
  <si>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</si>
  <si>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</si>
  <si>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</si>
  <si>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</si>
  <si>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</si>
  <si>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</si>
  <si>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</si>
  <si>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</si>
  <si>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</si>
  <si>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</si>
  <si>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</si>
  <si>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</si>
  <si>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</si>
  <si>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</si>
  <si>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</si>
  <si>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</si>
  <si>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</si>
  <si>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</si>
  <si>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</si>
  <si>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</si>
  <si>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</si>
  <si>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</si>
  <si>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</si>
  <si>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</si>
  <si>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</si>
  <si>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</si>
  <si>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</si>
  <si>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</si>
  <si>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</si>
  <si>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</si>
  <si>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</si>
  <si>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</si>
  <si>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</si>
  <si>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</si>
  <si>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</si>
  <si>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</si>
  <si>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</si>
  <si>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</si>
  <si>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</si>
  <si>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</si>
  <si>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</si>
  <si>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</si>
  <si>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</si>
  <si>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</si>
  <si>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</si>
  <si>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</si>
  <si>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</si>
  <si>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</si>
  <si>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</si>
  <si>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</si>
  <si>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</si>
  <si>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</si>
  <si>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</si>
  <si>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</si>
  <si>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</si>
  <si>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</si>
  <si>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</si>
  <si>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</si>
  <si>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</si>
  <si>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</si>
  <si>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</si>
  <si>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</si>
  <si>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</si>
  <si>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</si>
  <si>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</si>
  <si>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</si>
  <si>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</si>
  <si>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</si>
  <si>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</si>
  <si>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</si>
  <si>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</si>
  <si>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</si>
  <si>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</si>
  <si>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</si>
  <si>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</si>
  <si>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</si>
  <si>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</si>
  <si>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</si>
  <si>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</si>
  <si>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</si>
  <si>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</si>
  <si>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</si>
  <si>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</si>
  <si>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</si>
  <si>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</si>
  <si>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</si>
  <si>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</si>
  <si>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</si>
  <si>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</si>
  <si>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</si>
  <si>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</si>
  <si>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</si>
  <si>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</si>
  <si>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</si>
  <si>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</si>
  <si>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</si>
  <si>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</si>
  <si>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</si>
  <si>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</si>
  <si>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</si>
  <si>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</si>
  <si>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</si>
  <si>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</si>
  <si>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</si>
  <si>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</si>
  <si>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</si>
  <si>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</si>
  <si>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</si>
  <si>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</si>
  <si>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</si>
  <si>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</si>
  <si>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</si>
  <si>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</si>
  <si>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</si>
  <si>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</si>
  <si>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</si>
  <si>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</si>
  <si>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</si>
  <si>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</si>
  <si>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</si>
  <si>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</si>
  <si>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</si>
  <si>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</si>
  <si>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</si>
  <si>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</si>
  <si>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</si>
  <si>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</si>
  <si>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</si>
  <si>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</si>
  <si>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</si>
  <si>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</si>
  <si>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</si>
  <si>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</si>
  <si>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</si>
  <si>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</si>
  <si>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</si>
  <si>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</si>
  <si>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</si>
  <si>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</si>
  <si>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</si>
  <si>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</si>
  <si>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</si>
  <si>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</si>
  <si>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</si>
  <si>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</si>
  <si>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</si>
  <si>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</si>
  <si>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</si>
  <si>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</si>
  <si>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</si>
  <si>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</si>
  <si>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</si>
  <si>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</si>
  <si>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</si>
  <si>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</si>
  <si>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</si>
  <si>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</si>
  <si>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</si>
  <si>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</si>
  <si>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</si>
  <si>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</si>
  <si>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</si>
  <si>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</si>
  <si>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</si>
  <si>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</si>
  <si>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</si>
  <si>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</si>
  <si>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</si>
  <si>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</si>
  <si>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</si>
  <si>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</si>
  <si>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</si>
  <si>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</si>
  <si>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</si>
  <si>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</si>
  <si>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</si>
  <si>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</si>
  <si>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</si>
  <si>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</si>
  <si>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</si>
  <si>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</si>
  <si>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</si>
  <si>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</si>
  <si>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</si>
  <si>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</si>
  <si>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</si>
  <si>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</si>
  <si>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</si>
  <si>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</si>
  <si>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</si>
  <si>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</si>
  <si>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</si>
  <si>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</si>
  <si>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</si>
  <si>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</si>
  <si>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</si>
  <si>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</si>
  <si>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</si>
  <si>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</si>
  <si>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</si>
  <si>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</si>
  <si>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</si>
  <si>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</si>
  <si>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</si>
  <si>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</si>
  <si>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</si>
  <si>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</si>
  <si>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</si>
  <si>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</si>
  <si>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</si>
  <si>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</si>
  <si>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</si>
  <si>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</si>
  <si>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</si>
  <si>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</si>
  <si>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</si>
  <si>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</si>
  <si>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</si>
  <si>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</si>
  <si>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</si>
  <si>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</si>
  <si>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</si>
  <si>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</si>
  <si>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</si>
  <si>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</si>
  <si>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</si>
  <si>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</si>
  <si>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</si>
  <si>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</si>
  <si>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</si>
  <si>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</si>
  <si>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</si>
  <si>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</si>
  <si>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</si>
  <si>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</si>
  <si>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</si>
  <si>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</si>
  <si>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</si>
  <si>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</si>
  <si>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</si>
  <si>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</si>
  <si>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</si>
  <si>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</si>
  <si>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</si>
  <si>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</si>
  <si>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</si>
  <si>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</si>
  <si>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</si>
  <si>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</si>
  <si>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</si>
  <si>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</si>
  <si>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</si>
  <si>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</si>
  <si>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</si>
  <si>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</si>
  <si>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</si>
  <si>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</si>
  <si>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</si>
  <si>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</si>
  <si>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</si>
  <si>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</si>
  <si>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</si>
  <si>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</si>
  <si>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</si>
  <si>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</si>
  <si>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</si>
  <si>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</si>
  <si>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</si>
  <si>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</si>
  <si>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</si>
  <si>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</si>
  <si>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</si>
  <si>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</si>
  <si>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</si>
  <si>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</si>
  <si>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</si>
  <si>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</si>
  <si>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</si>
  <si>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</si>
  <si>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</si>
  <si>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</si>
  <si>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</si>
  <si>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</si>
  <si>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</si>
  <si>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</si>
  <si>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</si>
  <si>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</si>
  <si>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</si>
  <si>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</si>
  <si>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</si>
  <si>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</si>
  <si>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</si>
  <si>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</si>
  <si>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</si>
  <si>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</si>
  <si>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</si>
  <si>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</si>
  <si>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</si>
  <si>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</si>
  <si>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</si>
  <si>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</si>
  <si>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</si>
  <si>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</si>
  <si>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</si>
  <si>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</si>
  <si>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</si>
  <si>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</si>
  <si>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</si>
  <si>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</si>
  <si>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</si>
  <si>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</si>
  <si>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</si>
  <si>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</si>
  <si>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</si>
  <si>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</si>
  <si>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</si>
  <si>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</si>
  <si>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</si>
  <si>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</si>
  <si>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</si>
  <si>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</si>
  <si>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</si>
  <si>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</si>
  <si>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</si>
  <si>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</si>
  <si>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</si>
  <si>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</si>
  <si>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</si>
  <si>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</si>
  <si>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</si>
  <si>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</si>
  <si>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</si>
  <si>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</si>
  <si>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</si>
  <si>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</si>
  <si>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</si>
  <si>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</si>
  <si>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</si>
  <si>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</si>
  <si>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</si>
  <si>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</si>
  <si>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</si>
  <si>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</si>
  <si>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</si>
  <si>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</si>
  <si>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</si>
  <si>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</si>
  <si>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</si>
  <si>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</si>
  <si>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</si>
  <si>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</si>
  <si>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</si>
  <si>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</si>
  <si>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</si>
  <si>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</si>
  <si>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</si>
  <si>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</si>
  <si>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</si>
  <si>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</si>
  <si>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</si>
  <si>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</si>
  <si>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</si>
  <si>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</si>
  <si>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</si>
  <si>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</si>
  <si>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</si>
  <si>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</si>
  <si>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</si>
  <si>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</si>
  <si>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</si>
  <si>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</si>
  <si>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</si>
  <si>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</si>
  <si>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</si>
  <si>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</si>
  <si>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</si>
  <si>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</si>
  <si>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</si>
  <si>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</si>
  <si>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</si>
  <si>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</si>
  <si>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</si>
  <si>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</si>
  <si>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</si>
  <si>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</si>
  <si>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</si>
  <si>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</si>
  <si>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</si>
  <si>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</si>
  <si>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</si>
  <si>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</si>
  <si>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</si>
  <si>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</si>
  <si>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</si>
  <si>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</si>
  <si>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</si>
  <si>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</si>
  <si>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</si>
  <si>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</si>
  <si>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</si>
  <si>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</si>
  <si>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</si>
  <si>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</si>
  <si>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</si>
  <si>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</si>
  <si>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</si>
  <si>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</si>
  <si>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</si>
  <si>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</si>
  <si>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</si>
  <si>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</si>
  <si>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</si>
  <si>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</si>
  <si>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</si>
  <si>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</si>
  <si>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</si>
  <si>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</si>
  <si>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</si>
  <si>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</si>
  <si>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</si>
  <si>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</si>
  <si>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</si>
  <si>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</si>
  <si>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</si>
  <si>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</si>
  <si>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</si>
  <si>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</si>
  <si>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</si>
  <si>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</si>
  <si>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</si>
  <si>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</si>
  <si>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</si>
  <si>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</si>
  <si>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</si>
  <si>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</si>
  <si>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</si>
  <si>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</si>
  <si>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</si>
  <si>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</si>
  <si>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</si>
  <si>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</si>
  <si>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</si>
  <si>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</si>
  <si>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</si>
  <si>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</si>
  <si>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</si>
  <si>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</si>
  <si>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</si>
  <si>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</si>
  <si>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</si>
  <si>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</si>
  <si>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</si>
  <si>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</si>
  <si>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</si>
  <si>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</si>
  <si>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</si>
  <si>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</si>
  <si>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</si>
  <si>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</si>
  <si>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</si>
  <si>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</si>
  <si>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</si>
  <si>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</si>
  <si>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</si>
  <si>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</si>
  <si>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</si>
  <si>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</si>
  <si>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</si>
  <si>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</si>
  <si>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</si>
  <si>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</si>
  <si>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</si>
  <si>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</si>
  <si>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</si>
  <si>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</si>
  <si>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</si>
  <si>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</si>
  <si>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</si>
  <si>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</si>
  <si>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</si>
  <si>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</si>
  <si>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</si>
  <si>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</si>
  <si>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</si>
  <si>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</si>
  <si>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</si>
  <si>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</si>
  <si>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</si>
  <si>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</si>
  <si>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</si>
  <si>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</si>
  <si>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</si>
  <si>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</si>
  <si>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</si>
  <si>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</si>
  <si>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</si>
  <si>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</si>
  <si>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</si>
  <si>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</si>
  <si>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</si>
  <si>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</si>
  <si>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</si>
  <si>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</si>
  <si>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</si>
  <si>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</si>
  <si>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</si>
  <si>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</si>
  <si>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</si>
  <si>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</si>
  <si>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</si>
  <si>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</si>
  <si>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</si>
  <si>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</si>
  <si>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</si>
  <si>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</si>
  <si>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</si>
  <si>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</si>
  <si>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</si>
  <si>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</si>
  <si>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</si>
  <si>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</si>
  <si>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</si>
  <si>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</si>
  <si>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</si>
  <si>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</si>
  <si>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</si>
  <si>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</si>
  <si>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</si>
  <si>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</si>
  <si>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</si>
  <si>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</si>
  <si>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</si>
  <si>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</si>
  <si>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</si>
  <si>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</si>
  <si>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</si>
  <si>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</si>
  <si>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</si>
  <si>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</si>
  <si>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</si>
  <si>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</si>
  <si>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</si>
  <si>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</si>
  <si>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</si>
  <si>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</si>
  <si>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</si>
  <si>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</si>
  <si>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</si>
  <si>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</si>
  <si>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</si>
  <si>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</si>
  <si>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</si>
  <si>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</si>
  <si>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</si>
  <si>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</si>
  <si>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</si>
  <si>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</si>
  <si>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</si>
  <si>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</si>
  <si>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</si>
  <si>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</si>
  <si>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</si>
  <si>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</si>
  <si>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</si>
  <si>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</si>
  <si>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</si>
  <si>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</si>
  <si>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</si>
  <si>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</si>
  <si>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</si>
  <si>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</si>
  <si>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</si>
  <si>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</si>
  <si>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</si>
  <si>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</si>
  <si>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</si>
  <si>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</si>
  <si>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</si>
  <si>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</si>
  <si>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</si>
  <si>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</si>
  <si>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</si>
  <si>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</si>
  <si>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</si>
  <si>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</si>
  <si>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</si>
  <si>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</si>
  <si>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</si>
  <si>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</si>
  <si>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</si>
  <si>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</si>
  <si>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</si>
  <si>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</si>
  <si>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</si>
  <si>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</si>
  <si>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</si>
  <si>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</si>
  <si>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</si>
  <si>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</si>
  <si>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</si>
  <si>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</si>
  <si>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</si>
  <si>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</si>
  <si>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</si>
  <si>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</si>
  <si>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</si>
  <si>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</si>
  <si>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</si>
  <si>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</si>
  <si>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</si>
  <si>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</si>
  <si>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</si>
  <si>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</si>
  <si>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</si>
  <si>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</si>
  <si>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</si>
  <si>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</si>
  <si>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</si>
  <si>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</si>
  <si>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</si>
  <si>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</si>
  <si>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</si>
  <si>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</si>
  <si>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</si>
  <si>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</si>
  <si>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</si>
  <si>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</si>
  <si>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</si>
  <si>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</si>
  <si>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</si>
  <si>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</si>
  <si>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</si>
  <si>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</si>
  <si>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</si>
  <si>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</si>
  <si>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</si>
  <si>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</si>
  <si>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</si>
  <si>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</si>
  <si>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</si>
  <si>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</si>
  <si>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</si>
  <si>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</si>
  <si>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</si>
  <si>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</si>
  <si>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</si>
  <si>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</si>
  <si>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</si>
  <si>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</si>
  <si>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</si>
  <si>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</si>
  <si>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</si>
  <si>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</si>
  <si>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</si>
  <si>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</si>
  <si>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</si>
  <si>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</si>
  <si>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</si>
  <si>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</si>
  <si>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</si>
  <si>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</si>
  <si>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</si>
  <si>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</si>
  <si>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</si>
  <si>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</si>
  <si>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</si>
  <si>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</si>
  <si>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</si>
  <si>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</si>
  <si>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</si>
  <si>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</si>
  <si>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</si>
  <si>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</si>
  <si>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</si>
  <si>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</si>
  <si>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</si>
  <si>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</si>
  <si>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</si>
  <si>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</si>
  <si>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</si>
  <si>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</si>
  <si>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</si>
  <si>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</si>
  <si>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</si>
  <si>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</si>
  <si>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</si>
  <si>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</si>
  <si>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</si>
  <si>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</si>
  <si>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</si>
  <si>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</si>
  <si>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</si>
  <si>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</si>
  <si>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</si>
  <si>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</si>
  <si>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</si>
  <si>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</si>
  <si>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</si>
  <si>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</si>
  <si>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</si>
  <si>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</si>
  <si>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</si>
  <si>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</si>
  <si>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</si>
  <si>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</si>
  <si>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</si>
  <si>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</si>
  <si>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</si>
  <si>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</si>
  <si>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</si>
  <si>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</si>
  <si>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</si>
  <si>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</si>
  <si>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</si>
  <si>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</si>
  <si>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</si>
  <si>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</si>
  <si>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</si>
  <si>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</si>
  <si>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</si>
  <si>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</si>
  <si>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</si>
  <si>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</si>
  <si>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</si>
  <si>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</si>
  <si>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</si>
  <si>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</si>
  <si>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</si>
  <si>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</si>
  <si>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</si>
  <si>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</si>
  <si>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</si>
  <si>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</si>
  <si>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</si>
  <si>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</si>
  <si>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</si>
  <si>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</si>
  <si>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</si>
  <si>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</si>
  <si>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</si>
  <si>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</si>
  <si>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</si>
  <si>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</si>
  <si>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</si>
  <si>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</si>
  <si>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</si>
  <si>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</si>
  <si>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</si>
  <si>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</si>
  <si>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</si>
  <si>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</si>
  <si>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</si>
  <si>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</si>
  <si>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</si>
  <si>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</si>
  <si>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</si>
  <si>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</si>
  <si>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</si>
  <si>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</si>
  <si>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</si>
  <si>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</si>
  <si>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</si>
  <si>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</si>
  <si>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</si>
  <si>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</si>
  <si>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</si>
  <si>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</si>
  <si>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</si>
  <si>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</si>
  <si>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</si>
  <si>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</si>
  <si>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</si>
  <si>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</si>
  <si>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</si>
  <si>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</si>
  <si>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</si>
  <si>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</si>
  <si>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</si>
  <si>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</si>
  <si>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</si>
  <si>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</si>
  <si>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</si>
  <si>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</si>
  <si>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</si>
  <si>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</si>
  <si>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</si>
  <si>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</si>
  <si>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</si>
  <si>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</si>
  <si>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</si>
  <si>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</si>
  <si>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</si>
  <si>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</si>
  <si>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</si>
  <si>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</si>
  <si>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</si>
  <si>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</si>
  <si>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</si>
  <si>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</si>
  <si>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</si>
  <si>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</si>
  <si>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</si>
  <si>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</si>
  <si>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</si>
  <si>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</si>
  <si>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</si>
  <si>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</si>
  <si>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</si>
  <si>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</si>
  <si>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</si>
  <si>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</si>
  <si>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</si>
  <si>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</si>
  <si>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</si>
  <si>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</si>
  <si>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</si>
  <si>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</si>
  <si>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</si>
  <si>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</si>
  <si>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</si>
  <si>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</si>
  <si>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</si>
  <si>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</si>
  <si>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</si>
  <si>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</si>
  <si>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</si>
  <si>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</si>
  <si>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</si>
  <si>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</si>
  <si>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</si>
  <si>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</si>
  <si>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</si>
  <si>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</si>
  <si>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</si>
  <si>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</si>
  <si>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</si>
  <si>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</si>
  <si>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</si>
  <si>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</si>
  <si>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</si>
  <si>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</si>
  <si>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</si>
  <si>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</si>
  <si>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</si>
  <si>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</si>
  <si>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</si>
  <si>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</si>
  <si>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</si>
  <si>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</si>
  <si>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</si>
  <si>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</si>
  <si>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</si>
  <si>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</si>
  <si>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</si>
  <si>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</si>
  <si>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</si>
  <si>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</si>
  <si>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</si>
  <si>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</si>
  <si>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</si>
  <si>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</si>
  <si>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</si>
  <si>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</si>
  <si>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</si>
  <si>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</si>
  <si>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</si>
  <si>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</si>
  <si>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</si>
  <si>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</si>
  <si>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</si>
  <si>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</si>
  <si>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</si>
  <si>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</si>
  <si>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</si>
  <si>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</si>
  <si>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</si>
  <si>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</si>
  <si>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</si>
  <si>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</si>
  <si>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</si>
  <si>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</si>
  <si>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</si>
  <si>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</si>
  <si>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</si>
  <si>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</si>
  <si>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</si>
  <si>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</si>
  <si>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</si>
  <si>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</si>
  <si>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</si>
  <si>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</si>
  <si>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</si>
  <si>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</si>
  <si>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</si>
  <si>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</si>
  <si>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</si>
  <si>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</si>
  <si>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</si>
  <si>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</si>
  <si>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</si>
  <si>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</si>
  <si>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</si>
  <si>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</si>
  <si>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</si>
  <si>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</si>
  <si>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</si>
  <si>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</si>
  <si>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</si>
  <si>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</si>
  <si>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</si>
  <si>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</si>
  <si>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</si>
  <si>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</si>
  <si>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</si>
  <si>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</si>
  <si>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</si>
  <si>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</si>
  <si>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</si>
  <si>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</si>
  <si>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</si>
  <si>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</si>
  <si>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</si>
  <si>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</si>
  <si>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</si>
  <si>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</si>
  <si>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</si>
  <si>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</si>
  <si>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</si>
  <si>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</si>
  <si>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</si>
  <si>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</si>
  <si>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</si>
  <si>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</si>
  <si>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</si>
  <si>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</si>
  <si>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</si>
  <si>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</si>
  <si>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</si>
  <si>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</si>
  <si>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</si>
  <si>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</si>
  <si>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</si>
  <si>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</si>
  <si>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</si>
  <si>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</si>
  <si>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</si>
  <si>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</si>
  <si>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</si>
  <si>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</si>
  <si>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</si>
  <si>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</si>
  <si>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</si>
  <si>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</si>
  <si>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</si>
  <si>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</si>
  <si>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</si>
  <si>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</si>
  <si>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</si>
  <si>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</si>
  <si>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</si>
  <si>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</si>
  <si>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</si>
  <si>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</si>
  <si>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</si>
  <si>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</si>
  <si>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</si>
  <si>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</si>
  <si>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</si>
  <si>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</si>
  <si>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</si>
  <si>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</si>
  <si>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</si>
  <si>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</si>
  <si>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</si>
  <si>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</si>
  <si>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</si>
  <si>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</si>
  <si>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</si>
  <si>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</si>
  <si>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</si>
  <si>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</si>
  <si>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</si>
  <si>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</si>
  <si>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</si>
  <si>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</si>
  <si>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</si>
  <si>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</si>
  <si>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</si>
  <si>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</si>
  <si>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</si>
  <si>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</si>
  <si>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</si>
  <si>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</si>
  <si>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</si>
  <si>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</si>
  <si>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</si>
  <si>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</si>
  <si>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</si>
  <si>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</si>
  <si>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</si>
  <si>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</si>
  <si>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</si>
  <si>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</si>
  <si>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</si>
  <si>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</si>
  <si>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</si>
  <si>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</si>
  <si>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</si>
  <si>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</si>
  <si>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</si>
  <si>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</si>
  <si>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</si>
  <si>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</si>
  <si>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</si>
  <si>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</si>
  <si>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</si>
  <si>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</si>
  <si>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</si>
  <si>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</si>
  <si>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</si>
  <si>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</si>
  <si>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</si>
  <si>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</si>
  <si>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</si>
  <si>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</si>
  <si>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</si>
  <si>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</si>
  <si>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</si>
  <si>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</si>
  <si>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</si>
  <si>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</si>
  <si>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</si>
  <si>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</si>
  <si>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</si>
  <si>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</si>
  <si>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</si>
  <si>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</si>
  <si>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</si>
  <si>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</si>
  <si>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</si>
  <si>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</si>
  <si>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</si>
  <si>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</si>
  <si>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</si>
  <si>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</si>
  <si>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</si>
  <si>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</si>
  <si>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</si>
  <si>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</si>
  <si>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</si>
  <si>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</si>
  <si>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</si>
  <si>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</si>
  <si>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</si>
  <si>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</si>
  <si>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</si>
  <si>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</si>
  <si>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</si>
  <si>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</si>
  <si>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</si>
  <si>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</si>
  <si>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</si>
  <si>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</si>
  <si>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</si>
  <si>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</si>
  <si>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</si>
  <si>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</si>
  <si>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</si>
  <si>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</si>
  <si>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</si>
  <si>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</si>
  <si>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</si>
  <si>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</si>
  <si>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</si>
  <si>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</si>
  <si>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</si>
  <si>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</si>
  <si>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</si>
  <si>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</si>
  <si>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</si>
  <si>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</si>
  <si>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</si>
  <si>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</si>
  <si>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</si>
  <si>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</si>
  <si>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</si>
  <si>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</si>
  <si>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</si>
  <si>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</si>
  <si>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</si>
  <si>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</si>
  <si>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</si>
  <si>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</si>
  <si>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</si>
  <si>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</si>
  <si>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</si>
  <si>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</si>
  <si>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</si>
  <si>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</si>
  <si>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</si>
  <si>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</si>
  <si>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</si>
  <si>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</si>
  <si>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</si>
  <si>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</si>
  <si>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</si>
  <si>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</si>
  <si>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</si>
  <si>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</si>
  <si>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</si>
  <si>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</si>
  <si>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</si>
  <si>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</si>
  <si>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</si>
  <si>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</si>
  <si>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</si>
  <si>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</si>
  <si>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</si>
  <si>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</si>
  <si>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</si>
  <si>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</si>
  <si>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</si>
  <si>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</si>
  <si>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</si>
  <si>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</si>
  <si>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</si>
  <si>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</si>
  <si>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</si>
  <si>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</si>
  <si>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</si>
  <si>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</si>
  <si>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</si>
  <si>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</si>
  <si>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</si>
  <si>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</si>
  <si>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</si>
  <si>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</si>
  <si>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</si>
  <si>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</si>
  <si>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</si>
  <si>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</si>
  <si>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</si>
  <si>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</si>
  <si>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</si>
  <si>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</si>
  <si>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</si>
  <si>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</si>
  <si>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</si>
  <si>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</si>
  <si>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</si>
  <si>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</si>
  <si>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</si>
  <si>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</si>
  <si>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</si>
  <si>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</si>
  <si>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</si>
  <si>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</si>
  <si>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</si>
  <si>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</si>
  <si>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</si>
  <si>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</si>
  <si>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</si>
  <si>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</si>
  <si>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</si>
  <si>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</si>
  <si>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</si>
  <si>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</si>
  <si>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</si>
  <si>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</si>
  <si>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</si>
  <si>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</si>
  <si>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</si>
  <si>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</si>
  <si>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</si>
  <si>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</si>
  <si>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</si>
  <si>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</si>
  <si>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</si>
  <si>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</si>
  <si>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</si>
  <si>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</si>
  <si>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</si>
  <si>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</si>
  <si>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</si>
  <si>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</si>
  <si>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</si>
  <si>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</si>
  <si>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</si>
  <si>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</si>
  <si>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</si>
  <si>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</si>
  <si>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</si>
  <si>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</si>
  <si>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</si>
  <si>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</si>
  <si>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</si>
  <si>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</si>
  <si>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</si>
  <si>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</si>
  <si>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</si>
  <si>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</si>
  <si>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</si>
  <si>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</si>
  <si>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</si>
  <si>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</si>
  <si>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</si>
  <si>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</si>
  <si>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</si>
  <si>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</si>
  <si>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</si>
  <si>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</si>
  <si>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</si>
  <si>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</si>
  <si>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</si>
  <si>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</si>
  <si>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</si>
  <si>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</si>
  <si>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</si>
  <si>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</si>
  <si>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</si>
  <si>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</si>
  <si>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</si>
  <si>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</si>
  <si>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</si>
  <si>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</si>
  <si>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</si>
  <si>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</si>
  <si>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</si>
  <si>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</si>
  <si>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</si>
  <si>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</si>
  <si>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</si>
  <si>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</si>
  <si>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</si>
  <si>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</si>
  <si>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</si>
  <si>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</si>
  <si>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</si>
  <si>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</si>
  <si>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</si>
  <si>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</si>
  <si>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</si>
  <si>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</si>
  <si>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</si>
  <si>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</si>
  <si>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</si>
  <si>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</si>
  <si>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</si>
  <si>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</si>
  <si>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</si>
  <si>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</si>
  <si>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</si>
  <si>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</si>
  <si>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</si>
  <si>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</si>
  <si>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</si>
  <si>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</si>
  <si>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</si>
  <si>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</si>
  <si>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</si>
  <si>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</si>
  <si>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</si>
  <si>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</si>
  <si>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</si>
  <si>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</si>
  <si>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</si>
  <si>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</si>
  <si>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</si>
  <si>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</si>
  <si>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</si>
  <si>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</si>
  <si>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</si>
  <si>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</si>
  <si>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</si>
  <si>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</si>
  <si>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</si>
  <si>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</si>
  <si>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</si>
  <si>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</si>
  <si>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</si>
  <si>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</si>
  <si>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</si>
  <si>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</si>
  <si>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</si>
  <si>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</si>
  <si>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</si>
  <si>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</si>
  <si>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</si>
  <si>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</si>
  <si>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</si>
  <si>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</si>
  <si>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</si>
  <si>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</si>
  <si>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</si>
  <si>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</si>
  <si>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</si>
  <si>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</si>
  <si>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</si>
  <si>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</si>
  <si>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</si>
  <si>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</si>
  <si>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</si>
  <si>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</si>
  <si>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</si>
  <si>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</si>
  <si>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</si>
  <si>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</si>
  <si>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</si>
  <si>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</si>
  <si>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</si>
  <si>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</si>
  <si>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</si>
  <si>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</si>
  <si>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</si>
  <si>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</si>
  <si>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</si>
  <si>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</si>
  <si>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</si>
  <si>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</si>
  <si>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</si>
  <si>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</si>
  <si>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</si>
  <si>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</si>
  <si>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</si>
  <si>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</si>
  <si>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</si>
  <si>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</si>
  <si>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</si>
  <si>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</si>
  <si>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</si>
  <si>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</si>
  <si>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</si>
  <si>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</si>
  <si>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</si>
  <si>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</si>
  <si>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</si>
  <si>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</si>
  <si>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</si>
  <si>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</si>
  <si>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</si>
  <si>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</si>
  <si>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</si>
  <si>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</si>
  <si>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</si>
  <si>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</si>
  <si>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</si>
  <si>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</si>
  <si>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</si>
  <si>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</si>
  <si>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</si>
  <si>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</si>
  <si>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</si>
  <si>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</si>
  <si>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</si>
  <si>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</si>
  <si>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</si>
  <si>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</si>
  <si>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</si>
  <si>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</si>
  <si>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</si>
  <si>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</si>
  <si>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</si>
  <si>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</si>
  <si>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</si>
  <si>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</si>
  <si>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</si>
  <si>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</si>
  <si>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</si>
  <si>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</si>
  <si>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</si>
  <si>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</si>
  <si>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</si>
  <si>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</si>
  <si>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</si>
  <si>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</si>
  <si>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</si>
  <si>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</si>
  <si>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</si>
  <si>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</si>
  <si>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</si>
  <si>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</si>
  <si>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</si>
  <si>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</si>
  <si>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</si>
  <si>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</si>
  <si>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</si>
  <si>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</si>
  <si>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</si>
  <si>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</si>
  <si>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</si>
  <si>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</si>
  <si>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</si>
  <si>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</si>
  <si>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</si>
  <si>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</si>
  <si>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</si>
  <si>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</si>
  <si>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</si>
  <si>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</si>
  <si>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</si>
  <si>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</si>
  <si>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</si>
  <si>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</si>
  <si>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</si>
  <si>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</si>
  <si>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</si>
  <si>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</si>
  <si>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</si>
  <si>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</si>
  <si>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</si>
  <si>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</si>
  <si>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</si>
  <si>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</si>
  <si>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</si>
  <si>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</si>
  <si>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</si>
  <si>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</si>
  <si>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</si>
  <si>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</si>
  <si>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</si>
  <si>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</si>
  <si>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</si>
  <si>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</si>
  <si>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</si>
  <si>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</si>
  <si>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</si>
  <si>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</si>
  <si>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</si>
  <si>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</si>
  <si>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</si>
  <si>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</si>
  <si>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</si>
  <si>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</si>
  <si>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</si>
  <si>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</si>
  <si>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</si>
  <si>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</si>
  <si>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</si>
  <si>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</si>
  <si>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</si>
  <si>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</si>
  <si>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</si>
  <si>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</si>
  <si>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</si>
  <si>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</si>
  <si>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</si>
  <si>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</si>
  <si>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</si>
  <si>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</si>
  <si>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</si>
  <si>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</si>
  <si>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</si>
  <si>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</si>
  <si>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</si>
  <si>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</si>
  <si>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</si>
  <si>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</si>
  <si>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</si>
  <si>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</si>
  <si>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</si>
  <si>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</si>
  <si>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</si>
  <si>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</si>
  <si>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</si>
  <si>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</si>
  <si>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</si>
  <si>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</si>
  <si>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</si>
  <si>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</si>
  <si>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</si>
  <si>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</si>
  <si>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</si>
  <si>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</si>
  <si>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</si>
  <si>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</si>
  <si>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</si>
  <si>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</si>
  <si>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</si>
  <si>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</si>
  <si>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</si>
  <si>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</si>
  <si>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</si>
  <si>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</si>
  <si>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</si>
  <si>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</si>
  <si>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</si>
  <si>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</si>
  <si>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</si>
  <si>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</si>
  <si>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</si>
  <si>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</si>
  <si>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</si>
  <si>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</si>
  <si>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</si>
  <si>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</si>
  <si>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</si>
  <si>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</si>
  <si>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</si>
  <si>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</si>
  <si>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</si>
  <si>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</si>
  <si>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</si>
  <si>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</si>
  <si>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</si>
  <si>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</si>
  <si>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</si>
  <si>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</si>
  <si>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</si>
  <si>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</si>
  <si>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</si>
  <si>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</si>
  <si>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</si>
  <si>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</si>
  <si>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</si>
  <si>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</si>
  <si>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</si>
  <si>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</si>
  <si>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</si>
  <si>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</si>
  <si>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</si>
  <si>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</si>
  <si>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</si>
  <si>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</si>
  <si>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</si>
  <si>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</si>
  <si>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</si>
  <si>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</si>
  <si>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</si>
  <si>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</si>
  <si>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</si>
  <si>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</si>
  <si>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</si>
  <si>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</si>
  <si>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</si>
  <si>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</si>
  <si>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</si>
  <si>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</si>
  <si>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</si>
  <si>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</si>
  <si>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</si>
  <si>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</si>
  <si>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</si>
  <si>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</si>
  <si>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</si>
  <si>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</si>
  <si>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</si>
  <si>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</si>
  <si>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</si>
  <si>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</si>
  <si>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</si>
  <si>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</si>
  <si>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</si>
  <si>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</si>
  <si>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</si>
  <si>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</si>
  <si>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</si>
  <si>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</si>
  <si>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</si>
  <si>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</si>
  <si>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</si>
  <si>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</si>
  <si>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</si>
  <si>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</si>
  <si>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</si>
  <si>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</si>
  <si>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</si>
  <si>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</si>
  <si>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</si>
  <si>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</si>
  <si>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</si>
  <si>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</si>
  <si>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</si>
  <si>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</si>
  <si>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</si>
  <si>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</si>
  <si>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</si>
  <si>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</si>
  <si>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</si>
  <si>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</si>
  <si>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</si>
  <si>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</si>
  <si>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</si>
  <si>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</si>
  <si>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</si>
  <si>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</si>
  <si>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</si>
  <si>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</si>
  <si>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</si>
  <si>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</si>
  <si>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</si>
  <si>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</si>
  <si>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</si>
  <si>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</si>
  <si>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</si>
  <si>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</si>
  <si>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</si>
  <si>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</si>
  <si>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</si>
  <si>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</si>
  <si>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</si>
  <si>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</si>
  <si>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</si>
  <si>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</si>
  <si>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</si>
  <si>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</si>
  <si>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</si>
  <si>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</si>
  <si>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</si>
  <si>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</si>
  <si>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</si>
  <si>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</si>
  <si>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</si>
  <si>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</si>
  <si>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</si>
  <si>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</si>
  <si>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</si>
  <si>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</si>
  <si>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</si>
  <si>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</si>
  <si>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</si>
  <si>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</si>
  <si>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</si>
  <si>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</si>
  <si>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</si>
  <si>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</si>
  <si>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</si>
  <si>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</si>
  <si>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</si>
  <si>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</si>
  <si>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</si>
  <si>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</si>
  <si>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</si>
  <si>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</si>
  <si>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</si>
  <si>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</si>
  <si>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</si>
  <si>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</si>
  <si>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</si>
  <si>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</si>
  <si>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</si>
  <si>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</si>
  <si>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</si>
  <si>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</si>
  <si>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</si>
  <si>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</si>
  <si>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</si>
  <si>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</si>
  <si>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</si>
  <si>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</si>
  <si>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</si>
  <si>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</si>
  <si>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</si>
  <si>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</si>
  <si>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</si>
  <si>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</si>
  <si>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</si>
  <si>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</si>
  <si>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</si>
  <si>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</si>
  <si>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</si>
  <si>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</si>
  <si>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</si>
  <si>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</si>
  <si>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</si>
  <si>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</si>
  <si>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</si>
  <si>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</si>
  <si>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</si>
  <si>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</si>
  <si>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</si>
  <si>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</si>
  <si>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</si>
  <si>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</si>
  <si>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</si>
  <si>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</si>
  <si>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</si>
  <si>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</si>
  <si>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</si>
  <si>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</si>
  <si>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</si>
  <si>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</si>
  <si>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</si>
  <si>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</si>
  <si>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</si>
  <si>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</si>
  <si>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</si>
  <si>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</si>
  <si>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</si>
  <si>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</si>
  <si>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</si>
  <si>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</si>
  <si>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</si>
  <si>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</si>
  <si>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</si>
  <si>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</si>
  <si>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</si>
  <si>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</si>
  <si>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</si>
  <si>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</si>
  <si>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</si>
  <si>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</si>
  <si>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</si>
  <si>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</si>
  <si>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</si>
  <si>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</si>
  <si>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</si>
  <si>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</si>
  <si>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</si>
  <si>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</si>
  <si>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</si>
  <si>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</si>
  <si>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</si>
  <si>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</si>
  <si>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</si>
  <si>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</si>
  <si>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</si>
  <si>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</si>
  <si>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</si>
  <si>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</si>
  <si>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</si>
  <si>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</si>
  <si>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</si>
  <si>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</si>
  <si>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</si>
  <si>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</si>
  <si>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</si>
  <si>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</si>
  <si>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</si>
  <si>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</si>
  <si>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</si>
  <si>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</si>
  <si>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</si>
  <si>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</si>
  <si>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</si>
  <si>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</si>
  <si>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</si>
  <si>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</si>
  <si>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</si>
  <si>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</si>
  <si>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</si>
  <si>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</si>
  <si>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</si>
  <si>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</si>
  <si>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</si>
  <si>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</si>
  <si>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</si>
  <si>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</si>
  <si>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</si>
  <si>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</si>
  <si>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</si>
  <si>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</si>
  <si>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</si>
  <si>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</si>
  <si>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</si>
  <si>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</si>
  <si>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</si>
  <si>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</si>
  <si>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</si>
  <si>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</si>
  <si>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</si>
  <si>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</si>
  <si>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</si>
  <si>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</si>
  <si>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</si>
  <si>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</si>
  <si>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</si>
  <si>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</si>
  <si>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</si>
  <si>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</si>
  <si>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</si>
  <si>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</si>
  <si>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</si>
  <si>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</si>
  <si>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</si>
  <si>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</si>
  <si>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</si>
  <si>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</si>
  <si>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</si>
  <si>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</si>
  <si>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</si>
  <si>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</si>
  <si>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</si>
  <si>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</si>
  <si>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</si>
  <si>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</si>
  <si>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</si>
  <si>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</si>
  <si>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</si>
  <si>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</si>
  <si>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</si>
  <si>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</si>
  <si>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</si>
  <si>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</si>
  <si>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</si>
  <si>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</si>
  <si>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</si>
  <si>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</si>
  <si>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</si>
  <si>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</si>
  <si>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</si>
  <si>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</si>
  <si>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</si>
  <si>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</si>
  <si>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</si>
  <si>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</si>
  <si>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</si>
  <si>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</si>
  <si>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</si>
  <si>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</si>
  <si>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</si>
  <si>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</si>
  <si>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</si>
  <si>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</si>
  <si>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</si>
  <si>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</si>
  <si>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</si>
  <si>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</si>
  <si>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</si>
  <si>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</si>
  <si>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</si>
  <si>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</si>
  <si>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</si>
  <si>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</si>
  <si>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</si>
  <si>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</si>
  <si>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</si>
  <si>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</si>
  <si>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</si>
  <si>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</si>
  <si>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</si>
  <si>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</si>
  <si>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</si>
  <si>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</si>
  <si>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</si>
  <si>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</si>
  <si>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</si>
  <si>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</si>
  <si>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</si>
  <si>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</si>
  <si>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</si>
  <si>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</si>
  <si>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</si>
  <si>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</si>
  <si>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</si>
  <si>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</si>
  <si>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</si>
  <si>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</si>
  <si>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</si>
  <si>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</si>
  <si>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</si>
  <si>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</si>
  <si>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</si>
  <si>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</si>
  <si>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</si>
  <si>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</si>
  <si>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</si>
  <si>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</si>
  <si>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</si>
  <si>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</si>
  <si>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</si>
  <si>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</si>
  <si>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</si>
  <si>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</si>
  <si>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</si>
  <si>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</si>
  <si>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</si>
  <si>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</si>
  <si>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</si>
  <si>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</si>
  <si>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</si>
  <si>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</si>
  <si>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</si>
  <si>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</si>
  <si>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</si>
  <si>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</si>
  <si>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</si>
  <si>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</si>
  <si>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</si>
  <si>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</si>
  <si>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</si>
  <si>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</si>
  <si>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</si>
  <si>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</si>
  <si>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</si>
  <si>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</si>
  <si>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</si>
  <si>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</si>
  <si>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</si>
  <si>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</si>
  <si>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</si>
  <si>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</si>
  <si>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</si>
  <si>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</si>
  <si>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</si>
  <si>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</si>
  <si>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</si>
  <si>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</si>
  <si>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</si>
  <si>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</si>
  <si>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</si>
  <si>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</si>
  <si>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</si>
  <si>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</si>
  <si>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</si>
  <si>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</si>
  <si>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</si>
  <si>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</si>
  <si>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</si>
  <si>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</si>
  <si>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</si>
  <si>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</si>
  <si>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</si>
  <si>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</si>
  <si>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</si>
  <si>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</si>
  <si>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</si>
  <si>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</si>
  <si>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</si>
  <si>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</si>
  <si>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</si>
  <si>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</si>
  <si>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</si>
  <si>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</si>
  <si>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</si>
  <si>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</si>
  <si>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</si>
  <si>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</si>
  <si>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</si>
  <si>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</si>
  <si>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</si>
  <si>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</si>
  <si>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</si>
  <si>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</si>
  <si>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</si>
  <si>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</si>
  <si>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</si>
  <si>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</si>
  <si>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</si>
  <si>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</si>
  <si>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</si>
  <si>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</si>
  <si>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</si>
  <si>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</si>
  <si>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</si>
  <si>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</si>
  <si>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</si>
  <si>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</si>
  <si>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</si>
  <si>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</si>
  <si>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</si>
  <si>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</si>
  <si>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</si>
  <si>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</si>
  <si>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</si>
  <si>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</si>
  <si>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</si>
  <si>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</si>
  <si>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</si>
  <si>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</si>
  <si>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</si>
  <si>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</si>
  <si>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</si>
  <si>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</si>
  <si>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</si>
  <si>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</si>
  <si>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</si>
  <si>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</si>
  <si>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</si>
  <si>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</si>
  <si>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</si>
  <si>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</si>
  <si>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</si>
  <si>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</si>
  <si>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</si>
  <si>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</si>
  <si>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</si>
  <si>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</si>
  <si>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</si>
  <si>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</si>
  <si>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</si>
  <si>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</si>
  <si>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</si>
  <si>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</si>
  <si>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</si>
  <si>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</si>
  <si>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</si>
  <si>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</si>
  <si>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</si>
  <si>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</si>
  <si>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</si>
  <si>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</si>
  <si>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</si>
  <si>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</si>
  <si>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</si>
  <si>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</si>
  <si>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</si>
  <si>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</si>
  <si>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</si>
  <si>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</si>
  <si>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</si>
  <si>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</si>
  <si>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</si>
  <si>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</si>
  <si>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</si>
  <si>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</si>
  <si>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</si>
  <si>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</si>
  <si>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</si>
  <si>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</si>
  <si>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</si>
  <si>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</si>
  <si>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</si>
  <si>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</si>
  <si>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</si>
  <si>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</si>
  <si>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</si>
  <si>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</si>
  <si>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</si>
  <si>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</si>
  <si>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</si>
  <si>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</si>
  <si>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</si>
  <si>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</si>
  <si>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</si>
  <si>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</si>
  <si>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</si>
  <si>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</si>
  <si>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</si>
  <si>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</si>
  <si>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</si>
  <si>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</si>
  <si>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</si>
  <si>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</si>
  <si>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</si>
  <si>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</si>
  <si>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</si>
  <si>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</si>
  <si>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</si>
  <si>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</si>
  <si>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</si>
  <si>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</si>
  <si>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</si>
  <si>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</si>
  <si>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</si>
  <si>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</si>
  <si>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</si>
  <si>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</si>
  <si>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</si>
  <si>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</si>
  <si>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</si>
  <si>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</si>
  <si>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</si>
  <si>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</si>
  <si>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</si>
  <si>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</si>
  <si>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</si>
  <si>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</si>
  <si>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</si>
  <si>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</si>
  <si>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</si>
  <si>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</si>
  <si>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</si>
  <si>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</si>
  <si>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</si>
  <si>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</si>
  <si>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</si>
  <si>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</si>
  <si>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</si>
  <si>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</si>
  <si>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</si>
  <si>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</si>
  <si>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</si>
  <si>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</si>
  <si>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</si>
  <si>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</si>
  <si>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</si>
  <si>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</si>
  <si>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</si>
  <si>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</si>
  <si>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</si>
  <si>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</si>
  <si>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</si>
  <si>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</si>
  <si>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</si>
  <si>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</si>
  <si>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</si>
  <si>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</si>
  <si>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</si>
  <si>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</si>
  <si>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</si>
  <si>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</si>
  <si>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</si>
  <si>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</si>
  <si>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</si>
  <si>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</si>
  <si>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</si>
  <si>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</si>
  <si>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</si>
  <si>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</si>
  <si>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</si>
  <si>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</si>
  <si>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</si>
  <si>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</si>
  <si>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</si>
  <si>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</si>
  <si>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</si>
  <si>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</si>
  <si>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</si>
  <si>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</si>
  <si>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</si>
  <si>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</si>
  <si>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</si>
  <si>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</si>
  <si>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</si>
  <si>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</si>
  <si>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</si>
  <si>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</si>
  <si>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</si>
  <si>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</si>
  <si>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</si>
  <si>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</si>
  <si>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</si>
  <si>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</si>
  <si>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</si>
  <si>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</si>
  <si>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</si>
  <si>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</si>
  <si>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</si>
  <si>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</si>
  <si>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</si>
  <si>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</si>
  <si>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</si>
  <si>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</si>
  <si>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</si>
  <si>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</si>
  <si>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</si>
  <si>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</si>
  <si>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</si>
  <si>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</si>
  <si>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</si>
  <si>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</si>
  <si>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</si>
  <si>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</si>
  <si>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</si>
  <si>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</si>
  <si>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</si>
  <si>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</si>
  <si>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</si>
  <si>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</si>
  <si>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</si>
  <si>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</si>
  <si>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</si>
  <si>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</si>
  <si>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</si>
  <si>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</si>
  <si>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</si>
  <si>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</si>
  <si>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</si>
  <si>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</si>
  <si>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</si>
  <si>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</si>
  <si>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</si>
  <si>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</si>
  <si>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</si>
  <si>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</si>
  <si>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</si>
  <si>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</si>
  <si>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</si>
  <si>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</si>
  <si>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</si>
  <si>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</si>
  <si>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</si>
  <si>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</si>
  <si>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</si>
  <si>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</si>
  <si>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</si>
  <si>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</si>
  <si>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</si>
  <si>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</si>
  <si>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</si>
  <si>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</si>
  <si>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</si>
  <si>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</si>
  <si>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</si>
  <si>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</si>
  <si>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</si>
  <si>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</si>
  <si>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</si>
  <si>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</si>
  <si>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</si>
  <si>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</si>
  <si>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</si>
  <si>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</si>
  <si>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</si>
  <si>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</si>
  <si>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</si>
  <si>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</si>
  <si>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</si>
  <si>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</si>
  <si>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</si>
  <si>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</si>
  <si>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</si>
  <si>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</si>
  <si>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</si>
  <si>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</si>
  <si>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</si>
  <si>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</si>
  <si>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</si>
  <si>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</si>
  <si>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</si>
  <si>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</si>
  <si>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</si>
  <si>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</si>
  <si>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</si>
  <si>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</si>
  <si>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</si>
  <si>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</si>
  <si>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</si>
  <si>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</si>
  <si>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</si>
  <si>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</si>
  <si>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</si>
  <si>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</si>
  <si>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</si>
  <si>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</si>
  <si>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</si>
  <si>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</si>
  <si>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</si>
  <si>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</si>
  <si>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</si>
  <si>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</si>
  <si>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</si>
  <si>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</si>
  <si>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</si>
  <si>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</si>
  <si>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</si>
  <si>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</si>
  <si>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</si>
  <si>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</si>
  <si>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</si>
  <si>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</si>
  <si>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</si>
  <si>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</si>
  <si>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</si>
  <si>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</si>
  <si>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</si>
  <si>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</si>
  <si>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</si>
  <si>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</si>
  <si>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</si>
  <si>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</si>
  <si>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</si>
  <si>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</si>
  <si>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</si>
  <si>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</si>
  <si>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</si>
  <si>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</si>
  <si>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</si>
  <si>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</si>
  <si>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</si>
  <si>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</si>
  <si>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</si>
  <si>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</si>
  <si>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</si>
  <si>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</si>
  <si>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</si>
  <si>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</si>
  <si>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</si>
  <si>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</si>
  <si>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</si>
  <si>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</si>
  <si>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</si>
  <si>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</si>
  <si>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</si>
  <si>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</si>
  <si>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</si>
  <si>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</si>
  <si>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</si>
  <si>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</si>
  <si>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</si>
  <si>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</si>
  <si>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</si>
  <si>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</si>
  <si>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</si>
  <si>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</si>
  <si>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</si>
  <si>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</si>
  <si>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</si>
  <si>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</si>
  <si>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</si>
  <si>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</si>
  <si>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</si>
  <si>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</si>
  <si>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</si>
  <si>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</si>
  <si>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</si>
  <si>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</si>
  <si>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</si>
  <si>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</si>
  <si>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</si>
  <si>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</si>
  <si>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</si>
  <si>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</si>
  <si>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</si>
  <si>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</si>
  <si>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</si>
  <si>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</si>
  <si>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</si>
  <si>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</si>
  <si>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</si>
  <si>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</si>
  <si>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</si>
  <si>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</si>
  <si>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</si>
  <si>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</si>
  <si>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</si>
  <si>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</si>
  <si>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</si>
  <si>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</si>
  <si>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</si>
  <si>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</si>
  <si>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</si>
  <si>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</si>
  <si>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</si>
  <si>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</si>
  <si>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</si>
  <si>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</si>
  <si>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</si>
  <si>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</si>
  <si>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</si>
  <si>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</si>
  <si>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</si>
  <si>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</si>
  <si>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</si>
  <si>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</si>
  <si>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</si>
  <si>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</si>
  <si>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</si>
  <si>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</si>
  <si>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</si>
  <si>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</si>
  <si>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</si>
  <si>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</si>
  <si>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</si>
  <si>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</si>
  <si>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</si>
  <si>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</si>
  <si>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</si>
  <si>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</si>
  <si>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</si>
  <si>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</si>
  <si>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</si>
  <si>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</si>
  <si>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</si>
  <si>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</si>
  <si>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</si>
  <si>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</si>
  <si>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</si>
  <si>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</si>
  <si>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</si>
  <si>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</si>
  <si>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</si>
  <si>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</si>
  <si>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</si>
  <si>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</si>
  <si>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</si>
  <si>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</si>
  <si>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</si>
  <si>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</si>
  <si>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</si>
  <si>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</si>
  <si>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</si>
  <si>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</si>
  <si>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</si>
  <si>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</si>
  <si>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</si>
  <si>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</si>
  <si>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</si>
  <si>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</si>
  <si>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</si>
  <si>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</si>
  <si>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</si>
  <si>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</si>
  <si>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</si>
  <si>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</si>
  <si>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</si>
  <si>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</si>
  <si>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</si>
  <si>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</si>
  <si>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</si>
  <si>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</si>
  <si>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</si>
  <si>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</si>
  <si>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</si>
  <si>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</si>
  <si>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</si>
  <si>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</si>
  <si>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</si>
  <si>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</si>
  <si>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</si>
  <si>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</si>
  <si>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</si>
  <si>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</si>
  <si>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</si>
  <si>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</si>
  <si>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</si>
  <si>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</si>
  <si>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</si>
  <si>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</si>
  <si>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</si>
  <si>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</si>
  <si>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</si>
  <si>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</si>
  <si>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</si>
  <si>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</si>
  <si>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</si>
  <si>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</si>
  <si>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</si>
  <si>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</si>
  <si>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</si>
  <si>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</si>
  <si>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</si>
  <si>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</si>
  <si>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</si>
  <si>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</si>
  <si>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</si>
  <si>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</si>
  <si>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</si>
  <si>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</si>
  <si>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</si>
  <si>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</si>
  <si>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</si>
  <si>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</si>
  <si>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</si>
  <si>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</si>
  <si>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</si>
  <si>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</si>
  <si>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</si>
  <si>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</si>
  <si>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</si>
  <si>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</si>
  <si>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</si>
  <si>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</si>
  <si>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</si>
  <si>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</si>
  <si>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</si>
  <si>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</si>
  <si>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</si>
  <si>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</si>
  <si>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</si>
  <si>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</si>
  <si>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</si>
  <si>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</si>
  <si>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</si>
  <si>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</si>
  <si>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</si>
  <si>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</si>
  <si>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</si>
  <si>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</si>
  <si>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</si>
  <si>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</si>
  <si>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</si>
  <si>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</si>
  <si>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</si>
  <si>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</si>
  <si>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</si>
  <si>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</si>
  <si>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</si>
  <si>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</si>
  <si>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</si>
  <si>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</si>
  <si>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</si>
  <si>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</si>
  <si>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</si>
  <si>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</si>
  <si>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</si>
  <si>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</si>
  <si>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</si>
  <si>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</si>
  <si>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</si>
  <si>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</si>
  <si>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</si>
  <si>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</si>
  <si>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</si>
  <si>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</si>
  <si>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</si>
  <si>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</si>
  <si>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</si>
  <si>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</si>
  <si>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</si>
  <si>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</si>
  <si>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</si>
  <si>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</si>
  <si>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</si>
  <si>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</si>
  <si>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</si>
  <si>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</si>
  <si>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</si>
  <si>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</si>
  <si>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</si>
  <si>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</si>
  <si>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</si>
  <si>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</si>
  <si>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</si>
  <si>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</si>
  <si>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</si>
  <si>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</si>
  <si>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</si>
  <si>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</si>
  <si>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</si>
  <si>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</si>
  <si>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</si>
  <si>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</si>
  <si>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</si>
  <si>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</si>
  <si>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</si>
  <si>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</si>
  <si>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</si>
  <si>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</si>
  <si>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</si>
  <si>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</si>
  <si>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</si>
  <si>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</si>
  <si>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</si>
  <si>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</si>
  <si>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</si>
  <si>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</si>
  <si>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</si>
  <si>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</si>
  <si>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</si>
  <si>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</si>
  <si>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</si>
  <si>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</si>
  <si>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</si>
  <si>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</si>
  <si>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</si>
  <si>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</si>
  <si>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</si>
  <si>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</si>
  <si>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</si>
  <si>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</si>
  <si>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</si>
  <si>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</si>
  <si>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</si>
  <si>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</si>
  <si>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</si>
  <si>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</si>
  <si>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</si>
  <si>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</si>
  <si>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</si>
  <si>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</si>
  <si>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</si>
  <si>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</si>
  <si>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</si>
  <si>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</si>
  <si>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</si>
  <si>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</si>
  <si>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</si>
  <si>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</si>
  <si>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</si>
  <si>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</si>
  <si>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</si>
  <si>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</si>
  <si>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</si>
  <si>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</si>
  <si>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</si>
  <si>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</si>
  <si>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</si>
  <si>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</si>
  <si>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</si>
  <si>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</si>
  <si>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</si>
  <si>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</si>
  <si>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</si>
  <si>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</si>
  <si>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</si>
  <si>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</si>
  <si>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</si>
  <si>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</si>
  <si>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</si>
  <si>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</si>
  <si>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</si>
  <si>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</si>
  <si>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</si>
  <si>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</si>
  <si>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</si>
  <si>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</si>
  <si>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</si>
  <si>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</si>
  <si>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</si>
  <si>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</si>
  <si>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</si>
  <si>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</si>
  <si>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</si>
  <si>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</si>
  <si>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</si>
  <si>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</si>
  <si>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</si>
  <si>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</si>
  <si>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</si>
  <si>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</si>
  <si>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</si>
  <si>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</si>
  <si>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</si>
  <si>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</si>
  <si>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</si>
  <si>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</si>
  <si>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</si>
  <si>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</si>
  <si>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</si>
  <si>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</si>
  <si>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</si>
  <si>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</si>
  <si>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</si>
  <si>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</si>
  <si>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</si>
  <si>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</si>
  <si>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</si>
  <si>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</si>
  <si>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</si>
  <si>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</si>
  <si>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</si>
  <si>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</si>
  <si>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</si>
  <si>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</si>
  <si>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</si>
  <si>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</si>
  <si>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</si>
  <si>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</si>
  <si>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</si>
  <si>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</si>
  <si>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</si>
  <si>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</si>
  <si>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</si>
  <si>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</si>
  <si>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</si>
  <si>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</si>
  <si>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</si>
  <si>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</si>
  <si>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</si>
  <si>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</si>
  <si>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</si>
  <si>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</si>
  <si>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</si>
  <si>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</si>
  <si>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</si>
  <si>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</si>
  <si>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</si>
  <si>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</si>
  <si>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</si>
  <si>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</si>
  <si>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</si>
  <si>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</si>
  <si>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</si>
  <si>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</si>
  <si>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</si>
  <si>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</si>
  <si>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</si>
  <si>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</si>
  <si>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</si>
  <si>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</si>
  <si>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</si>
  <si>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</si>
  <si>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</si>
  <si>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</si>
  <si>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</si>
  <si>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</si>
  <si>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</si>
  <si>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</si>
  <si>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</si>
  <si>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</si>
  <si>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</si>
  <si>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</si>
  <si>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</si>
  <si>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</si>
  <si>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</si>
  <si>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</si>
  <si>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</si>
  <si>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</si>
  <si>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</si>
  <si>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</si>
  <si>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</si>
  <si>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</si>
  <si>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</si>
  <si>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</si>
  <si>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</si>
  <si>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</si>
  <si>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</si>
  <si>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</si>
  <si>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</si>
  <si>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</si>
  <si>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</si>
  <si>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</si>
  <si>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</si>
  <si>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</si>
  <si>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</si>
  <si>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</si>
  <si>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</si>
  <si>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</si>
  <si>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</si>
  <si>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</si>
  <si>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</si>
  <si>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</si>
  <si>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</si>
  <si>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</si>
  <si>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</si>
  <si>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</si>
  <si>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</si>
  <si>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</si>
  <si>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</si>
  <si>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</si>
  <si>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</si>
  <si>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</si>
  <si>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</si>
  <si>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</si>
  <si>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</si>
  <si>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</si>
  <si>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</si>
  <si>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</si>
  <si>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</si>
  <si>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</si>
  <si>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</si>
  <si>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</si>
  <si>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</si>
  <si>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</si>
  <si>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</si>
  <si>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</si>
  <si>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</si>
  <si>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</si>
  <si>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</si>
  <si>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</si>
  <si>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</si>
  <si>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</si>
  <si>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</si>
  <si>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</si>
  <si>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</si>
  <si>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</si>
  <si>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</si>
  <si>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</si>
  <si>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</si>
  <si>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</si>
  <si>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</si>
  <si>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</si>
  <si>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</si>
  <si>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</si>
  <si>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</si>
  <si>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</si>
  <si>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</si>
  <si>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</si>
  <si>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</si>
  <si>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</si>
  <si>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</si>
  <si>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</si>
  <si>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</si>
  <si>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</si>
  <si>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</si>
  <si>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</si>
  <si>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</si>
  <si>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</si>
  <si>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</si>
  <si>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</si>
  <si>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</si>
  <si>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</si>
  <si>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</si>
  <si>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</si>
  <si>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</si>
  <si>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</si>
  <si>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</si>
  <si>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</si>
  <si>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</si>
  <si>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</si>
  <si>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</si>
  <si>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</si>
  <si>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</si>
  <si>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</si>
  <si>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</si>
  <si>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</si>
  <si>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</si>
  <si>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</si>
  <si>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</si>
  <si>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</si>
  <si>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</si>
  <si>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</si>
  <si>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</si>
  <si>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</si>
  <si>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</si>
  <si>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</si>
  <si>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</si>
  <si>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</si>
  <si>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</si>
  <si>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</si>
  <si>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</si>
  <si>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</si>
  <si>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</si>
  <si>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</si>
  <si>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</si>
  <si>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</si>
  <si>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</si>
  <si>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</si>
  <si>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</si>
  <si>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</si>
  <si>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</si>
  <si>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</si>
  <si>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</si>
  <si>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</si>
  <si>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</si>
  <si>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</si>
  <si>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</si>
  <si>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</si>
  <si>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</si>
  <si>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</si>
  <si>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</si>
  <si>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</si>
  <si>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</si>
  <si>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</si>
  <si>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</si>
  <si>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</si>
  <si>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</si>
  <si>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</si>
  <si>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</si>
  <si>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</si>
  <si>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</si>
  <si>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</si>
  <si>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</si>
  <si>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</si>
  <si>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</si>
  <si>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</si>
  <si>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</si>
  <si>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</si>
  <si>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</si>
  <si>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</si>
  <si>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</si>
  <si>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</si>
  <si>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</si>
  <si>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</si>
  <si>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</si>
  <si>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</si>
  <si>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</si>
  <si>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</si>
  <si>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</si>
  <si>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</si>
  <si>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</si>
  <si>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</si>
  <si>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</si>
  <si>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</si>
  <si>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</si>
  <si>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</si>
  <si>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</si>
  <si>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</si>
  <si>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</si>
  <si>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</si>
  <si>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</si>
  <si>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</si>
  <si>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</si>
  <si>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</si>
  <si>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</si>
  <si>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</si>
  <si>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</si>
  <si>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</si>
  <si>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</si>
  <si>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</si>
  <si>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</si>
  <si>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</si>
  <si>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</si>
  <si>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</si>
  <si>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</si>
  <si>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</si>
  <si>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</si>
  <si>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</si>
  <si>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</si>
  <si>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</si>
  <si>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</si>
  <si>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</si>
  <si>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</si>
  <si>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</si>
  <si>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</si>
  <si>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</si>
  <si>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</si>
  <si>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</si>
  <si>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</si>
  <si>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</si>
  <si>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</si>
  <si>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</si>
  <si>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</si>
  <si>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</si>
  <si>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</si>
  <si>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</si>
  <si>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</si>
  <si>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</si>
  <si>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</si>
  <si>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</si>
  <si>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</si>
  <si>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</si>
  <si>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</si>
  <si>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</si>
  <si>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</si>
  <si>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</si>
  <si>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</si>
  <si>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</si>
  <si>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</si>
  <si>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</si>
  <si>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</si>
  <si>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</si>
  <si>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</si>
  <si>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</si>
  <si>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</si>
  <si>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</si>
  <si>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</si>
  <si>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</si>
  <si>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</si>
  <si>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</si>
  <si>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</si>
  <si>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</si>
  <si>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</si>
  <si>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</si>
  <si>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</si>
  <si>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</si>
  <si>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</si>
  <si>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</si>
  <si>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</si>
  <si>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</si>
  <si>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</si>
  <si>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</si>
  <si>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</si>
  <si>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</si>
  <si>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</si>
  <si>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</si>
  <si>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</si>
  <si>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</si>
  <si>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</si>
  <si>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</si>
  <si>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</si>
  <si>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</si>
  <si>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</si>
  <si>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</si>
  <si>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</si>
  <si>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</si>
  <si>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</si>
  <si>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</si>
  <si>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</si>
  <si>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</si>
  <si>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</si>
  <si>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</si>
  <si>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</si>
  <si>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</si>
  <si>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</si>
  <si>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</si>
  <si>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</si>
  <si>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</si>
  <si>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</si>
  <si>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</si>
  <si>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</si>
  <si>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</si>
  <si>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</si>
  <si>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</si>
  <si>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</si>
  <si>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</si>
  <si>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</si>
  <si>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</si>
  <si>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</si>
  <si>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</si>
  <si>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</si>
  <si>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</si>
  <si>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</si>
  <si>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</si>
  <si>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</si>
  <si>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</si>
  <si>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</si>
  <si>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</si>
  <si>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</si>
  <si>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</si>
  <si>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</si>
  <si>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</si>
  <si>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</si>
  <si>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</si>
  <si>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</si>
  <si>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</si>
  <si>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</si>
  <si>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</si>
  <si>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</si>
  <si>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</si>
  <si>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</si>
  <si>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</si>
  <si>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</si>
  <si>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</si>
  <si>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</si>
  <si>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</si>
  <si>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</si>
  <si>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</si>
  <si>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</si>
  <si>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</si>
  <si>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</si>
  <si>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</si>
  <si>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</si>
  <si>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</si>
  <si>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</si>
  <si>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</si>
  <si>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</si>
  <si>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</si>
  <si>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</si>
  <si>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</si>
  <si>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</si>
  <si>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</si>
  <si>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</si>
  <si>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</si>
  <si>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</si>
  <si>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</si>
  <si>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</si>
  <si>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</si>
  <si>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</si>
  <si>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</si>
  <si>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</si>
  <si>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</si>
  <si>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</si>
  <si>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</si>
  <si>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</si>
  <si>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</si>
  <si>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</si>
  <si>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</si>
  <si>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</si>
  <si>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</si>
  <si>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</si>
  <si>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</si>
  <si>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</si>
  <si>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</si>
  <si>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</si>
  <si>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</si>
  <si>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</si>
  <si>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</si>
  <si>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</si>
  <si>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</si>
  <si>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</si>
  <si>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</si>
  <si>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</si>
  <si>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</si>
  <si>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</si>
  <si>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</si>
  <si>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</si>
  <si>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</si>
  <si>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</si>
  <si>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</si>
  <si>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</si>
  <si>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</si>
  <si>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</si>
  <si>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</si>
  <si>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</si>
  <si>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</si>
  <si>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</si>
  <si>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</si>
  <si>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</si>
  <si>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</si>
  <si>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</si>
  <si>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</si>
  <si>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</si>
  <si>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</si>
  <si>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</si>
  <si>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</si>
  <si>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</si>
  <si>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</si>
  <si>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</si>
  <si>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</si>
  <si>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</si>
  <si>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</si>
  <si>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</si>
  <si>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</si>
  <si>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</si>
  <si>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</si>
  <si>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</si>
  <si>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</si>
  <si>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</si>
  <si>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</si>
  <si>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</si>
  <si>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</si>
  <si>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</si>
  <si>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</si>
  <si>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</si>
  <si>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</si>
  <si>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</si>
  <si>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</si>
  <si>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</si>
  <si>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</si>
  <si>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</si>
  <si>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</si>
  <si>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</si>
  <si>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</si>
  <si>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</si>
  <si>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</si>
  <si>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</si>
  <si>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</si>
  <si>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</si>
  <si>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</si>
  <si>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</si>
  <si>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</si>
  <si>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</si>
  <si>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</si>
  <si>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</si>
  <si>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</si>
  <si>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</si>
  <si>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</si>
  <si>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</si>
  <si>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</si>
  <si>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</si>
  <si>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</si>
  <si>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</si>
  <si>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</si>
  <si>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</si>
  <si>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</si>
  <si>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</si>
  <si>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</si>
  <si>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</si>
  <si>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</si>
  <si>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</si>
  <si>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</si>
  <si>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</si>
  <si>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</si>
  <si>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</si>
  <si>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</si>
  <si>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</si>
  <si>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</si>
  <si>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</si>
  <si>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</si>
  <si>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</si>
  <si>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</si>
  <si>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</si>
  <si>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</si>
  <si>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</si>
  <si>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</si>
  <si>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</si>
  <si>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</si>
  <si>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</si>
  <si>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</si>
  <si>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</si>
  <si>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</si>
  <si>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</si>
  <si>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</si>
  <si>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</si>
  <si>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</si>
  <si>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</si>
  <si>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</si>
  <si>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</si>
  <si>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</si>
  <si>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</si>
  <si>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</si>
  <si>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</si>
  <si>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</si>
  <si>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</si>
  <si>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</si>
  <si>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</si>
  <si>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</si>
  <si>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</si>
  <si>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</si>
  <si>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</si>
  <si>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</si>
  <si>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</si>
  <si>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</si>
  <si>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</si>
  <si>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</si>
  <si>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</si>
  <si>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</si>
  <si>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</si>
  <si>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</si>
  <si>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</si>
  <si>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</si>
  <si>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</si>
  <si>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</si>
  <si>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</si>
  <si>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</si>
  <si>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</si>
  <si>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</si>
  <si>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</si>
  <si>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</si>
  <si>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</si>
  <si>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</si>
  <si>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</si>
  <si>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</si>
  <si>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</si>
  <si>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</si>
  <si>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</si>
  <si>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</si>
  <si>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</si>
  <si>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</si>
  <si>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</si>
  <si>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</si>
  <si>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</si>
  <si>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</si>
  <si>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</si>
  <si>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</si>
  <si>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</si>
  <si>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</si>
  <si>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</si>
  <si>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</si>
  <si>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</si>
  <si>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</si>
  <si>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</si>
  <si>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</si>
  <si>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</si>
  <si>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</si>
  <si>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</si>
  <si>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</si>
  <si>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</si>
  <si>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</si>
  <si>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</si>
  <si>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</si>
  <si>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</si>
  <si>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</si>
  <si>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</si>
  <si>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</si>
  <si>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</si>
  <si>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</si>
  <si>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</si>
  <si>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</si>
  <si>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</si>
  <si>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</si>
  <si>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</si>
  <si>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</si>
  <si>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</si>
  <si>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</si>
  <si>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</si>
  <si>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</si>
  <si>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</si>
  <si>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</si>
  <si>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</si>
  <si>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</si>
  <si>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</si>
  <si>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</si>
  <si>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</si>
  <si>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</si>
  <si>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</si>
  <si>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</si>
  <si>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</si>
  <si>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</si>
  <si>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</si>
  <si>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</si>
  <si>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</si>
  <si>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</si>
  <si>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</si>
  <si>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</si>
  <si>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</si>
  <si>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</si>
  <si>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</si>
  <si>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</si>
  <si>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</si>
  <si>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</si>
  <si>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</si>
  <si>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</si>
  <si>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</si>
  <si>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</si>
  <si>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</si>
  <si>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</si>
  <si>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</si>
  <si>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</si>
  <si>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</si>
  <si>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</si>
  <si>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</si>
  <si>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</si>
  <si>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</si>
  <si>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</si>
  <si>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</si>
  <si>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</si>
  <si>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</si>
  <si>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</si>
  <si>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</si>
  <si>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</si>
  <si>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</si>
  <si>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</si>
  <si>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</si>
  <si>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</si>
  <si>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</si>
  <si>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</si>
  <si>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</si>
  <si>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</si>
  <si>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</si>
  <si>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</si>
  <si>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</si>
  <si>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</si>
  <si>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</si>
  <si>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</si>
  <si>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</si>
  <si>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</si>
  <si>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</si>
  <si>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</si>
  <si>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</si>
  <si>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</si>
  <si>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</si>
  <si>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</si>
  <si>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</si>
  <si>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</si>
  <si>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</si>
  <si>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</si>
  <si>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</si>
  <si>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</si>
  <si>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</si>
  <si>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</si>
  <si>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</si>
  <si>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</si>
  <si>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</si>
  <si>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</si>
  <si>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</si>
  <si>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</si>
  <si>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</si>
  <si>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</si>
  <si>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</si>
  <si>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</si>
  <si>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</si>
  <si>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</si>
  <si>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</si>
  <si>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</si>
  <si>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</si>
  <si>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</si>
  <si>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</si>
  <si>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</si>
  <si>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</si>
  <si>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</si>
  <si>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</si>
  <si>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</si>
  <si>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</si>
  <si>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</si>
  <si>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</si>
  <si>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</si>
  <si>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</si>
  <si>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</si>
  <si>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</si>
  <si>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</si>
  <si>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</si>
  <si>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</si>
  <si>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</si>
  <si>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</si>
  <si>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</si>
  <si>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</si>
  <si>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</si>
  <si>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</si>
  <si>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</si>
  <si>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</si>
  <si>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</si>
  <si>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</si>
  <si>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</si>
  <si>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</si>
  <si>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</si>
  <si>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</si>
  <si>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</si>
  <si>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</si>
  <si>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</si>
  <si>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</si>
  <si>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</si>
  <si>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</si>
  <si>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</si>
  <si>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</si>
  <si>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</si>
  <si>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</si>
  <si>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</si>
  <si>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</si>
  <si>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</si>
  <si>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</si>
  <si>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</si>
  <si>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</si>
  <si>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</si>
  <si>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</si>
  <si>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</si>
  <si>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</si>
  <si>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</si>
  <si>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</si>
  <si>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</si>
  <si>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</si>
  <si>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</si>
  <si>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</si>
  <si>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</si>
  <si>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</si>
  <si>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</si>
  <si>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</si>
  <si>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</si>
  <si>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</si>
  <si>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</si>
  <si>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</si>
  <si>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</si>
  <si>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</si>
  <si>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</si>
  <si>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</si>
  <si>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</si>
  <si>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</si>
  <si>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</si>
  <si>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</si>
  <si>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</si>
  <si>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</si>
  <si>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</si>
  <si>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</si>
  <si>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</si>
  <si>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</si>
  <si>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</si>
  <si>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</si>
  <si>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</si>
  <si>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</si>
  <si>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</si>
  <si>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</si>
  <si>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</si>
  <si>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</si>
  <si>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</si>
  <si>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</si>
  <si>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</si>
  <si>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</si>
  <si>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</si>
  <si>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</si>
  <si>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</si>
  <si>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</si>
  <si>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</si>
  <si>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</si>
  <si>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</si>
  <si>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</si>
  <si>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</si>
  <si>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</si>
  <si>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</si>
  <si>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</si>
  <si>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</si>
  <si>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</si>
  <si>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</si>
  <si>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</si>
  <si>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</si>
  <si>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</si>
  <si>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</si>
  <si>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</si>
  <si>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</si>
  <si>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</si>
  <si>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</si>
  <si>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</si>
  <si>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</si>
  <si>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</si>
  <si>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</si>
  <si>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</si>
  <si>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</si>
  <si>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</si>
  <si>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</si>
  <si>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</si>
  <si>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</si>
  <si>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</si>
  <si>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</si>
  <si>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</si>
  <si>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</si>
  <si>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</si>
  <si>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</si>
  <si>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</si>
  <si>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</si>
  <si>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</si>
  <si>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</si>
  <si>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</si>
  <si>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</si>
  <si>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</si>
  <si>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</si>
  <si>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</si>
  <si>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</si>
  <si>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</si>
  <si>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</si>
  <si>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</si>
  <si>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</si>
  <si>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</si>
  <si>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</si>
  <si>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</si>
  <si>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</si>
  <si>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</si>
  <si>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</si>
  <si>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</si>
  <si>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</si>
  <si>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</si>
  <si>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</si>
  <si>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</si>
  <si>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</si>
  <si>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</si>
  <si>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</si>
  <si>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</si>
  <si>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</si>
  <si>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</si>
  <si>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</si>
  <si>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</si>
  <si>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</si>
  <si>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</si>
  <si>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</si>
  <si>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</si>
  <si>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</si>
  <si>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</si>
  <si>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</si>
  <si>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</si>
  <si>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</si>
  <si>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</si>
  <si>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</si>
  <si>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</si>
  <si>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</si>
  <si>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</si>
  <si>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</si>
  <si>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</si>
  <si>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</si>
  <si>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</si>
  <si>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</si>
  <si>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</si>
  <si>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</si>
  <si>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</si>
  <si>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</si>
  <si>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</si>
  <si>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</si>
  <si>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</si>
  <si>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</si>
  <si>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</si>
  <si>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</si>
  <si>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</si>
  <si>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</si>
  <si>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</si>
  <si>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</si>
  <si>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</si>
  <si>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</si>
  <si>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</si>
  <si>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</si>
  <si>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</si>
  <si>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</si>
  <si>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</si>
  <si>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</si>
  <si>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</si>
  <si>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</si>
  <si>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</si>
  <si>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</si>
  <si>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</si>
  <si>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</si>
  <si>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</si>
  <si>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</si>
  <si>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</si>
  <si>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</si>
  <si>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</si>
  <si>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</si>
  <si>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</si>
  <si>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</si>
  <si>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</si>
  <si>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</si>
  <si>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</si>
  <si>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</si>
  <si>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</si>
  <si>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</si>
  <si>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</si>
  <si>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</si>
  <si>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</si>
  <si>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</si>
  <si>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</si>
  <si>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</si>
  <si>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</si>
  <si>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</si>
  <si>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</si>
  <si>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</si>
  <si>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</si>
  <si>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</si>
  <si>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</si>
  <si>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</si>
  <si>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</si>
  <si>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</si>
  <si>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</si>
  <si>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</si>
  <si>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</si>
  <si>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</si>
  <si>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</si>
  <si>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</si>
  <si>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</si>
  <si>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</si>
  <si>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</si>
  <si>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</si>
  <si>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</si>
  <si>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</si>
  <si>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</si>
  <si>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</si>
  <si>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</si>
  <si>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</si>
  <si>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</si>
  <si>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</si>
  <si>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</si>
  <si>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</si>
  <si>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</si>
  <si>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</si>
  <si>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</si>
  <si>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</si>
  <si>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</si>
  <si>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</si>
  <si>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</si>
  <si>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</si>
  <si>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</si>
  <si>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</si>
  <si>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</si>
  <si>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</si>
  <si>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</si>
  <si>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</si>
  <si>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</si>
  <si>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</si>
  <si>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</si>
  <si>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</si>
  <si>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</si>
  <si>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</si>
  <si>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</si>
  <si>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</si>
  <si>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</si>
  <si>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</si>
  <si>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</si>
  <si>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</si>
  <si>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</si>
  <si>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</si>
  <si>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</si>
  <si>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</si>
  <si>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</si>
  <si>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</si>
  <si>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</si>
  <si>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</si>
  <si>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</si>
  <si>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</si>
  <si>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</si>
  <si>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</si>
  <si>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</si>
  <si>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</si>
  <si>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</si>
  <si>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</si>
  <si>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</si>
  <si>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</si>
  <si>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</si>
  <si>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</si>
  <si>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</si>
  <si>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</si>
  <si>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</si>
  <si>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</si>
  <si>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</si>
  <si>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</si>
  <si>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</si>
  <si>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</si>
  <si>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</si>
  <si>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</si>
  <si>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</si>
  <si>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</si>
  <si>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</si>
  <si>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</si>
  <si>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</si>
  <si>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</si>
  <si>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</si>
  <si>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</si>
  <si>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</si>
  <si>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</si>
  <si>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</si>
  <si>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</si>
  <si>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</si>
  <si>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</si>
  <si>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</si>
  <si>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</si>
  <si>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</si>
  <si>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</si>
  <si>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</si>
  <si>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</si>
  <si>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</si>
  <si>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</si>
  <si>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</si>
  <si>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</si>
  <si>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</si>
  <si>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</si>
  <si>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</si>
  <si>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</si>
  <si>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</si>
  <si>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</si>
  <si>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</si>
  <si>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</si>
  <si>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</si>
  <si>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</si>
  <si>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</si>
  <si>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</si>
  <si>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</si>
  <si>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</si>
  <si>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</si>
  <si>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</si>
  <si>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</si>
  <si>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</si>
  <si>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</si>
  <si>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</si>
  <si>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</si>
  <si>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</si>
  <si>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</si>
  <si>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</si>
  <si>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</si>
  <si>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</si>
  <si>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</si>
  <si>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</si>
  <si>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</si>
  <si>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</si>
  <si>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</si>
  <si>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</si>
  <si>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</si>
  <si>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</si>
  <si>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</si>
  <si>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</si>
  <si>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</si>
  <si>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</si>
  <si>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</si>
  <si>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</si>
  <si>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</si>
  <si>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</si>
  <si>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</si>
  <si>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</si>
  <si>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</si>
  <si>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</si>
  <si>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</si>
  <si>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</si>
  <si>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</si>
  <si>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</si>
  <si>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</si>
  <si>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</si>
  <si>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</si>
  <si>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</si>
  <si>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</si>
  <si>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</si>
  <si>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</si>
  <si>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</si>
  <si>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</si>
  <si>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</si>
  <si>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</si>
  <si>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</si>
  <si>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</si>
  <si>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</si>
  <si>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</si>
  <si>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</si>
  <si>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</si>
  <si>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</si>
  <si>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</si>
  <si>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</si>
  <si>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</si>
  <si>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</si>
  <si>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</si>
  <si>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</si>
  <si>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</si>
  <si>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</si>
  <si>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</si>
  <si>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</si>
  <si>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</si>
  <si>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</si>
  <si>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</si>
  <si>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</si>
  <si>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</si>
  <si>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</si>
  <si>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</si>
  <si>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</si>
  <si>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</si>
  <si>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</si>
  <si>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</si>
  <si>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</si>
  <si>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</si>
  <si>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</si>
  <si>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</si>
  <si>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</si>
  <si>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</si>
  <si>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</si>
  <si>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</si>
  <si>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</si>
  <si>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</si>
  <si>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</si>
  <si>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</si>
  <si>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</si>
  <si>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</si>
  <si>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</si>
  <si>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</si>
  <si>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</si>
  <si>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</si>
  <si>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</si>
  <si>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</si>
  <si>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</si>
  <si>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</si>
  <si>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</si>
  <si>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</si>
  <si>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</si>
  <si>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</si>
  <si>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</si>
  <si>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</si>
  <si>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</si>
  <si>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</si>
  <si>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</si>
  <si>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</si>
  <si>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</si>
  <si>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</si>
  <si>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</si>
  <si>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</si>
  <si>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</si>
  <si>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</si>
  <si>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</si>
  <si>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</si>
  <si>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</si>
  <si>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</si>
  <si>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</si>
  <si>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</si>
  <si>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</si>
  <si>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</si>
  <si>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</si>
  <si>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</si>
  <si>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</si>
  <si>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</si>
  <si>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</si>
  <si>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</si>
  <si>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</si>
  <si>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</si>
  <si>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</si>
  <si>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</si>
  <si>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</si>
  <si>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</si>
  <si>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</si>
  <si>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</si>
  <si>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</si>
  <si>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</si>
  <si>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</si>
  <si>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</si>
  <si>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</si>
  <si>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</si>
  <si>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</si>
  <si>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</si>
  <si>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</si>
  <si>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</si>
  <si>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</si>
  <si>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</si>
  <si>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</si>
  <si>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</si>
  <si>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</si>
  <si>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</si>
  <si>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</si>
  <si>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</si>
  <si>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</si>
  <si>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</si>
  <si>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</si>
  <si>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</si>
  <si>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</si>
  <si>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</si>
  <si>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</si>
  <si>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</si>
  <si>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</si>
  <si>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</si>
  <si>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</si>
  <si>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</si>
  <si>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</si>
  <si>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</si>
  <si>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</si>
  <si>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</si>
  <si>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</si>
  <si>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</si>
  <si>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</si>
  <si>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</si>
  <si>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</si>
  <si>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</si>
  <si>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</si>
  <si>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</si>
  <si>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</si>
  <si>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</si>
  <si>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</si>
  <si>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</si>
  <si>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</si>
  <si>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</si>
  <si>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</si>
  <si>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</si>
  <si>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</si>
  <si>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</si>
  <si>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</si>
  <si>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</si>
  <si>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</si>
  <si>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</si>
  <si>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</si>
  <si>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</si>
  <si>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</si>
  <si>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</si>
  <si>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</si>
  <si>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</si>
  <si>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</si>
  <si>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</si>
  <si>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</si>
  <si>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</si>
  <si>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</si>
  <si>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</si>
  <si>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</si>
  <si>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</si>
  <si>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</si>
  <si>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</si>
  <si>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</si>
  <si>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</si>
  <si>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</si>
  <si>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</si>
  <si>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</si>
  <si>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</si>
  <si>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</si>
  <si>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</si>
  <si>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</si>
  <si>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</si>
  <si>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</si>
  <si>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</si>
  <si>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</si>
  <si>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</si>
  <si>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</si>
  <si>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</si>
  <si>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</si>
  <si>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</si>
  <si>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</si>
  <si>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</si>
  <si>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</si>
  <si>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</si>
  <si>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</si>
  <si>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</si>
  <si>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</si>
  <si>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</si>
  <si>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</si>
  <si>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</si>
  <si>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</si>
  <si>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</si>
  <si>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</si>
  <si>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</si>
  <si>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</si>
  <si>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</si>
  <si>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</si>
  <si>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</si>
  <si>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</si>
  <si>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</si>
  <si>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</si>
  <si>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</si>
  <si>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</si>
  <si>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</si>
  <si>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</si>
  <si>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</si>
  <si>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</si>
  <si>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</si>
  <si>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</si>
  <si>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</si>
  <si>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</si>
  <si>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</si>
  <si>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</si>
  <si>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</si>
  <si>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</si>
  <si>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</si>
  <si>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</si>
  <si>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</si>
  <si>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</si>
  <si>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</si>
  <si>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</si>
  <si>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</si>
  <si>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</si>
  <si>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</si>
  <si>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</si>
  <si>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</si>
  <si>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</si>
  <si>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</si>
  <si>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</si>
  <si>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</si>
  <si>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</si>
  <si>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</si>
  <si>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</si>
  <si>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</si>
  <si>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</si>
  <si>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</si>
  <si>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</si>
  <si>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</si>
  <si>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</si>
  <si>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</si>
  <si>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</si>
  <si>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</si>
  <si>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</si>
  <si>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</si>
  <si>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</si>
  <si>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</si>
  <si>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</si>
  <si>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</si>
  <si>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</si>
  <si>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</si>
  <si>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</si>
  <si>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</si>
  <si>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</si>
  <si>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</si>
  <si>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</si>
  <si>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</si>
  <si>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</si>
  <si>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</si>
  <si>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</si>
  <si>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</si>
  <si>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</si>
  <si>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</si>
  <si>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</si>
  <si>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</si>
  <si>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</si>
  <si>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</si>
  <si>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</si>
  <si>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</si>
  <si>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</si>
  <si>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</si>
  <si>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</si>
  <si>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</si>
  <si>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</si>
  <si>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</si>
  <si>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</si>
  <si>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</si>
  <si>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</si>
  <si>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</si>
  <si>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</si>
  <si>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</si>
  <si>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</si>
  <si>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</si>
  <si>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</si>
  <si>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</si>
  <si>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</si>
  <si>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</si>
  <si>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</si>
  <si>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</si>
  <si>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</si>
  <si>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</si>
  <si>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</si>
  <si>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</si>
  <si>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</si>
  <si>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</si>
  <si>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</si>
  <si>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</si>
  <si>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</si>
  <si>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</si>
  <si>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</si>
  <si>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</si>
  <si>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</si>
  <si>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</si>
  <si>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</si>
  <si>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</si>
  <si>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</si>
  <si>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</si>
  <si>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</si>
  <si>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</si>
  <si>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</si>
  <si>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</si>
  <si>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</si>
  <si>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</si>
  <si>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</si>
  <si>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</si>
  <si>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</si>
  <si>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</si>
  <si>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</si>
  <si>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</si>
  <si>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</si>
  <si>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</si>
  <si>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</si>
  <si>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</si>
  <si>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</si>
  <si>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</si>
  <si>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</si>
  <si>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</si>
  <si>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</si>
  <si>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</si>
  <si>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</si>
  <si>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</si>
  <si>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</si>
  <si>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</si>
  <si>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</si>
  <si>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</si>
  <si>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</si>
  <si>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</si>
  <si>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</si>
  <si>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</si>
  <si>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</si>
  <si>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</si>
  <si>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</si>
  <si>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</si>
  <si>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</si>
  <si>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</si>
  <si>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</si>
  <si>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</si>
  <si>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</si>
  <si>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</si>
  <si>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</si>
  <si>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</si>
  <si>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</si>
  <si>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</si>
  <si>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</si>
  <si>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</si>
  <si>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</si>
  <si>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</si>
  <si>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</si>
  <si>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</si>
  <si>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</si>
  <si>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</si>
  <si>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</si>
  <si>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</si>
  <si>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</si>
  <si>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</si>
  <si>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</si>
  <si>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</si>
  <si>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</si>
  <si>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</si>
  <si>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</si>
  <si>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</si>
  <si>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</si>
  <si>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</si>
  <si>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</si>
  <si>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</si>
  <si>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</si>
  <si>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</si>
  <si>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</si>
  <si>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</si>
  <si>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</si>
  <si>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</si>
  <si>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</si>
  <si>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</si>
  <si>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</si>
  <si>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</si>
  <si>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</si>
  <si>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</si>
  <si>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</si>
  <si>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</si>
  <si>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</si>
  <si>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</si>
  <si>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</si>
  <si>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</si>
  <si>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</si>
  <si>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</si>
  <si>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</si>
  <si>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</si>
  <si>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</si>
  <si>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</si>
  <si>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</si>
  <si>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</si>
  <si>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</si>
  <si>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</si>
  <si>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</si>
  <si>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</si>
  <si>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</si>
  <si>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</si>
  <si>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</si>
  <si>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</si>
  <si>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</si>
  <si>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</si>
  <si>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</si>
  <si>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</si>
  <si>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</si>
  <si>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</si>
  <si>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</si>
  <si>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</si>
  <si>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</si>
  <si>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</si>
  <si>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</si>
  <si>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</si>
  <si>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</si>
  <si>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</si>
  <si>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</si>
  <si>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</si>
  <si>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</si>
  <si>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</si>
  <si>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</si>
  <si>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</si>
  <si>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</si>
  <si>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</si>
  <si>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</si>
  <si>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</si>
  <si>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</si>
  <si>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</si>
  <si>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</si>
  <si>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</si>
  <si>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</si>
  <si>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</si>
  <si>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</si>
  <si>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</si>
  <si>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</si>
  <si>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</si>
  <si>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</si>
  <si>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</si>
  <si>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</si>
  <si>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</si>
  <si>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</si>
  <si>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</si>
  <si>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</si>
  <si>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</si>
  <si>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</si>
  <si>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</si>
  <si>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</si>
  <si>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</si>
  <si>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</si>
  <si>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</si>
  <si>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</si>
  <si>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</si>
  <si>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</si>
  <si>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</si>
  <si>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</si>
  <si>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</si>
  <si>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</si>
  <si>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</si>
  <si>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</si>
  <si>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</si>
  <si>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</si>
  <si>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</si>
  <si>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</si>
  <si>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</si>
  <si>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</si>
  <si>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</si>
  <si>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</si>
  <si>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</si>
  <si>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</si>
  <si>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</si>
  <si>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</si>
  <si>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</si>
  <si>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</si>
  <si>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</si>
  <si>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</si>
  <si>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</si>
  <si>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</si>
  <si>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</si>
  <si>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</si>
  <si>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</si>
  <si>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</si>
  <si>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</si>
  <si>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</si>
  <si>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</si>
  <si>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</si>
  <si>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</si>
  <si>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</si>
  <si>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</si>
  <si>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</si>
  <si>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</si>
  <si>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</si>
  <si>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</si>
  <si>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</si>
  <si>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</si>
  <si>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</si>
  <si>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</si>
  <si>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</si>
  <si>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</si>
  <si>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</si>
  <si>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</si>
  <si>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</si>
  <si>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</si>
  <si>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</si>
  <si>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</si>
  <si>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</si>
  <si>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</si>
  <si>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</si>
  <si>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</si>
  <si>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</si>
  <si>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</si>
  <si>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</si>
  <si>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</si>
  <si>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</si>
  <si>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</si>
  <si>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</si>
  <si>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</si>
  <si>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</si>
  <si>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</si>
  <si>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</si>
  <si>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</si>
  <si>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</si>
  <si>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</si>
  <si>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</si>
  <si>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</si>
  <si>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</si>
  <si>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</si>
  <si>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</si>
  <si>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</si>
  <si>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</si>
  <si>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</si>
  <si>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</si>
  <si>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</si>
  <si>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</si>
  <si>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</si>
  <si>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</si>
  <si>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</si>
  <si>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</si>
  <si>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</si>
  <si>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</si>
  <si>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</si>
  <si>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</si>
  <si>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</si>
  <si>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</si>
  <si>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</si>
  <si>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</si>
  <si>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</si>
  <si>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</si>
  <si>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</si>
  <si>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</si>
  <si>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</si>
  <si>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</si>
  <si>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</si>
  <si>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</si>
  <si>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</si>
  <si>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</si>
  <si>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</si>
  <si>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</si>
  <si>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</si>
  <si>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</si>
  <si>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</si>
  <si>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</si>
  <si>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</si>
  <si>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</si>
  <si>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</si>
  <si>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</si>
  <si>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</si>
  <si>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</si>
  <si>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</si>
  <si>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</si>
  <si>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</si>
  <si>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</si>
  <si>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</si>
  <si>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</si>
  <si>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</si>
  <si>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</si>
  <si>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</si>
  <si>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</si>
  <si>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</si>
  <si>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</si>
  <si>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</si>
  <si>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</si>
  <si>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</si>
  <si>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</si>
  <si>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</si>
  <si>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</si>
  <si>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</si>
  <si>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</si>
  <si>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</si>
  <si>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</si>
  <si>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</si>
  <si>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</si>
  <si>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</si>
  <si>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</si>
  <si>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</si>
  <si>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</si>
  <si>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</si>
  <si>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</si>
  <si>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</si>
  <si>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</si>
  <si>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</si>
  <si>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</si>
  <si>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</si>
  <si>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</si>
  <si>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</si>
  <si>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</si>
  <si>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</si>
  <si>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</si>
  <si>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</si>
  <si>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</si>
  <si>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</si>
  <si>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</si>
  <si>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</si>
  <si>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</si>
  <si>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</si>
  <si>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</si>
  <si>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</si>
  <si>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</si>
  <si>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</si>
  <si>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</si>
  <si>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</si>
  <si>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</si>
  <si>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</si>
  <si>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</si>
  <si>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</si>
  <si>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</si>
  <si>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</si>
  <si>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</si>
  <si>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</si>
  <si>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</si>
  <si>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</si>
  <si>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</si>
  <si>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</si>
  <si>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</si>
  <si>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</si>
  <si>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</si>
  <si>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</si>
  <si>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</si>
  <si>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</si>
  <si>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</si>
  <si>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</si>
  <si>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</si>
  <si>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</si>
  <si>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</si>
  <si>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</si>
  <si>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</si>
  <si>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</si>
  <si>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</si>
  <si>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</si>
  <si>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</si>
  <si>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</si>
  <si>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</si>
  <si>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</si>
  <si>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</si>
  <si>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</si>
  <si>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</si>
  <si>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</si>
  <si>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</si>
  <si>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</si>
  <si>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</si>
  <si>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</si>
  <si>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</si>
  <si>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</si>
  <si>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</si>
  <si>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</si>
  <si>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</si>
  <si>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</si>
  <si>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</si>
  <si>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</si>
  <si>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</si>
  <si>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</si>
  <si>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</si>
  <si>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</si>
  <si>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</si>
  <si>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</si>
  <si>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</si>
  <si>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</si>
  <si>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</si>
  <si>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</si>
  <si>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</si>
  <si>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</si>
  <si>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</si>
  <si>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</si>
  <si>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</si>
  <si>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</si>
  <si>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</si>
  <si>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</si>
  <si>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</si>
  <si>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</si>
  <si>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</si>
  <si>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</si>
  <si>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</si>
  <si>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</si>
  <si>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</si>
  <si>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</si>
  <si>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</si>
  <si>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</si>
  <si>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</si>
  <si>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</si>
  <si>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</si>
  <si>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</si>
  <si>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</si>
  <si>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</si>
  <si>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</si>
  <si>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</si>
  <si>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</si>
  <si>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</si>
  <si>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</si>
  <si>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</si>
  <si>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</si>
  <si>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</si>
  <si>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</si>
  <si>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</si>
  <si>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</si>
  <si>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</si>
  <si>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</si>
  <si>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</si>
  <si>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</si>
  <si>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</si>
  <si>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</si>
  <si>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</si>
  <si>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</si>
  <si>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</si>
  <si>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</si>
  <si>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</si>
  <si>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</si>
  <si>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</si>
  <si>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</si>
  <si>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</si>
  <si>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</si>
  <si>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</si>
  <si>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</si>
  <si>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</si>
  <si>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</si>
  <si>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</si>
  <si>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</si>
  <si>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</si>
  <si>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</si>
  <si>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</si>
  <si>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</si>
  <si>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</si>
  <si>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</si>
  <si>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</si>
  <si>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</si>
  <si>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</si>
  <si>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</si>
  <si>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</si>
  <si>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</si>
  <si>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</si>
  <si>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</si>
  <si>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</si>
  <si>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</si>
  <si>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</si>
  <si>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</si>
  <si>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</si>
  <si>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</si>
  <si>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</si>
  <si>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</si>
  <si>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</si>
  <si>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</si>
  <si>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</si>
  <si>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</si>
  <si>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</si>
  <si>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</si>
  <si>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</si>
  <si>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</si>
  <si>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</si>
  <si>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</si>
  <si>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</si>
  <si>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</si>
  <si>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</si>
  <si>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</si>
  <si>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</si>
  <si>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</si>
  <si>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</si>
  <si>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</si>
  <si>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</si>
  <si>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</si>
  <si>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</si>
  <si>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</si>
  <si>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</si>
  <si>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</si>
  <si>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</si>
  <si>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</si>
  <si>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</si>
  <si>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</si>
  <si>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</si>
  <si>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</si>
  <si>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</si>
  <si>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</si>
  <si>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</si>
  <si>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</si>
  <si>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</si>
  <si>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</si>
  <si>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</si>
  <si>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</si>
  <si>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</si>
  <si>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</si>
  <si>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</si>
  <si>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</si>
  <si>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</si>
  <si>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</si>
  <si>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</si>
  <si>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</si>
  <si>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</si>
  <si>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</si>
  <si>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</si>
  <si>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</si>
  <si>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</si>
  <si>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</si>
  <si>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</si>
  <si>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</si>
  <si>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</si>
  <si>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</si>
  <si>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</si>
  <si>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</si>
  <si>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</si>
  <si>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</si>
  <si>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</si>
  <si>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</si>
  <si>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G000001130</t>
  </si>
  <si>
    <t>KR03GPO001</t>
  </si>
  <si>
    <t>G000000093</t>
  </si>
  <si>
    <t>KR03GLE003</t>
  </si>
  <si>
    <t>KR03GLE004</t>
  </si>
  <si>
    <t>KR03GLE005</t>
  </si>
  <si>
    <t>G000000103</t>
  </si>
  <si>
    <t>KR03GSQ013</t>
  </si>
  <si>
    <t>KR03GHR119</t>
  </si>
  <si>
    <t>G000001227</t>
  </si>
  <si>
    <t>KR03GHR019</t>
  </si>
  <si>
    <t>G000000145</t>
  </si>
  <si>
    <t>KR03GIN000</t>
  </si>
  <si>
    <t>KR03GIN002</t>
  </si>
  <si>
    <t>KR03GIN003</t>
  </si>
  <si>
    <t>KR03GIN004</t>
  </si>
  <si>
    <t>KR03GST001</t>
  </si>
  <si>
    <t>G000000165</t>
  </si>
  <si>
    <t>KR03GIC001</t>
  </si>
  <si>
    <t>G000000179</t>
  </si>
  <si>
    <t>KR03L30000</t>
  </si>
  <si>
    <t>KR03GBT001</t>
  </si>
  <si>
    <t>KR03GIS001</t>
  </si>
  <si>
    <t>KR03GIS002</t>
  </si>
  <si>
    <t>KR03GIS003</t>
  </si>
  <si>
    <t>KR03GIS005</t>
  </si>
  <si>
    <t>KR03GIS006</t>
  </si>
  <si>
    <t>KR03GIS007</t>
  </si>
  <si>
    <t>KR03GIS008</t>
  </si>
  <si>
    <t>KR03GIS010</t>
  </si>
  <si>
    <t>KR03GIS011</t>
  </si>
  <si>
    <t>KR03GIS012</t>
  </si>
  <si>
    <t>KR03GIS013</t>
  </si>
  <si>
    <t>KR03GIS014</t>
  </si>
  <si>
    <t>KR03GIS015</t>
  </si>
  <si>
    <t>KR03GIS016</t>
  </si>
  <si>
    <t>KR03GIS017</t>
  </si>
  <si>
    <t>KR03GBT002</t>
  </si>
  <si>
    <t>KR03Z03500</t>
  </si>
  <si>
    <t>KR03GBT003</t>
  </si>
  <si>
    <t>KR03GIT01B</t>
  </si>
  <si>
    <t>KR03GIT11B</t>
  </si>
  <si>
    <t>KR03GIT01D</t>
  </si>
  <si>
    <t>G000000291</t>
  </si>
  <si>
    <t>KR03GIS004</t>
  </si>
  <si>
    <t>KR03GIT21B</t>
  </si>
  <si>
    <t>G000000042</t>
  </si>
  <si>
    <t>KR03Z02152</t>
  </si>
  <si>
    <t>G000000635</t>
  </si>
  <si>
    <t>KR03GFO018</t>
  </si>
  <si>
    <t>KR03GFO019</t>
  </si>
  <si>
    <t>KR03GBT004</t>
  </si>
  <si>
    <t>G000000189</t>
  </si>
  <si>
    <t>KR03Y90002</t>
  </si>
  <si>
    <t>KR03GM1000</t>
  </si>
  <si>
    <t>G000000705</t>
  </si>
  <si>
    <t>KR03Y88930</t>
  </si>
  <si>
    <t>G000000199</t>
  </si>
  <si>
    <t>KR03Y90001</t>
  </si>
  <si>
    <t>KR03Y90005</t>
  </si>
  <si>
    <t>KR03GHR118</t>
  </si>
  <si>
    <t>G000000200</t>
  </si>
  <si>
    <t>KR03L80002</t>
  </si>
  <si>
    <t>G000000218</t>
  </si>
  <si>
    <t>KR03Y90003</t>
  </si>
  <si>
    <t>KR03GM8000</t>
  </si>
  <si>
    <t>G000001180</t>
  </si>
  <si>
    <t>KR03Y90004</t>
  </si>
  <si>
    <t>G000001181</t>
  </si>
  <si>
    <t>KR03GMB020</t>
  </si>
  <si>
    <t>KR03Z03102</t>
  </si>
  <si>
    <t>G000000556</t>
  </si>
  <si>
    <t>KR03TPPZ01</t>
  </si>
  <si>
    <t>KR03TPPZ03</t>
  </si>
  <si>
    <t>KR03TKPZ00</t>
  </si>
  <si>
    <t>KR03C00401</t>
  </si>
  <si>
    <t>P000001169</t>
  </si>
  <si>
    <t>KR03C00406</t>
  </si>
  <si>
    <t>KR03C00410</t>
  </si>
  <si>
    <t>KR03TNPZ02</t>
  </si>
  <si>
    <t>KR03TAPC01</t>
  </si>
  <si>
    <t>KR03TAPB02</t>
  </si>
  <si>
    <t>KR03TAPA00</t>
  </si>
  <si>
    <t>KR03TAPB00</t>
  </si>
  <si>
    <t>KR03TAPB99</t>
  </si>
  <si>
    <t>KR03TAPC00</t>
  </si>
  <si>
    <t>KR03TAPA01</t>
  </si>
  <si>
    <t>KR03TAPA02</t>
  </si>
  <si>
    <t>KR03TAPA04</t>
  </si>
  <si>
    <t>KR03TAPA99</t>
  </si>
  <si>
    <t>KR03TAPB01</t>
  </si>
  <si>
    <t>KR03TAPZ01</t>
  </si>
  <si>
    <t>KR03TAPZ02</t>
  </si>
  <si>
    <t>KR03TAPZ03</t>
  </si>
  <si>
    <t>KR03TAPA03</t>
  </si>
  <si>
    <t>KR03TPPZ02</t>
  </si>
  <si>
    <t>KR03TCPZ02</t>
  </si>
  <si>
    <t>KR03TCPZ01</t>
  </si>
  <si>
    <t>KR03TDPZ01</t>
  </si>
  <si>
    <t>KR03TEPZ01</t>
  </si>
  <si>
    <t>KR03TFPZ01</t>
  </si>
  <si>
    <t>KR03TFPZ02</t>
  </si>
  <si>
    <t>KR03TFPZ03</t>
  </si>
  <si>
    <t>KR03TLPZ01</t>
  </si>
  <si>
    <t>KR03TLPZ02</t>
  </si>
  <si>
    <t>KR03C00104</t>
  </si>
  <si>
    <t>KR03C00308</t>
  </si>
  <si>
    <t>KR03TQPZ01</t>
  </si>
  <si>
    <t>KR03TBPZ03</t>
  </si>
  <si>
    <t>KR03OF0502</t>
  </si>
  <si>
    <t>KR03TBPZ02</t>
  </si>
  <si>
    <t>KR03TBPZ01</t>
  </si>
  <si>
    <t>KR03TAPB03</t>
  </si>
  <si>
    <t>KR03TOPZ01</t>
  </si>
  <si>
    <t>KR03C00112</t>
  </si>
  <si>
    <t>KR03R00102</t>
  </si>
  <si>
    <t>KR03C00103</t>
  </si>
  <si>
    <t>KR03C00301</t>
  </si>
  <si>
    <t>KR03C00105</t>
  </si>
  <si>
    <t>KR03C00101</t>
  </si>
  <si>
    <t>KR03C00302</t>
  </si>
  <si>
    <t>KR03C00306</t>
  </si>
  <si>
    <t>KR03R00307</t>
  </si>
  <si>
    <t>KR03R00301</t>
  </si>
  <si>
    <t>KR03R00308</t>
  </si>
  <si>
    <t>KR03C00113</t>
  </si>
  <si>
    <t>KR03C00107</t>
  </si>
  <si>
    <t>KR03C00102</t>
  </si>
  <si>
    <t>KR03R00103</t>
  </si>
  <si>
    <t>KR03R00104</t>
  </si>
  <si>
    <t>KR03C00210</t>
  </si>
  <si>
    <t>KR03C00307</t>
  </si>
  <si>
    <t>KR03C00201</t>
  </si>
  <si>
    <t>KR03C00309</t>
  </si>
  <si>
    <t>P000000739</t>
  </si>
  <si>
    <t>KR03C00203</t>
  </si>
  <si>
    <t>KR03C00204</t>
  </si>
  <si>
    <t>KR03C00202</t>
  </si>
  <si>
    <t>KR03OF0304</t>
  </si>
  <si>
    <t>KR03TPPZ15</t>
  </si>
  <si>
    <t>KR03TPPZ08</t>
  </si>
  <si>
    <t>KR03TPPZ17</t>
  </si>
  <si>
    <t>P000001152</t>
  </si>
  <si>
    <t>KR03C00610</t>
  </si>
  <si>
    <t>P000000653</t>
  </si>
  <si>
    <t>KR03L10000</t>
  </si>
  <si>
    <t>P000000420</t>
  </si>
  <si>
    <t>KR03L30001</t>
  </si>
  <si>
    <t>P000000423</t>
  </si>
  <si>
    <t>KR03Z02132</t>
  </si>
  <si>
    <t>KR03Z02181</t>
  </si>
  <si>
    <t>KR03Z02182</t>
  </si>
  <si>
    <t>KR03Z02183</t>
  </si>
  <si>
    <t>KR03Z02184</t>
  </si>
  <si>
    <t>KR03R00306</t>
  </si>
  <si>
    <t>KR03GPO002</t>
  </si>
  <si>
    <t>KR03L80000</t>
  </si>
  <si>
    <t>KR03GHR090</t>
  </si>
  <si>
    <t>KR03GHR115</t>
  </si>
  <si>
    <t>KR03OF0400</t>
  </si>
  <si>
    <t>KR03O05003</t>
  </si>
  <si>
    <t>P000000751</t>
  </si>
  <si>
    <t>KR03GCO008</t>
  </si>
  <si>
    <t>KR03L20000</t>
  </si>
  <si>
    <t>KR03C00111</t>
  </si>
  <si>
    <t>KR03L80001</t>
  </si>
  <si>
    <t>KR03L50001</t>
  </si>
  <si>
    <t>KR03C00402</t>
  </si>
  <si>
    <t>KR03Y0310A</t>
  </si>
  <si>
    <t>KR03C00408</t>
  </si>
  <si>
    <t>KR03C00109</t>
  </si>
  <si>
    <t>KR03C00305</t>
  </si>
  <si>
    <t>KR03R00305</t>
  </si>
  <si>
    <t>KR03Z03200</t>
  </si>
  <si>
    <t>KR03C00207</t>
  </si>
  <si>
    <t>KR03C00208</t>
  </si>
  <si>
    <t>KR03C00209</t>
  </si>
  <si>
    <t>KR03C00304</t>
  </si>
  <si>
    <t>KR03C00310</t>
  </si>
  <si>
    <t>KR03C00206</t>
  </si>
  <si>
    <t>KR03OF0306</t>
  </si>
  <si>
    <t>KR03OF0305</t>
  </si>
  <si>
    <t>KR03TPPZ05</t>
  </si>
  <si>
    <t>KR03Z03723</t>
  </si>
  <si>
    <t>P000000559</t>
  </si>
  <si>
    <t>KR03R00105</t>
  </si>
  <si>
    <t>KR03Z03100</t>
  </si>
  <si>
    <t>KR03Z03101</t>
  </si>
  <si>
    <t>P000000560</t>
  </si>
  <si>
    <t>KR03O03000</t>
  </si>
  <si>
    <t>KR03Z03105</t>
  </si>
  <si>
    <t>KR03Z03103</t>
  </si>
  <si>
    <t>KR03Z03104</t>
  </si>
  <si>
    <t>KR03L50010</t>
  </si>
  <si>
    <t>KR03Z01000</t>
  </si>
  <si>
    <t>KR03Z03201</t>
  </si>
  <si>
    <t>KR03Z03300</t>
  </si>
  <si>
    <t>KR03Z03600</t>
  </si>
  <si>
    <t>KR03Z03700</t>
  </si>
  <si>
    <t>KR03Z03702</t>
  </si>
  <si>
    <t>KR03Z03703</t>
  </si>
  <si>
    <t>KR03Z03704</t>
  </si>
  <si>
    <t>KR03Z03708</t>
  </si>
  <si>
    <t>KR03Z03709</t>
  </si>
  <si>
    <t>KR03Z03710</t>
  </si>
  <si>
    <t>KR03Z03711</t>
  </si>
  <si>
    <t>KR03Z03716</t>
  </si>
  <si>
    <t>KR03Z03717</t>
  </si>
  <si>
    <t>KR03Z03718</t>
  </si>
  <si>
    <t>KR03Z03719</t>
  </si>
  <si>
    <t>KR03Z03720</t>
  </si>
  <si>
    <t>KR03Z03721</t>
  </si>
  <si>
    <t>KR03Z03722</t>
  </si>
  <si>
    <t>KR03Z03725</t>
  </si>
  <si>
    <t>KR03Z03726</t>
  </si>
  <si>
    <t>KR03Z03727</t>
  </si>
  <si>
    <t>KR03Z03707</t>
  </si>
  <si>
    <t>KR03Z03724</t>
  </si>
  <si>
    <t>KR03Z02185</t>
  </si>
  <si>
    <t>KR03Z01IF9</t>
  </si>
  <si>
    <t>KR03Z02101</t>
  </si>
  <si>
    <t>KR03Z02102</t>
  </si>
  <si>
    <t>KR03Z02103</t>
  </si>
  <si>
    <t>KR03Z02104</t>
  </si>
  <si>
    <t>KR03Z02105</t>
  </si>
  <si>
    <t>KR03Z02141</t>
  </si>
  <si>
    <t>KR03Z02142</t>
  </si>
  <si>
    <t>KR03Z02143</t>
  </si>
  <si>
    <t>KR03Z02144</t>
  </si>
  <si>
    <t>KR03Z02145</t>
  </si>
  <si>
    <t>KR03Z03400</t>
  </si>
  <si>
    <t>KR03Z02111</t>
  </si>
  <si>
    <t>KR03Z02112</t>
  </si>
  <si>
    <t>KR03Z02113</t>
  </si>
  <si>
    <t>KR03Z02114</t>
  </si>
  <si>
    <t>KR03Z02115</t>
  </si>
  <si>
    <t>KR03Z02121</t>
  </si>
  <si>
    <t>KR03Z02122</t>
  </si>
  <si>
    <t>KR03Z02123</t>
  </si>
  <si>
    <t>KR03Z02124</t>
  </si>
  <si>
    <t>KR03Z02125</t>
  </si>
  <si>
    <t>KR03Z02161</t>
  </si>
  <si>
    <t>KR03Z02162</t>
  </si>
  <si>
    <t>KR03Z02163</t>
  </si>
  <si>
    <t>KR03Z02164</t>
  </si>
  <si>
    <t>KR03Z02165</t>
  </si>
  <si>
    <t>KR03Z02171</t>
  </si>
  <si>
    <t>KR03Z02172</t>
  </si>
  <si>
    <t>KR03Z02173</t>
  </si>
  <si>
    <t>KR03Z02174</t>
  </si>
  <si>
    <t>KR03Z02175</t>
  </si>
  <si>
    <t>KR03Z02131</t>
  </si>
  <si>
    <t>KR03Z02133</t>
  </si>
  <si>
    <t>KR03Z02134</t>
  </si>
  <si>
    <t>KR03Z02135</t>
  </si>
  <si>
    <t>KR03Z02151</t>
  </si>
  <si>
    <t>KR03Z02153</t>
  </si>
  <si>
    <t>KR03Z02154</t>
  </si>
  <si>
    <t>KR03Z02155</t>
  </si>
  <si>
    <t>KR03Z03701</t>
  </si>
  <si>
    <t>KR03Z03705</t>
  </si>
  <si>
    <t>KR03Z03706</t>
  </si>
  <si>
    <t>KR03Z03712</t>
  </si>
  <si>
    <t>KR03Z03713</t>
  </si>
  <si>
    <t>KR03Z03714</t>
  </si>
  <si>
    <t>KR03Z03715</t>
  </si>
  <si>
    <t>KR03TPPZ04</t>
  </si>
  <si>
    <t>KR03TPPZ14</t>
  </si>
  <si>
    <t>KR03TPPZ12</t>
  </si>
  <si>
    <t>KR03TPPZ13</t>
  </si>
  <si>
    <t>KR03TPPZ16</t>
  </si>
  <si>
    <t>KR03TPPZ06</t>
  </si>
  <si>
    <t>KR03TPPZ07</t>
  </si>
  <si>
    <t>KR03TPPZ09</t>
  </si>
  <si>
    <t>KR03TPPZ10</t>
  </si>
  <si>
    <t>KR03OF0303</t>
  </si>
  <si>
    <t>KR03TNPZ01</t>
  </si>
  <si>
    <t>KR03OF0308</t>
  </si>
  <si>
    <t>KR03C00106</t>
  </si>
  <si>
    <t>KR03C00303</t>
  </si>
  <si>
    <t>KR03OF0307</t>
  </si>
  <si>
    <t>KR03C00205</t>
  </si>
  <si>
    <t>KR03C00404</t>
  </si>
  <si>
    <t>KR03Z03202</t>
  </si>
  <si>
    <t>KR03TNPA01</t>
  </si>
  <si>
    <t>KR03TNPZ04</t>
  </si>
  <si>
    <t>KR03TNPZ03</t>
  </si>
  <si>
    <t>KR03TAPZ04</t>
  </si>
  <si>
    <t>KR03OF0401</t>
  </si>
  <si>
    <t>KR03C00405</t>
  </si>
  <si>
    <t>KR03C00403</t>
  </si>
  <si>
    <t>KR03TPPZ11</t>
  </si>
  <si>
    <t>KR03C00409</t>
  </si>
  <si>
    <t>KR03TNPZ05</t>
  </si>
  <si>
    <t>KR03TNPZ06</t>
  </si>
  <si>
    <t>KR03C00407</t>
  </si>
  <si>
    <t>O000000005</t>
  </si>
  <si>
    <t>KR03GIS009</t>
  </si>
  <si>
    <t>O000000007</t>
  </si>
  <si>
    <t>KR03GPO004</t>
  </si>
  <si>
    <t>KR03GPO003</t>
  </si>
  <si>
    <t>KR03GM8002</t>
  </si>
  <si>
    <t>KR03GPO005</t>
  </si>
  <si>
    <t>G000000564</t>
  </si>
  <si>
    <t>G000000565</t>
  </si>
  <si>
    <t>G000000007</t>
  </si>
  <si>
    <t>G000000010</t>
  </si>
  <si>
    <t>G000000048</t>
  </si>
  <si>
    <t>G000000054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</si>
  <si>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</si>
  <si>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</si>
  <si>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</si>
  <si>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</si>
  <si>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</si>
  <si>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</si>
  <si>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</si>
  <si>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</si>
  <si>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</si>
  <si>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</si>
  <si>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</si>
  <si>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</si>
  <si>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</si>
  <si>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</si>
  <si>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</si>
  <si>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</si>
  <si>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</si>
  <si>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</si>
  <si>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</si>
  <si>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</si>
  <si>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</si>
  <si>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</si>
  <si>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</si>
  <si>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</si>
  <si>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</si>
  <si>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</si>
  <si>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</si>
  <si>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</si>
  <si>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</si>
  <si>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G000000088</t>
  </si>
  <si>
    <t>G000000091</t>
  </si>
  <si>
    <t>G000000092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</si>
  <si>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</si>
  <si>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</si>
  <si>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</si>
  <si>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</si>
  <si>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</si>
  <si>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</si>
  <si>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</si>
  <si>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</si>
  <si>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</si>
  <si>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</si>
  <si>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G000000099</t>
  </si>
  <si>
    <t>G000000100</t>
  </si>
  <si>
    <t>G000000101</t>
  </si>
  <si>
    <t>G000000802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</si>
  <si>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</si>
  <si>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</si>
  <si>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</si>
  <si>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</si>
  <si>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</si>
  <si>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</si>
  <si>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</si>
  <si>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</si>
  <si>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</si>
  <si>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</si>
  <si>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</si>
  <si>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</si>
  <si>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</si>
  <si>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</si>
  <si>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</si>
  <si>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</si>
  <si>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</si>
  <si>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</si>
  <si>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</si>
  <si>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G000000112</t>
  </si>
  <si>
    <t>G000000803</t>
  </si>
  <si>
    <t>G000000113</t>
  </si>
  <si>
    <t>G000000562</t>
  </si>
  <si>
    <t>G000001128</t>
  </si>
  <si>
    <t>G000000589</t>
  </si>
  <si>
    <t>G000000114</t>
  </si>
  <si>
    <t>G000000115</t>
  </si>
  <si>
    <t>G000000126</t>
  </si>
  <si>
    <t>G000000127</t>
  </si>
  <si>
    <t>G000000804</t>
  </si>
  <si>
    <t>G000000128</t>
  </si>
  <si>
    <t>G000000135</t>
  </si>
  <si>
    <t>G000000129</t>
  </si>
  <si>
    <t>G000000136</t>
  </si>
  <si>
    <t>G000000791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</si>
  <si>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</si>
  <si>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</si>
  <si>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</si>
  <si>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</si>
  <si>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</si>
  <si>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</si>
  <si>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</si>
  <si>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</si>
  <si>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</si>
  <si>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</si>
  <si>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</si>
  <si>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G000000146</t>
  </si>
  <si>
    <t>G000000792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</si>
  <si>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</si>
  <si>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</si>
  <si>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</si>
  <si>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</si>
  <si>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</si>
  <si>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</si>
  <si>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</si>
  <si>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</si>
  <si>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</si>
  <si>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</si>
  <si>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</si>
  <si>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</si>
  <si>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</si>
  <si>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</si>
  <si>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</si>
  <si>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</si>
  <si>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</si>
  <si>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</si>
  <si>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</si>
  <si>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</si>
  <si>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</si>
  <si>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</si>
  <si>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</si>
  <si>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</si>
  <si>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</si>
  <si>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</si>
  <si>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</si>
  <si>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</si>
  <si>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</si>
  <si>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</si>
  <si>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</si>
  <si>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</si>
  <si>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</si>
  <si>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</si>
  <si>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</si>
  <si>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</si>
  <si>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</si>
  <si>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</si>
  <si>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</si>
  <si>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</si>
  <si>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</si>
  <si>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</si>
  <si>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</si>
  <si>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</si>
  <si>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</si>
  <si>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</si>
  <si>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</si>
  <si>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</si>
  <si>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</si>
  <si>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</si>
  <si>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</si>
  <si>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</si>
  <si>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</si>
  <si>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</si>
  <si>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</si>
  <si>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</si>
  <si>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</si>
  <si>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</si>
  <si>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</si>
  <si>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</si>
  <si>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</si>
  <si>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</si>
  <si>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</si>
  <si>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</si>
  <si>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</si>
  <si>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</si>
  <si>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</si>
  <si>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</si>
  <si>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</si>
  <si>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</si>
  <si>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</si>
  <si>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</si>
  <si>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</si>
  <si>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</si>
  <si>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</si>
  <si>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</si>
  <si>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</si>
  <si>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</si>
  <si>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</si>
  <si>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</si>
  <si>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</si>
  <si>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</si>
  <si>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</si>
  <si>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</si>
  <si>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</si>
  <si>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</si>
  <si>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</si>
  <si>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</si>
  <si>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</si>
  <si>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</si>
  <si>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</si>
  <si>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</si>
  <si>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</si>
  <si>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</si>
  <si>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</si>
  <si>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</si>
  <si>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</si>
  <si>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</si>
  <si>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</si>
  <si>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</si>
  <si>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</si>
  <si>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</si>
  <si>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</si>
  <si>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</si>
  <si>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</si>
  <si>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</si>
  <si>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</si>
  <si>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</si>
  <si>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</si>
  <si>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</si>
  <si>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</si>
  <si>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</si>
  <si>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</si>
  <si>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</si>
  <si>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</si>
  <si>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</si>
  <si>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</si>
  <si>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</si>
  <si>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</si>
  <si>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</si>
  <si>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</si>
  <si>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</si>
  <si>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</si>
  <si>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</si>
  <si>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</si>
  <si>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</si>
  <si>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</si>
  <si>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</si>
  <si>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</si>
  <si>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</si>
  <si>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</si>
  <si>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</si>
  <si>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</si>
  <si>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</si>
  <si>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</si>
  <si>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</si>
  <si>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</si>
  <si>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</si>
  <si>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</si>
  <si>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</si>
  <si>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</si>
  <si>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</si>
  <si>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</si>
  <si>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</si>
  <si>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</si>
  <si>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</si>
  <si>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</si>
  <si>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</si>
  <si>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</si>
  <si>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</si>
  <si>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</si>
  <si>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</si>
  <si>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</si>
  <si>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</si>
  <si>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</si>
  <si>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</si>
  <si>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</si>
  <si>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</si>
  <si>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</si>
  <si>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G000000252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</si>
  <si>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</si>
  <si>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</si>
  <si>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</si>
  <si>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</si>
  <si>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</si>
  <si>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</si>
  <si>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</si>
  <si>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</si>
  <si>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</si>
  <si>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</si>
  <si>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</si>
  <si>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</si>
  <si>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</si>
  <si>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</si>
  <si>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</si>
  <si>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</si>
  <si>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</si>
  <si>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</si>
  <si>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</si>
  <si>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</si>
  <si>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</si>
  <si>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</si>
  <si>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</si>
  <si>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</si>
  <si>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</si>
  <si>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</si>
  <si>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</si>
  <si>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</si>
  <si>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</si>
  <si>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</si>
  <si>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</si>
  <si>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</si>
  <si>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</si>
  <si>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</si>
  <si>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</si>
  <si>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G000000788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</si>
  <si>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</si>
  <si>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</si>
  <si>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</si>
  <si>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</si>
  <si>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</si>
  <si>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</si>
  <si>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</si>
  <si>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</si>
  <si>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</si>
  <si>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</si>
  <si>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</si>
  <si>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</si>
  <si>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</si>
  <si>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</si>
  <si>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</si>
  <si>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</si>
  <si>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</si>
  <si>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</si>
  <si>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</si>
  <si>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</si>
  <si>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</si>
  <si>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</si>
  <si>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G000000809</t>
  </si>
  <si>
    <t>G000000810</t>
  </si>
  <si>
    <t>G000000811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</si>
  <si>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</si>
  <si>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</si>
  <si>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</si>
  <si>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</si>
  <si>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</si>
  <si>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</si>
  <si>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</si>
  <si>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</si>
  <si>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</si>
  <si>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</si>
  <si>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</si>
  <si>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</si>
  <si>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</si>
  <si>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</si>
  <si>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</si>
  <si>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</si>
  <si>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IT06130000</t>
  </si>
  <si>
    <t>IT06130200</t>
  </si>
  <si>
    <t>IT06130600</t>
  </si>
  <si>
    <t>IT06130700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</si>
  <si>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</si>
  <si>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</si>
  <si>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</si>
  <si>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</si>
  <si>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</si>
  <si>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</si>
  <si>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</si>
  <si>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G000000037</t>
  </si>
  <si>
    <t>G000000572</t>
  </si>
  <si>
    <t>G000000630</t>
  </si>
  <si>
    <t>G000000633</t>
  </si>
  <si>
    <t>G000000634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</si>
  <si>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</si>
  <si>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</si>
  <si>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</si>
  <si>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</si>
  <si>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</si>
  <si>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</si>
  <si>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</si>
  <si>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</si>
  <si>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</si>
  <si>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</si>
  <si>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</si>
  <si>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G000000185</t>
  </si>
  <si>
    <t>G000000608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</si>
  <si>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</si>
  <si>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</si>
  <si>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</si>
  <si>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</si>
  <si>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</si>
  <si>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</si>
  <si>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</si>
  <si>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</si>
  <si>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</si>
  <si>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</si>
  <si>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</si>
  <si>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</si>
  <si>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</si>
  <si>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</si>
  <si>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</si>
  <si>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</si>
  <si>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</si>
  <si>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</si>
  <si>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</si>
  <si>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G000000758</t>
  </si>
  <si>
    <t>G000000794</t>
  </si>
  <si>
    <t>G000001241</t>
  </si>
  <si>
    <t>G000000194</t>
  </si>
  <si>
    <t>G000000610</t>
  </si>
  <si>
    <t>G000000198</t>
  </si>
  <si>
    <t>G000000707</t>
  </si>
  <si>
    <t>G000000708</t>
  </si>
  <si>
    <t>G000000710</t>
  </si>
  <si>
    <t>G000001214</t>
  </si>
  <si>
    <t>G000001215</t>
  </si>
  <si>
    <t>G000001216</t>
  </si>
  <si>
    <t>G000001217</t>
  </si>
  <si>
    <t>G000000611</t>
  </si>
  <si>
    <t>G000000196</t>
  </si>
  <si>
    <t>G000000201</t>
  </si>
  <si>
    <t>G000000795</t>
  </si>
  <si>
    <t>G000001242</t>
  </si>
  <si>
    <t>G000000213</t>
  </si>
  <si>
    <t>G000000612</t>
  </si>
  <si>
    <t>G000000216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</si>
  <si>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</si>
  <si>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</si>
  <si>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</si>
  <si>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</si>
  <si>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</si>
  <si>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</si>
  <si>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</si>
  <si>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</si>
  <si>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</si>
  <si>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</si>
  <si>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</si>
  <si>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</si>
  <si>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</si>
  <si>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</si>
  <si>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</si>
  <si>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</si>
  <si>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</si>
  <si>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</si>
  <si>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</si>
  <si>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</si>
  <si>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</si>
  <si>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</si>
  <si>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</si>
  <si>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</si>
  <si>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</si>
  <si>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</si>
  <si>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</si>
  <si>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</si>
  <si>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</si>
  <si>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</si>
  <si>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</si>
  <si>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</si>
  <si>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</si>
  <si>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</si>
  <si>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</si>
  <si>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</si>
  <si>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</si>
  <si>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</si>
  <si>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</si>
  <si>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</si>
  <si>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</si>
  <si>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</si>
  <si>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</si>
  <si>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</si>
  <si>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</si>
  <si>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</si>
  <si>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</si>
  <si>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</si>
  <si>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</si>
  <si>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</si>
  <si>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G000001175</t>
  </si>
  <si>
    <t>G000001177</t>
  </si>
  <si>
    <t>G000001178</t>
  </si>
  <si>
    <t>G000001151</t>
  </si>
  <si>
    <t>G000001248</t>
  </si>
  <si>
    <t>G000001249</t>
  </si>
  <si>
    <t>G000001136</t>
  </si>
  <si>
    <t>G000001179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</si>
  <si>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</si>
  <si>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</si>
  <si>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</si>
  <si>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</si>
  <si>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</si>
  <si>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</si>
  <si>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</si>
  <si>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</si>
  <si>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</si>
  <si>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</si>
  <si>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</si>
  <si>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</si>
  <si>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</si>
  <si>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</si>
  <si>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</si>
  <si>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</si>
  <si>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</si>
  <si>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</si>
  <si>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</si>
  <si>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</si>
  <si>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</si>
  <si>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</si>
  <si>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</si>
  <si>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</si>
  <si>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</si>
  <si>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</si>
  <si>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</si>
  <si>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</si>
  <si>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</si>
  <si>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</si>
  <si>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</si>
  <si>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</si>
  <si>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</si>
  <si>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</si>
  <si>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</si>
  <si>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</si>
  <si>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</si>
  <si>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</si>
  <si>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</si>
  <si>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</si>
  <si>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</si>
  <si>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</si>
  <si>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</si>
  <si>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</si>
  <si>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</si>
  <si>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</si>
  <si>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</si>
  <si>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</si>
  <si>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</si>
  <si>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</si>
  <si>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</si>
  <si>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</si>
  <si>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</si>
  <si>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</si>
  <si>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</si>
  <si>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</si>
  <si>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</si>
  <si>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</si>
  <si>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</si>
  <si>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G000000777</t>
  </si>
  <si>
    <t>G000000805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</si>
  <si>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</si>
  <si>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</si>
  <si>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</si>
  <si>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</si>
  <si>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</si>
  <si>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</si>
  <si>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</si>
  <si>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P000001143</t>
  </si>
  <si>
    <t>P000000642</t>
  </si>
  <si>
    <t>P000000521</t>
  </si>
  <si>
    <t>P000000581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</si>
  <si>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</si>
  <si>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</si>
  <si>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</si>
  <si>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</si>
  <si>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</si>
  <si>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</si>
  <si>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</si>
  <si>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</si>
  <si>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</si>
  <si>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</si>
  <si>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</si>
  <si>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</si>
  <si>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</si>
  <si>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</si>
  <si>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</si>
  <si>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</si>
  <si>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</si>
  <si>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</si>
  <si>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</si>
  <si>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</si>
  <si>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</si>
  <si>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</si>
  <si>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</si>
  <si>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</si>
  <si>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</si>
  <si>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</si>
  <si>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</si>
  <si>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</si>
  <si>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</si>
  <si>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</si>
  <si>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</si>
  <si>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</si>
  <si>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</si>
  <si>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</si>
  <si>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</si>
  <si>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</si>
  <si>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</si>
  <si>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</si>
  <si>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</si>
  <si>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</si>
  <si>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</si>
  <si>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</si>
  <si>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</si>
  <si>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</si>
  <si>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</si>
  <si>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</si>
  <si>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</si>
  <si>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</si>
  <si>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</si>
  <si>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</si>
  <si>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</si>
  <si>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</si>
  <si>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</si>
  <si>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</si>
  <si>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</si>
  <si>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</si>
  <si>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</si>
  <si>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</si>
  <si>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</si>
  <si>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</si>
  <si>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</si>
  <si>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</si>
  <si>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</si>
  <si>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P000000654</t>
  </si>
  <si>
    <t>P000000655</t>
  </si>
  <si>
    <t>P000000656</t>
  </si>
  <si>
    <t>P000000419</t>
  </si>
  <si>
    <t>P000000421</t>
  </si>
  <si>
    <t>P000000422</t>
  </si>
  <si>
    <t>P000000424</t>
  </si>
  <si>
    <t>P000000657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</si>
  <si>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</si>
  <si>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</si>
  <si>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</si>
  <si>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</si>
  <si>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</si>
  <si>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</si>
  <si>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</si>
  <si>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</si>
  <si>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</si>
  <si>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</si>
  <si>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</si>
  <si>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</si>
  <si>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</si>
  <si>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</si>
  <si>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</si>
  <si>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</si>
  <si>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</si>
  <si>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</si>
  <si>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</si>
  <si>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</si>
  <si>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</si>
  <si>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</si>
  <si>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</si>
  <si>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</si>
  <si>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</si>
  <si>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</si>
  <si>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</si>
  <si>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</si>
  <si>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</si>
  <si>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P000000561</t>
  </si>
  <si>
    <t>P000000562</t>
  </si>
  <si>
    <t>P000000473</t>
  </si>
  <si>
    <t>P000000477</t>
  </si>
  <si>
    <t>P000001173</t>
  </si>
  <si>
    <t>P000001175</t>
  </si>
  <si>
    <t>P000001176</t>
  </si>
  <si>
    <t>P000001177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</si>
  <si>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</si>
  <si>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</si>
  <si>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</si>
  <si>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</si>
  <si>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</si>
  <si>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</si>
  <si>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</si>
  <si>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</si>
  <si>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</si>
  <si>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</si>
  <si>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</si>
  <si>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</si>
  <si>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</si>
  <si>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</si>
  <si>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</si>
  <si>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</si>
  <si>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</si>
  <si>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</si>
  <si>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</si>
  <si>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</si>
  <si>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</si>
  <si>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</si>
  <si>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</si>
  <si>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</si>
  <si>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</si>
  <si>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O000000010</t>
  </si>
  <si>
    <t>O000000006</t>
  </si>
  <si>
    <t>O000000008</t>
  </si>
  <si>
    <t>P000000668</t>
  </si>
  <si>
    <t>FR7989109</t>
  </si>
  <si>
    <t>EF-DS-E DDIT Enabling Functions</t>
  </si>
  <si>
    <t>todo in 2026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</si>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</sst>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12" totalsRowShown="0">
  <autoFilter ref="A1:M1712" xr:uid="{00000000-000C-0000-FFFF-FFFF00000000}">
    <filterColumn colId="1">
      <filters>
        <filter val="F0"/>
      </filters>
    </filterColumn>
    <filterColumn colId="7">
      <filters blank="1"/>
    </filterColumn>
  </autoFilter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49" t="s">
        <v>0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7158</v>
      </c>
      <c r="B4" s="48">
        <v>420</v>
      </c>
    </row>
    <row r="5" spans="1:2" x14ac:dyDescent="0.25">
      <c r="A5" s="58" t="s">
        <v>7581</v>
      </c>
      <c r="B5" s="48">
        <v>420</v>
      </c>
    </row>
    <row r="6" spans="1:2" x14ac:dyDescent="0.25">
      <c r="A6" s="32" t="s">
        <v>7160</v>
      </c>
      <c r="B6" s="48">
        <v>1</v>
      </c>
    </row>
    <row r="7" spans="1:2" x14ac:dyDescent="0.25">
      <c r="A7" s="58" t="s">
        <v>7581</v>
      </c>
      <c r="B7" s="48">
        <v>1</v>
      </c>
    </row>
    <row r="8" spans="1:2" x14ac:dyDescent="0.25">
      <c r="A8" s="32" t="s">
        <v>10</v>
      </c>
      <c r="B8" s="48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12"/>
  <sheetViews>
    <sheetView tabSelected="1" workbookViewId="0">
      <selection activeCell="G1" sqref="G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hidden="1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hidden="1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hidden="1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hidden="1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hidden="1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hidden="1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hidden="1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hidden="1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hidden="1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hidden="1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hidden="1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hidden="1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hidden="1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hidden="1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hidden="1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hidden="1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hidden="1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hidden="1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hidden="1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hidden="1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hidden="1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hidden="1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hidden="1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hidden="1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hidden="1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hidden="1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hidden="1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hidden="1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hidden="1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hidden="1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hidden="1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hidden="1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hidden="1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hidden="1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hidden="1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hidden="1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hidden="1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hidden="1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hidden="1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hidden="1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hidden="1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hidden="1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hidden="1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hidden="1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hidden="1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hidden="1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hidden="1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hidden="1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hidden="1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hidden="1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hidden="1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hidden="1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hidden="1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hidden="1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hidden="1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hidden="1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hidden="1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hidden="1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hidden="1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hidden="1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hidden="1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hidden="1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hidden="1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hidden="1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hidden="1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hidden="1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hidden="1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hidden="1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hidden="1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hidden="1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hidden="1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hidden="1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hidden="1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hidden="1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hidden="1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hidden="1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hidden="1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hidden="1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hidden="1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hidden="1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hidden="1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hidden="1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hidden="1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hidden="1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hidden="1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hidden="1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hidden="1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hidden="1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hidden="1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hidden="1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hidden="1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hidden="1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hidden="1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hidden="1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hidden="1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hidden="1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hidden="1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hidden="1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hidden="1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hidden="1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hidden="1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hidden="1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hidden="1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hidden="1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hidden="1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hidden="1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hidden="1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hidden="1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hidden="1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hidden="1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hidden="1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hidden="1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hidden="1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hidden="1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hidden="1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hidden="1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hidden="1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hidden="1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hidden="1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hidden="1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hidden="1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hidden="1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hidden="1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hidden="1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hidden="1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hidden="1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hidden="1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hidden="1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hidden="1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hidden="1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hidden="1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hidden="1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hidden="1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hidden="1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hidden="1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hidden="1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hidden="1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hidden="1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hidden="1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hidden="1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hidden="1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hidden="1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hidden="1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hidden="1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hidden="1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hidden="1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hidden="1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hidden="1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hidden="1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hidden="1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hidden="1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hidden="1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hidden="1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hidden="1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hidden="1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hidden="1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hidden="1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hidden="1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hidden="1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hidden="1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hidden="1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hidden="1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hidden="1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hidden="1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hidden="1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hidden="1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hidden="1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hidden="1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hidden="1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hidden="1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hidden="1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hidden="1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hidden="1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hidden="1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hidden="1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hidden="1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hidden="1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hidden="1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hidden="1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hidden="1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hidden="1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hidden="1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hidden="1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hidden="1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hidden="1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hidden="1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hidden="1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hidden="1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hidden="1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hidden="1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hidden="1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hidden="1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hidden="1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hidden="1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hidden="1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hidden="1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hidden="1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hidden="1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hidden="1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hidden="1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hidden="1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hidden="1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hidden="1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hidden="1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hidden="1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hidden="1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hidden="1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hidden="1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hidden="1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hidden="1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hidden="1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hidden="1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hidden="1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hidden="1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hidden="1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hidden="1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hidden="1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hidden="1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hidden="1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hidden="1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hidden="1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hidden="1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hidden="1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hidden="1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hidden="1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hidden="1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hidden="1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hidden="1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hidden="1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hidden="1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hidden="1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hidden="1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hidden="1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hidden="1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hidden="1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hidden="1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hidden="1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hidden="1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hidden="1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hidden="1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hidden="1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hidden="1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hidden="1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hidden="1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hidden="1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hidden="1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hidden="1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hidden="1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hidden="1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hidden="1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hidden="1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hidden="1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hidden="1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hidden="1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hidden="1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hidden="1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hidden="1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hidden="1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hidden="1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hidden="1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hidden="1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hidden="1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hidden="1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hidden="1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hidden="1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hidden="1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hidden="1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hidden="1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hidden="1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hidden="1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hidden="1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hidden="1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hidden="1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hidden="1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hidden="1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hidden="1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hidden="1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hidden="1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hidden="1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hidden="1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hidden="1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hidden="1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hidden="1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hidden="1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hidden="1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hidden="1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hidden="1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hidden="1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hidden="1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hidden="1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hidden="1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hidden="1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hidden="1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hidden="1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hidden="1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hidden="1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hidden="1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hidden="1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hidden="1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hidden="1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hidden="1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hidden="1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hidden="1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hidden="1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hidden="1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hidden="1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hidden="1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hidden="1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hidden="1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hidden="1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hidden="1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hidden="1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hidden="1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hidden="1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hidden="1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hidden="1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hidden="1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hidden="1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hidden="1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hidden="1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hidden="1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hidden="1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hidden="1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hidden="1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hidden="1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hidden="1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hidden="1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hidden="1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hidden="1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hidden="1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hidden="1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hidden="1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hidden="1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hidden="1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hidden="1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hidden="1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hidden="1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hidden="1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hidden="1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hidden="1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hidden="1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hidden="1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hidden="1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hidden="1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hidden="1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hidden="1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hidden="1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hidden="1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hidden="1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hidden="1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hidden="1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hidden="1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hidden="1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hidden="1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hidden="1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hidden="1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hidden="1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hidden="1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hidden="1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hidden="1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hidden="1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hidden="1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hidden="1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hidden="1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hidden="1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hidden="1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hidden="1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hidden="1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hidden="1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hidden="1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hidden="1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hidden="1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hidden="1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hidden="1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hidden="1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hidden="1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hidden="1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hidden="1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hidden="1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hidden="1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hidden="1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hidden="1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hidden="1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hidden="1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hidden="1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hidden="1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hidden="1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hidden="1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hidden="1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hidden="1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hidden="1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hidden="1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hidden="1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hidden="1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hidden="1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hidden="1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hidden="1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hidden="1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hidden="1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hidden="1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hidden="1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hidden="1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hidden="1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hidden="1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hidden="1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hidden="1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hidden="1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hidden="1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hidden="1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hidden="1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hidden="1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hidden="1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hidden="1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hidden="1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hidden="1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hidden="1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hidden="1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hidden="1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hidden="1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hidden="1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hidden="1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hidden="1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hidden="1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hidden="1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hidden="1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hidden="1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hidden="1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hidden="1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hidden="1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hidden="1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hidden="1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hidden="1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hidden="1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hidden="1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hidden="1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hidden="1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hidden="1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hidden="1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hidden="1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hidden="1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hidden="1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hidden="1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hidden="1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hidden="1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hidden="1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hidden="1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hidden="1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hidden="1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hidden="1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hidden="1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hidden="1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hidden="1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hidden="1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hidden="1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hidden="1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hidden="1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hidden="1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hidden="1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hidden="1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hidden="1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hidden="1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hidden="1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hidden="1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hidden="1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hidden="1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hidden="1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hidden="1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hidden="1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hidden="1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hidden="1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hidden="1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hidden="1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hidden="1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hidden="1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hidden="1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hidden="1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hidden="1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hidden="1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hidden="1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hidden="1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hidden="1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hidden="1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hidden="1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hidden="1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hidden="1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hidden="1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hidden="1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hidden="1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hidden="1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hidden="1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hidden="1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hidden="1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hidden="1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hidden="1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hidden="1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hidden="1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hidden="1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hidden="1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hidden="1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hidden="1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hidden="1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hidden="1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hidden="1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hidden="1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hidden="1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hidden="1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hidden="1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hidden="1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hidden="1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hidden="1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hidden="1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hidden="1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hidden="1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hidden="1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hidden="1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hidden="1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hidden="1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hidden="1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hidden="1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hidden="1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hidden="1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hidden="1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hidden="1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hidden="1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hidden="1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hidden="1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hidden="1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hidden="1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hidden="1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hidden="1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hidden="1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hidden="1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hidden="1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hidden="1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hidden="1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hidden="1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hidden="1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hidden="1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hidden="1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hidden="1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hidden="1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hidden="1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hidden="1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hidden="1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hidden="1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hidden="1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hidden="1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hidden="1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hidden="1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hidden="1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hidden="1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hidden="1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hidden="1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hidden="1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hidden="1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hidden="1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hidden="1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hidden="1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hidden="1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hidden="1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hidden="1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hidden="1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hidden="1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hidden="1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hidden="1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hidden="1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hidden="1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hidden="1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hidden="1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hidden="1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hidden="1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hidden="1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hidden="1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hidden="1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hidden="1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hidden="1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hidden="1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hidden="1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hidden="1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hidden="1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hidden="1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hidden="1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hidden="1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hidden="1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hidden="1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hidden="1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hidden="1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hidden="1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hidden="1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hidden="1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hidden="1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hidden="1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hidden="1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hidden="1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hidden="1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hidden="1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hidden="1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hidden="1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hidden="1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hidden="1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hidden="1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hidden="1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hidden="1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hidden="1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hidden="1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hidden="1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hidden="1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hidden="1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hidden="1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hidden="1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hidden="1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hidden="1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hidden="1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hidden="1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hidden="1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hidden="1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hidden="1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hidden="1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hidden="1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hidden="1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hidden="1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hidden="1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hidden="1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hidden="1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hidden="1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hidden="1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hidden="1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hidden="1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hidden="1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hidden="1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hidden="1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hidden="1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hidden="1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hidden="1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hidden="1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hidden="1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hidden="1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hidden="1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hidden="1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hidden="1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hidden="1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hidden="1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hidden="1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hidden="1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hidden="1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hidden="1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hidden="1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hidden="1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hidden="1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hidden="1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hidden="1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hidden="1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hidden="1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hidden="1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hidden="1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hidden="1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hidden="1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hidden="1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hidden="1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hidden="1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hidden="1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hidden="1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hidden="1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hidden="1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hidden="1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hidden="1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hidden="1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hidden="1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hidden="1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hidden="1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hidden="1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hidden="1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hidden="1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hidden="1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hidden="1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hidden="1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hidden="1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hidden="1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hidden="1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hidden="1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hidden="1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hidden="1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hidden="1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hidden="1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hidden="1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hidden="1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hidden="1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hidden="1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hidden="1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hidden="1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hidden="1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hidden="1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hidden="1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hidden="1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hidden="1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hidden="1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hidden="1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hidden="1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hidden="1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hidden="1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hidden="1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hidden="1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hidden="1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hidden="1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hidden="1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hidden="1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hidden="1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hidden="1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hidden="1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hidden="1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hidden="1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hidden="1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hidden="1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hidden="1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hidden="1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hidden="1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hidden="1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hidden="1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hidden="1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hidden="1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hidden="1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hidden="1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hidden="1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hidden="1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hidden="1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hidden="1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hidden="1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hidden="1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hidden="1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hidden="1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hidden="1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hidden="1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hidden="1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hidden="1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hidden="1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hidden="1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hidden="1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hidden="1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hidden="1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hidden="1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hidden="1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hidden="1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hidden="1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hidden="1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hidden="1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hidden="1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hidden="1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hidden="1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hidden="1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hidden="1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hidden="1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hidden="1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hidden="1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hidden="1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hidden="1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hidden="1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hidden="1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hidden="1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hidden="1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hidden="1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hidden="1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hidden="1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hidden="1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hidden="1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hidden="1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hidden="1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hidden="1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hidden="1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hidden="1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hidden="1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hidden="1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hidden="1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hidden="1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hidden="1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hidden="1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hidden="1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hidden="1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hidden="1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hidden="1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hidden="1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hidden="1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hidden="1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hidden="1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hidden="1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hidden="1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hidden="1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hidden="1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hidden="1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hidden="1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hidden="1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hidden="1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hidden="1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hidden="1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hidden="1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hidden="1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hidden="1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hidden="1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hidden="1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hidden="1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hidden="1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hidden="1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hidden="1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hidden="1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hidden="1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hidden="1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hidden="1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hidden="1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hidden="1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hidden="1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hidden="1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hidden="1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hidden="1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hidden="1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hidden="1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hidden="1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hidden="1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hidden="1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hidden="1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hidden="1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hidden="1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hidden="1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hidden="1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hidden="1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hidden="1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hidden="1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hidden="1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hidden="1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hidden="1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hidden="1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hidden="1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hidden="1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hidden="1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hidden="1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hidden="1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hidden="1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hidden="1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hidden="1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hidden="1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hidden="1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hidden="1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hidden="1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hidden="1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hidden="1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hidden="1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hidden="1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hidden="1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hidden="1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hidden="1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hidden="1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hidden="1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hidden="1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hidden="1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hidden="1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hidden="1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hidden="1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hidden="1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hidden="1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hidden="1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hidden="1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hidden="1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hidden="1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hidden="1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hidden="1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hidden="1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hidden="1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hidden="1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hidden="1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hidden="1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hidden="1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hidden="1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hidden="1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hidden="1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hidden="1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hidden="1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hidden="1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hidden="1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hidden="1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hidden="1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hidden="1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hidden="1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hidden="1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hidden="1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hidden="1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hidden="1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hidden="1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hidden="1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hidden="1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hidden="1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hidden="1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hidden="1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hidden="1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hidden="1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hidden="1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hidden="1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hidden="1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hidden="1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hidden="1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hidden="1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hidden="1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hidden="1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hidden="1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hidden="1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hidden="1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hidden="1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hidden="1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hidden="1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hidden="1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hidden="1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hidden="1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hidden="1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hidden="1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hidden="1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hidden="1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hidden="1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hidden="1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hidden="1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hidden="1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hidden="1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hidden="1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hidden="1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hidden="1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hidden="1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hidden="1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hidden="1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hidden="1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hidden="1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hidden="1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hidden="1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hidden="1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hidden="1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hidden="1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hidden="1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hidden="1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hidden="1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hidden="1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hidden="1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hidden="1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hidden="1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hidden="1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hidden="1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hidden="1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hidden="1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hidden="1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hidden="1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hidden="1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hidden="1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hidden="1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hidden="1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hidden="1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hidden="1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hidden="1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hidden="1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hidden="1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hidden="1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hidden="1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hidden="1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hidden="1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hidden="1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hidden="1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hidden="1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hidden="1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hidden="1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hidden="1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hidden="1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hidden="1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hidden="1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hidden="1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hidden="1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hidden="1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hidden="1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hidden="1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hidden="1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hidden="1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hidden="1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hidden="1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hidden="1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hidden="1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hidden="1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hidden="1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hidden="1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hidden="1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hidden="1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hidden="1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hidden="1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hidden="1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hidden="1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hidden="1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hidden="1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hidden="1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hidden="1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hidden="1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hidden="1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hidden="1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hidden="1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hidden="1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hidden="1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hidden="1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hidden="1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hidden="1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hidden="1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hidden="1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hidden="1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hidden="1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hidden="1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hidden="1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hidden="1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hidden="1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hidden="1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hidden="1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hidden="1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hidden="1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hidden="1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hidden="1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hidden="1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hidden="1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hidden="1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hidden="1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hidden="1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hidden="1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hidden="1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hidden="1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hidden="1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hidden="1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hidden="1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hidden="1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hidden="1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hidden="1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hidden="1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hidden="1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hidden="1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hidden="1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hidden="1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hidden="1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hidden="1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hidden="1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hidden="1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hidden="1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hidden="1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hidden="1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hidden="1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hidden="1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hidden="1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hidden="1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hidden="1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hidden="1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hidden="1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hidden="1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hidden="1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hidden="1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hidden="1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hidden="1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hidden="1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hidden="1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hidden="1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hidden="1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hidden="1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hidden="1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hidden="1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hidden="1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hidden="1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hidden="1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hidden="1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hidden="1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hidden="1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hidden="1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hidden="1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hidden="1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hidden="1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hidden="1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hidden="1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hidden="1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hidden="1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hidden="1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hidden="1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hidden="1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hidden="1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hidden="1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hidden="1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hidden="1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hidden="1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hidden="1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hidden="1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hidden="1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hidden="1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hidden="1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hidden="1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hidden="1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hidden="1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hidden="1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hidden="1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hidden="1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hidden="1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hidden="1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hidden="1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hidden="1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hidden="1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hidden="1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hidden="1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hidden="1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hidden="1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hidden="1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hidden="1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hidden="1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hidden="1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hidden="1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hidden="1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hidden="1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hidden="1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hidden="1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hidden="1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hidden="1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hidden="1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hidden="1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hidden="1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hidden="1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hidden="1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hidden="1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hidden="1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hidden="1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hidden="1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hidden="1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hidden="1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hidden="1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hidden="1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hidden="1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hidden="1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hidden="1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hidden="1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hidden="1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hidden="1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hidden="1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hidden="1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hidden="1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hidden="1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hidden="1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hidden="1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hidden="1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hidden="1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hidden="1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hidden="1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hidden="1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hidden="1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hidden="1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hidden="1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hidden="1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hidden="1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hidden="1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hidden="1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hidden="1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hidden="1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hidden="1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hidden="1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hidden="1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hidden="1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hidden="1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hidden="1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hidden="1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hidden="1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hidden="1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hidden="1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hidden="1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hidden="1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hidden="1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hidden="1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hidden="1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hidden="1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hidden="1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hidden="1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hidden="1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hidden="1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hidden="1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hidden="1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hidden="1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hidden="1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hidden="1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hidden="1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hidden="1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hidden="1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hidden="1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hidden="1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hidden="1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hidden="1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hidden="1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hidden="1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hidden="1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hidden="1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hidden="1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hidden="1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hidden="1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hidden="1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hidden="1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hidden="1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hidden="1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hidden="1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hidden="1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hidden="1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hidden="1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hidden="1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hidden="1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hidden="1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hidden="1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hidden="1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hidden="1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hidden="1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hidden="1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hidden="1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hidden="1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hidden="1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hidden="1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hidden="1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hidden="1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hidden="1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hidden="1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hidden="1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hidden="1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hidden="1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hidden="1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hidden="1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hidden="1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hidden="1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hidden="1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hidden="1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hidden="1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hidden="1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hidden="1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hidden="1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hidden="1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hidden="1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hidden="1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hidden="1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hidden="1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hidden="1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hidden="1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hidden="1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hidden="1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hidden="1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hidden="1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hidden="1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hidden="1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hidden="1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hidden="1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hidden="1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hidden="1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hidden="1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hidden="1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hidden="1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hidden="1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hidden="1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hidden="1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hidden="1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hidden="1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hidden="1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hidden="1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hidden="1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hidden="1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hidden="1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hidden="1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hidden="1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hidden="1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hidden="1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hidden="1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hidden="1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hidden="1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hidden="1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hidden="1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hidden="1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hidden="1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hidden="1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hidden="1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hidden="1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hidden="1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hidden="1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hidden="1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hidden="1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hidden="1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hidden="1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hidden="1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hidden="1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hidden="1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hidden="1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hidden="1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hidden="1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hidden="1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hidden="1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hidden="1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hidden="1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hidden="1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hidden="1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hidden="1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hidden="1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hidden="1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hidden="1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hidden="1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hidden="1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hidden="1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hidden="1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hidden="1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hidden="1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hidden="1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hidden="1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hidden="1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hidden="1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hidden="1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hidden="1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hidden="1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hidden="1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hidden="1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hidden="1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hidden="1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hidden="1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hidden="1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hidden="1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hidden="1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hidden="1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hidden="1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hidden="1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hidden="1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hidden="1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hidden="1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hidden="1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hidden="1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hidden="1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hidden="1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hidden="1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hidden="1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hidden="1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hidden="1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hidden="1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hidden="1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hidden="1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hidden="1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hidden="1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hidden="1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hidden="1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hidden="1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hidden="1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hidden="1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hidden="1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hidden="1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hidden="1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hidden="1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hidden="1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hidden="1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hidden="1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hidden="1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hidden="1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hidden="1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hidden="1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hidden="1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hidden="1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hidden="1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hidden="1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hidden="1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hidden="1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hidden="1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hidden="1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hidden="1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hidden="1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hidden="1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hidden="1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hidden="1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hidden="1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hidden="1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hidden="1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hidden="1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hidden="1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hidden="1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hidden="1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hidden="1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hidden="1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hidden="1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hidden="1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hidden="1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hidden="1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hidden="1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hidden="1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hidden="1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hidden="1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hidden="1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hidden="1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hidden="1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hidden="1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hidden="1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hidden="1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hidden="1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hidden="1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hidden="1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hidden="1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hidden="1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hidden="1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hidden="1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hidden="1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hidden="1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hidden="1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hidden="1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hidden="1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hidden="1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hidden="1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hidden="1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hidden="1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hidden="1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hidden="1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hidden="1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hidden="1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hidden="1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hidden="1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hidden="1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hidden="1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hidden="1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hidden="1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hidden="1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hidden="1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hidden="1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hidden="1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hidden="1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hidden="1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hidden="1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hidden="1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hidden="1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hidden="1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hidden="1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hidden="1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hidden="1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hidden="1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hidden="1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hidden="1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hidden="1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hidden="1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hidden="1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hidden="1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hidden="1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hidden="1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hidden="1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hidden="1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hidden="1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hidden="1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hidden="1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hidden="1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hidden="1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hidden="1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hidden="1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hidden="1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hidden="1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hidden="1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hidden="1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hidden="1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hidden="1" x14ac:dyDescent="0.25">
      <c r="A1475" s="46">
        <f t="shared" ref="A1475:A1538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hidden="1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hidden="1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hidden="1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hidden="1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hidden="1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hidden="1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hidden="1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hidden="1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hidden="1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hidden="1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hidden="1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hidden="1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hidden="1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hidden="1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hidden="1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hidden="1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hidden="1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hidden="1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hidden="1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hidden="1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hidden="1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hidden="1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hidden="1" x14ac:dyDescent="0.25">
      <c r="A1498" s="46">
        <f t="shared" si="23"/>
        <v>1497</v>
      </c>
      <c r="B1498" s="36" t="s">
        <v>4</v>
      </c>
      <c r="C1498" s="9" t="s">
        <v>7583</v>
      </c>
      <c r="D1498" s="36" t="s">
        <v>7582</v>
      </c>
      <c r="E1498" s="65" t="s">
        <v>7584</v>
      </c>
      <c r="F1498" s="36" t="s">
        <v>7585</v>
      </c>
      <c r="G1498" s="36" t="s">
        <v>14</v>
      </c>
      <c r="H1498" s="36" t="str">
        <f>IFERROR(VLOOKUP(Table2[[#This Row], [Ticket]],Okey!A:B,2,0),"")</f>
        <v>ok</v>
      </c>
      <c r="I1498" s="9" t="s">
        <v>5290</v>
      </c>
      <c r="J1498" s="36" t="str">
        <f>VLOOKUP(Table2[[#This Row], [Author]],People!A:B,2,0)</f>
        <v>HC</v>
      </c>
      <c r="M1498" s="36" t="s">
        <v>1613</v>
      </c>
    </row>
    <row r="1499" spans="1:13" hidden="1" x14ac:dyDescent="0.25">
      <c r="A1499" s="46">
        <f t="shared" si="23"/>
        <v>1498</v>
      </c>
      <c r="B1499" s="36" t="s">
        <v>4</v>
      </c>
      <c r="C1499" s="36" t="s">
        <v>7583</v>
      </c>
      <c r="D1499" s="9" t="s">
        <v>7586</v>
      </c>
      <c r="F1499" s="36" t="s">
        <v>7582</v>
      </c>
      <c r="G1499" s="9" t="s">
        <v>13</v>
      </c>
      <c r="H1499" s="36" t="str">
        <f>IFERROR(VLOOKUP(Table2[[#This Row], [Ticket]],Okey!A:B,2,0),"")</f>
        <v>ok</v>
      </c>
      <c r="I1499" s="36" t="s">
        <v>5290</v>
      </c>
      <c r="J1499" s="36" t="str">
        <f>VLOOKUP(Table2[[#This Row], [Author]],People!A:B,2,0)</f>
        <v>HC</v>
      </c>
      <c r="M1499" s="36" t="s">
        <v>1613</v>
      </c>
    </row>
    <row r="1500" spans="1:13" hidden="1" x14ac:dyDescent="0.25">
      <c r="A1500" s="46">
        <f t="shared" si="23"/>
        <v>1499</v>
      </c>
      <c r="B1500" s="36" t="s">
        <v>4</v>
      </c>
      <c r="C1500" s="36" t="s">
        <v>7583</v>
      </c>
      <c r="D1500" s="9" t="s">
        <v>7587</v>
      </c>
      <c r="F1500" s="36" t="s">
        <v>7582</v>
      </c>
      <c r="G1500" s="36" t="s">
        <v>13</v>
      </c>
      <c r="H1500" s="36" t="str">
        <f>IFERROR(VLOOKUP(Table2[[#This Row], [Ticket]],Okey!A:B,2,0),"")</f>
        <v>ok</v>
      </c>
      <c r="I1500" s="36" t="s">
        <v>5290</v>
      </c>
      <c r="J1500" s="36" t="str">
        <f>VLOOKUP(Table2[[#This Row], [Author]],People!A:B,2,0)</f>
        <v>HC</v>
      </c>
      <c r="M1500" s="36" t="s">
        <v>1613</v>
      </c>
    </row>
    <row r="1501" spans="1:13" hidden="1" x14ac:dyDescent="0.25">
      <c r="A1501" s="46">
        <f t="shared" si="23"/>
        <v>1500</v>
      </c>
      <c r="B1501" s="36" t="s">
        <v>4</v>
      </c>
      <c r="C1501" s="9" t="s">
        <v>7588</v>
      </c>
      <c r="D1501" s="36" t="s">
        <v>7599</v>
      </c>
      <c r="E1501" s="9" t="s">
        <v>7589</v>
      </c>
      <c r="F1501" s="9" t="s">
        <v>7609</v>
      </c>
      <c r="G1501" s="9" t="s">
        <v>14</v>
      </c>
      <c r="H1501" s="36" t="str">
        <f>IFERROR(VLOOKUP(Table2[[#This Row], [Ticket]],Okey!A:B,2,0),"")</f>
        <v>ok</v>
      </c>
      <c r="I1501" s="36" t="s">
        <v>5290</v>
      </c>
      <c r="J1501" s="36" t="str">
        <f>VLOOKUP(Table2[[#This Row], [Author]],People!A:B,2,0)</f>
        <v>HC</v>
      </c>
      <c r="M1501" s="9" t="s">
        <v>4787</v>
      </c>
    </row>
    <row r="1502" spans="1:13" hidden="1" x14ac:dyDescent="0.25">
      <c r="A1502" s="46">
        <f t="shared" si="23"/>
        <v>1501</v>
      </c>
      <c r="B1502" s="36" t="s">
        <v>4</v>
      </c>
      <c r="C1502" s="36" t="s">
        <v>7588</v>
      </c>
      <c r="D1502" s="9" t="s">
        <v>7600</v>
      </c>
      <c r="E1502" s="9" t="s">
        <v>7590</v>
      </c>
      <c r="F1502" s="9" t="s">
        <v>7610</v>
      </c>
      <c r="G1502" s="36" t="s">
        <v>14</v>
      </c>
      <c r="H1502" s="36" t="str">
        <f>IFERROR(VLOOKUP(Table2[[#This Row], [Ticket]],Okey!A:B,2,0),"")</f>
        <v>ok</v>
      </c>
      <c r="I1502" s="36" t="s">
        <v>5290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hidden="1" x14ac:dyDescent="0.25">
      <c r="A1503" s="46">
        <f t="shared" si="23"/>
        <v>1502</v>
      </c>
      <c r="B1503" s="36" t="s">
        <v>4</v>
      </c>
      <c r="C1503" s="36" t="s">
        <v>7588</v>
      </c>
      <c r="D1503" s="9" t="s">
        <v>7601</v>
      </c>
      <c r="E1503" s="9" t="s">
        <v>7591</v>
      </c>
      <c r="F1503" s="9" t="s">
        <v>7611</v>
      </c>
      <c r="G1503" s="36" t="s">
        <v>14</v>
      </c>
      <c r="H1503" s="36" t="str">
        <f>IFERROR(VLOOKUP(Table2[[#This Row], [Ticket]],Okey!A:B,2,0),"")</f>
        <v>ok</v>
      </c>
      <c r="I1503" s="36" t="s">
        <v>5290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hidden="1" x14ac:dyDescent="0.25">
      <c r="A1504" s="46">
        <f t="shared" si="23"/>
        <v>1503</v>
      </c>
      <c r="B1504" s="36" t="s">
        <v>4</v>
      </c>
      <c r="C1504" s="36" t="s">
        <v>7588</v>
      </c>
      <c r="D1504" s="9" t="s">
        <v>7602</v>
      </c>
      <c r="E1504" s="9" t="s">
        <v>7592</v>
      </c>
      <c r="F1504" s="9" t="s">
        <v>7611</v>
      </c>
      <c r="G1504" s="36" t="s">
        <v>14</v>
      </c>
      <c r="H1504" s="36" t="str">
        <f>IFERROR(VLOOKUP(Table2[[#This Row], [Ticket]],Okey!A:B,2,0),"")</f>
        <v>ok</v>
      </c>
      <c r="I1504" s="36" t="s">
        <v>5290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hidden="1" x14ac:dyDescent="0.25">
      <c r="A1505" s="46">
        <f t="shared" si="23"/>
        <v>1504</v>
      </c>
      <c r="B1505" s="36" t="s">
        <v>4</v>
      </c>
      <c r="C1505" s="36" t="s">
        <v>7588</v>
      </c>
      <c r="D1505" s="9" t="s">
        <v>7603</v>
      </c>
      <c r="E1505" s="9" t="s">
        <v>7593</v>
      </c>
      <c r="F1505" s="9" t="s">
        <v>7612</v>
      </c>
      <c r="G1505" s="36" t="s">
        <v>14</v>
      </c>
      <c r="H1505" s="36" t="str">
        <f>IFERROR(VLOOKUP(Table2[[#This Row], [Ticket]],Okey!A:B,2,0),"")</f>
        <v>ok</v>
      </c>
      <c r="I1505" s="36" t="s">
        <v>5290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hidden="1" x14ac:dyDescent="0.25">
      <c r="A1506" s="46">
        <f t="shared" si="23"/>
        <v>1505</v>
      </c>
      <c r="B1506" s="36" t="s">
        <v>4</v>
      </c>
      <c r="C1506" s="36" t="s">
        <v>7588</v>
      </c>
      <c r="D1506" s="9" t="s">
        <v>7604</v>
      </c>
      <c r="E1506" s="9" t="s">
        <v>7594</v>
      </c>
      <c r="F1506" s="9" t="s">
        <v>7612</v>
      </c>
      <c r="G1506" s="36" t="s">
        <v>14</v>
      </c>
      <c r="H1506" s="36" t="str">
        <f>IFERROR(VLOOKUP(Table2[[#This Row], [Ticket]],Okey!A:B,2,0),"")</f>
        <v>ok</v>
      </c>
      <c r="I1506" s="36" t="s">
        <v>5290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hidden="1" x14ac:dyDescent="0.25">
      <c r="A1507" s="46">
        <f t="shared" si="23"/>
        <v>1506</v>
      </c>
      <c r="B1507" s="36" t="s">
        <v>4</v>
      </c>
      <c r="C1507" s="36" t="s">
        <v>7588</v>
      </c>
      <c r="D1507" s="9" t="s">
        <v>7605</v>
      </c>
      <c r="E1507" s="9" t="s">
        <v>7595</v>
      </c>
      <c r="F1507" t="s">
        <v>7601</v>
      </c>
      <c r="G1507" s="36" t="s">
        <v>14</v>
      </c>
      <c r="H1507" s="36" t="str">
        <f>IFERROR(VLOOKUP(Table2[[#This Row], [Ticket]],Okey!A:B,2,0),"")</f>
        <v>ok</v>
      </c>
      <c r="I1507" s="36" t="s">
        <v>5290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hidden="1" x14ac:dyDescent="0.25">
      <c r="A1508" s="46">
        <f t="shared" si="23"/>
        <v>1507</v>
      </c>
      <c r="B1508" s="36" t="s">
        <v>4</v>
      </c>
      <c r="C1508" s="36" t="s">
        <v>7588</v>
      </c>
      <c r="D1508" s="9" t="s">
        <v>7606</v>
      </c>
      <c r="E1508" s="9" t="s">
        <v>7596</v>
      </c>
      <c r="F1508" t="s">
        <v>7602</v>
      </c>
      <c r="G1508" s="36" t="s">
        <v>14</v>
      </c>
      <c r="H1508" s="36" t="str">
        <f>IFERROR(VLOOKUP(Table2[[#This Row], [Ticket]],Okey!A:B,2,0),"")</f>
        <v>ok</v>
      </c>
      <c r="I1508" s="36" t="s">
        <v>5290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hidden="1" x14ac:dyDescent="0.25">
      <c r="A1509" s="46">
        <f t="shared" si="23"/>
        <v>1508</v>
      </c>
      <c r="B1509" s="36" t="s">
        <v>4</v>
      </c>
      <c r="C1509" s="36" t="s">
        <v>7588</v>
      </c>
      <c r="D1509" s="9" t="s">
        <v>7607</v>
      </c>
      <c r="E1509" s="9" t="s">
        <v>7597</v>
      </c>
      <c r="F1509" t="s">
        <v>7603</v>
      </c>
      <c r="G1509" s="36" t="s">
        <v>14</v>
      </c>
      <c r="H1509" s="36" t="str">
        <f>IFERROR(VLOOKUP(Table2[[#This Row], [Ticket]],Okey!A:B,2,0),"")</f>
        <v>ok</v>
      </c>
      <c r="I1509" s="36" t="s">
        <v>5290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hidden="1" x14ac:dyDescent="0.25">
      <c r="A1510" s="46">
        <f t="shared" si="23"/>
        <v>1509</v>
      </c>
      <c r="B1510" s="36" t="s">
        <v>4</v>
      </c>
      <c r="C1510" s="36" t="s">
        <v>7588</v>
      </c>
      <c r="D1510" s="9" t="s">
        <v>7608</v>
      </c>
      <c r="E1510" s="9" t="s">
        <v>7598</v>
      </c>
      <c r="F1510" t="s">
        <v>7604</v>
      </c>
      <c r="G1510" s="36" t="s">
        <v>14</v>
      </c>
      <c r="H1510" s="36" t="str">
        <f>IFERROR(VLOOKUP(Table2[[#This Row], [Ticket]],Okey!A:B,2,0),"")</f>
        <v>ok</v>
      </c>
      <c r="I1510" s="36" t="s">
        <v>5290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hidden="1" x14ac:dyDescent="0.25">
      <c r="A1511" s="46">
        <f t="shared" si="23"/>
        <v>1510</v>
      </c>
      <c r="B1511" s="36" t="s">
        <v>4</v>
      </c>
      <c r="C1511" s="36" t="s">
        <v>7588</v>
      </c>
      <c r="D1511" s="9" t="s">
        <v>7613</v>
      </c>
      <c r="E1511" s="9" t="s">
        <v>7620</v>
      </c>
      <c r="G1511" s="9" t="s">
        <v>15</v>
      </c>
      <c r="H1511" s="36" t="str">
        <f>IFERROR(VLOOKUP(Table2[[#This Row], [Ticket]],Okey!A:B,2,0),"")</f>
        <v>ok</v>
      </c>
      <c r="I1511" s="36" t="s">
        <v>5290</v>
      </c>
      <c r="J1511" s="36" t="str">
        <f>VLOOKUP(Table2[[#This Row], [Author]],People!A:B,2,0)</f>
        <v>HC</v>
      </c>
      <c r="M1511" s="36" t="s">
        <v>4787</v>
      </c>
    </row>
    <row r="1512" spans="1:13" hidden="1" x14ac:dyDescent="0.25">
      <c r="A1512" s="46">
        <f t="shared" si="23"/>
        <v>1511</v>
      </c>
      <c r="B1512" s="36" t="s">
        <v>4</v>
      </c>
      <c r="C1512" s="36" t="s">
        <v>7588</v>
      </c>
      <c r="D1512" s="9" t="s">
        <v>7614</v>
      </c>
      <c r="E1512" s="9" t="s">
        <v>7621</v>
      </c>
      <c r="G1512" s="36" t="s">
        <v>15</v>
      </c>
      <c r="H1512" s="36" t="str">
        <f>IFERROR(VLOOKUP(Table2[[#This Row], [Ticket]],Okey!A:B,2,0),"")</f>
        <v>ok</v>
      </c>
      <c r="I1512" s="36" t="s">
        <v>5290</v>
      </c>
      <c r="J1512" s="36" t="str">
        <f>VLOOKUP(Table2[[#This Row], [Author]],People!A:B,2,0)</f>
        <v>HC</v>
      </c>
      <c r="M1512" s="36" t="s">
        <v>4787</v>
      </c>
    </row>
    <row r="1513" spans="1:13" hidden="1" x14ac:dyDescent="0.25">
      <c r="A1513" s="46">
        <f t="shared" si="23"/>
        <v>1512</v>
      </c>
      <c r="B1513" s="36" t="s">
        <v>4</v>
      </c>
      <c r="C1513" s="36" t="s">
        <v>7588</v>
      </c>
      <c r="D1513" s="9" t="s">
        <v>7615</v>
      </c>
      <c r="E1513" s="9" t="s">
        <v>7622</v>
      </c>
      <c r="G1513" s="36" t="s">
        <v>15</v>
      </c>
      <c r="H1513" s="36" t="str">
        <f>IFERROR(VLOOKUP(Table2[[#This Row], [Ticket]],Okey!A:B,2,0),"")</f>
        <v>ok</v>
      </c>
      <c r="I1513" s="36" t="s">
        <v>5290</v>
      </c>
      <c r="J1513" s="36" t="str">
        <f>VLOOKUP(Table2[[#This Row], [Author]],People!A:B,2,0)</f>
        <v>HC</v>
      </c>
      <c r="M1513" s="36" t="s">
        <v>4787</v>
      </c>
    </row>
    <row r="1514" spans="1:13" hidden="1" x14ac:dyDescent="0.25">
      <c r="A1514" s="46">
        <f t="shared" si="23"/>
        <v>1513</v>
      </c>
      <c r="B1514" s="36" t="s">
        <v>4</v>
      </c>
      <c r="C1514" s="36" t="s">
        <v>7588</v>
      </c>
      <c r="D1514" s="9" t="s">
        <v>7616</v>
      </c>
      <c r="E1514" s="9" t="s">
        <v>7623</v>
      </c>
      <c r="G1514" s="36" t="s">
        <v>15</v>
      </c>
      <c r="H1514" s="36" t="str">
        <f>IFERROR(VLOOKUP(Table2[[#This Row], [Ticket]],Okey!A:B,2,0),"")</f>
        <v>ok</v>
      </c>
      <c r="I1514" s="36" t="s">
        <v>5290</v>
      </c>
      <c r="J1514" s="36" t="str">
        <f>VLOOKUP(Table2[[#This Row], [Author]],People!A:B,2,0)</f>
        <v>HC</v>
      </c>
      <c r="M1514" s="36" t="s">
        <v>4787</v>
      </c>
    </row>
    <row r="1515" spans="1:13" hidden="1" x14ac:dyDescent="0.25">
      <c r="A1515" s="46">
        <f t="shared" si="23"/>
        <v>1514</v>
      </c>
      <c r="B1515" s="36" t="s">
        <v>4</v>
      </c>
      <c r="C1515" s="36" t="s">
        <v>7588</v>
      </c>
      <c r="D1515" s="9" t="s">
        <v>7617</v>
      </c>
      <c r="E1515" s="9" t="s">
        <v>7624</v>
      </c>
      <c r="G1515" s="36" t="s">
        <v>15</v>
      </c>
      <c r="H1515" s="36" t="str">
        <f>IFERROR(VLOOKUP(Table2[[#This Row], [Ticket]],Okey!A:B,2,0),"")</f>
        <v>ok</v>
      </c>
      <c r="I1515" s="36" t="s">
        <v>5290</v>
      </c>
      <c r="J1515" s="36" t="str">
        <f>VLOOKUP(Table2[[#This Row], [Author]],People!A:B,2,0)</f>
        <v>HC</v>
      </c>
      <c r="M1515" s="36" t="s">
        <v>4787</v>
      </c>
    </row>
    <row r="1516" spans="1:13" hidden="1" x14ac:dyDescent="0.25">
      <c r="A1516" s="46">
        <f t="shared" si="23"/>
        <v>1515</v>
      </c>
      <c r="B1516" s="36" t="s">
        <v>4</v>
      </c>
      <c r="C1516" s="36" t="s">
        <v>7588</v>
      </c>
      <c r="D1516" s="9" t="s">
        <v>7618</v>
      </c>
      <c r="E1516" s="9" t="s">
        <v>7625</v>
      </c>
      <c r="G1516" s="36" t="s">
        <v>15</v>
      </c>
      <c r="H1516" s="36" t="str">
        <f>IFERROR(VLOOKUP(Table2[[#This Row], [Ticket]],Okey!A:B,2,0),"")</f>
        <v>ok</v>
      </c>
      <c r="I1516" s="36" t="s">
        <v>5290</v>
      </c>
      <c r="J1516" s="36" t="str">
        <f>VLOOKUP(Table2[[#This Row], [Author]],People!A:B,2,0)</f>
        <v>HC</v>
      </c>
      <c r="M1516" s="36" t="s">
        <v>4787</v>
      </c>
    </row>
    <row r="1517" spans="1:13" hidden="1" x14ac:dyDescent="0.25">
      <c r="A1517" s="46">
        <f t="shared" si="23"/>
        <v>1516</v>
      </c>
      <c r="B1517" s="36" t="s">
        <v>4</v>
      </c>
      <c r="C1517" s="36" t="s">
        <v>7588</v>
      </c>
      <c r="D1517" s="9" t="s">
        <v>7619</v>
      </c>
      <c r="E1517" s="9" t="s">
        <v>7626</v>
      </c>
      <c r="G1517" s="36" t="s">
        <v>15</v>
      </c>
      <c r="H1517" s="36" t="str">
        <f>IFERROR(VLOOKUP(Table2[[#This Row], [Ticket]],Okey!A:B,2,0),"")</f>
        <v>ok</v>
      </c>
      <c r="I1517" s="36" t="s">
        <v>5290</v>
      </c>
      <c r="J1517" s="36" t="str">
        <f>VLOOKUP(Table2[[#This Row], [Author]],People!A:B,2,0)</f>
        <v>HC</v>
      </c>
      <c r="M1517" s="36" t="s">
        <v>4787</v>
      </c>
    </row>
    <row r="1518" spans="1:13" x14ac:dyDescent="0.25">
      <c r="A1518" s="46">
        <f t="shared" si="23"/>
        <v>1517</v>
      </c>
      <c r="B1518" s="36" t="s">
        <v>4</v>
      </c>
      <c r="C1518" s="9" t="s">
        <v>7627</v>
      </c>
      <c r="D1518" s="36" t="s">
        <v>7635</v>
      </c>
      <c r="E1518" s="9" t="s">
        <v>7628</v>
      </c>
      <c r="F1518" s="9" t="s">
        <v>4840</v>
      </c>
      <c r="G1518" s="36" t="s">
        <v>14</v>
      </c>
      <c r="H1518" s="36" t="str">
        <f>IFERROR(VLOOKUP(Table2[[#This Row], [Ticket]],Okey!A:B,2,0),"")</f>
        <v/>
      </c>
      <c r="I1518" s="9" t="s">
        <v>6455</v>
      </c>
      <c r="J1518" s="36" t="str">
        <f>VLOOKUP(Table2[[#This Row], [Author]],People!A:B,2,0)</f>
        <v>MGF</v>
      </c>
      <c r="K1518" s="9" t="s">
        <v>7860</v>
      </c>
      <c r="L1518" s="9" t="e">
        <f>VLOOKUP(Table2[[#This Row],[Node]],Sheet6!B:C,2,0)</f>
        <v>#N/A</v>
      </c>
      <c r="M1518" s="9" t="s">
        <v>4778</v>
      </c>
    </row>
    <row r="1519" spans="1:13" x14ac:dyDescent="0.25">
      <c r="A1519" s="46">
        <f t="shared" si="23"/>
        <v>1518</v>
      </c>
      <c r="B1519" s="36" t="s">
        <v>4</v>
      </c>
      <c r="C1519" s="36" t="s">
        <v>7627</v>
      </c>
      <c r="D1519" s="36" t="s">
        <v>7636</v>
      </c>
      <c r="E1519" s="9" t="s">
        <v>7629</v>
      </c>
      <c r="F1519" s="9" t="s">
        <v>6422</v>
      </c>
      <c r="G1519" s="36" t="s">
        <v>14</v>
      </c>
      <c r="H1519" s="36" t="str">
        <f>IFERROR(VLOOKUP(Table2[[#This Row], [Ticket]],Okey!A:B,2,0),"")</f>
        <v/>
      </c>
      <c r="I1519" s="36" t="s">
        <v>6455</v>
      </c>
      <c r="J1519" s="36" t="str">
        <f>VLOOKUP(Table2[[#This Row], [Author]],People!A:B,2,0)</f>
        <v>MGF</v>
      </c>
      <c r="K1519" s="36" t="s">
        <v>7860</v>
      </c>
      <c r="L1519" s="36" t="e">
        <f>VLOOKUP(Table2[[#This Row],[Node]],Sheet6!B:C,2,0)</f>
        <v>#N/A</v>
      </c>
      <c r="M1519" s="36" t="s">
        <v>4778</v>
      </c>
    </row>
    <row r="1520" spans="1:13" x14ac:dyDescent="0.25">
      <c r="A1520" s="46">
        <f t="shared" si="23"/>
        <v>1519</v>
      </c>
      <c r="B1520" s="36" t="s">
        <v>4</v>
      </c>
      <c r="C1520" s="36" t="s">
        <v>7627</v>
      </c>
      <c r="D1520" s="36" t="s">
        <v>7637</v>
      </c>
      <c r="E1520" s="9" t="s">
        <v>7630</v>
      </c>
      <c r="F1520" s="9" t="s">
        <v>7642</v>
      </c>
      <c r="G1520" s="36" t="s">
        <v>14</v>
      </c>
      <c r="H1520" s="36" t="str">
        <f>IFERROR(VLOOKUP(Table2[[#This Row], [Ticket]],Okey!A:B,2,0),"")</f>
        <v/>
      </c>
      <c r="I1520" s="36" t="s">
        <v>6455</v>
      </c>
      <c r="J1520" s="36" t="str">
        <f>VLOOKUP(Table2[[#This Row], [Author]],People!A:B,2,0)</f>
        <v>MGF</v>
      </c>
      <c r="K1520" s="36" t="s">
        <v>7860</v>
      </c>
      <c r="L1520" s="36" t="e">
        <f>VLOOKUP(Table2[[#This Row],[Node]],Sheet6!B:C,2,0)</f>
        <v>#N/A</v>
      </c>
      <c r="M1520" s="36" t="s">
        <v>4778</v>
      </c>
    </row>
    <row r="1521" spans="1:13" x14ac:dyDescent="0.25">
      <c r="A1521" s="46">
        <f t="shared" si="23"/>
        <v>1520</v>
      </c>
      <c r="B1521" s="36" t="s">
        <v>4</v>
      </c>
      <c r="C1521" s="36" t="s">
        <v>7627</v>
      </c>
      <c r="D1521" s="36" t="s">
        <v>7638</v>
      </c>
      <c r="E1521" s="9" t="s">
        <v>7631</v>
      </c>
      <c r="F1521" s="9" t="s">
        <v>3660</v>
      </c>
      <c r="G1521" s="36" t="s">
        <v>14</v>
      </c>
      <c r="H1521" s="36" t="str">
        <f>IFERROR(VLOOKUP(Table2[[#This Row], [Ticket]],Okey!A:B,2,0),"")</f>
        <v/>
      </c>
      <c r="I1521" s="36" t="s">
        <v>6455</v>
      </c>
      <c r="J1521" s="36" t="str">
        <f>VLOOKUP(Table2[[#This Row], [Author]],People!A:B,2,0)</f>
        <v>MGF</v>
      </c>
      <c r="K1521" s="36" t="s">
        <v>7860</v>
      </c>
      <c r="L1521" s="36" t="e">
        <f>VLOOKUP(Table2[[#This Row],[Node]],Sheet6!B:C,2,0)</f>
        <v>#N/A</v>
      </c>
      <c r="M1521" s="36" t="s">
        <v>4778</v>
      </c>
    </row>
    <row r="1522" spans="1:13" x14ac:dyDescent="0.25">
      <c r="A1522" s="46">
        <f t="shared" si="23"/>
        <v>1521</v>
      </c>
      <c r="B1522" s="36" t="s">
        <v>4</v>
      </c>
      <c r="C1522" s="36" t="s">
        <v>7627</v>
      </c>
      <c r="D1522" s="36" t="s">
        <v>7639</v>
      </c>
      <c r="E1522" s="9" t="s">
        <v>7632</v>
      </c>
      <c r="F1522" s="36" t="s">
        <v>7638</v>
      </c>
      <c r="G1522" s="36" t="s">
        <v>14</v>
      </c>
      <c r="H1522" s="36" t="str">
        <f>IFERROR(VLOOKUP(Table2[[#This Row], [Ticket]],Okey!A:B,2,0),"")</f>
        <v/>
      </c>
      <c r="I1522" s="36" t="s">
        <v>6455</v>
      </c>
      <c r="J1522" s="36" t="str">
        <f>VLOOKUP(Table2[[#This Row], [Author]],People!A:B,2,0)</f>
        <v>MGF</v>
      </c>
      <c r="K1522" s="36" t="s">
        <v>7860</v>
      </c>
      <c r="L1522" s="36" t="e">
        <f>VLOOKUP(Table2[[#This Row],[Node]],Sheet6!B:C,2,0)</f>
        <v>#N/A</v>
      </c>
      <c r="M1522" s="36" t="s">
        <v>4778</v>
      </c>
    </row>
    <row r="1523" spans="1:13" x14ac:dyDescent="0.25">
      <c r="A1523" s="46">
        <f t="shared" si="23"/>
        <v>1522</v>
      </c>
      <c r="B1523" s="36" t="s">
        <v>4</v>
      </c>
      <c r="C1523" s="36" t="s">
        <v>7627</v>
      </c>
      <c r="D1523" s="36" t="s">
        <v>7640</v>
      </c>
      <c r="E1523" s="9" t="s">
        <v>7633</v>
      </c>
      <c r="F1523" s="36" t="s">
        <v>7638</v>
      </c>
      <c r="G1523" s="36" t="s">
        <v>14</v>
      </c>
      <c r="H1523" s="36" t="str">
        <f>IFERROR(VLOOKUP(Table2[[#This Row], [Ticket]],Okey!A:B,2,0),"")</f>
        <v/>
      </c>
      <c r="I1523" s="36" t="s">
        <v>6455</v>
      </c>
      <c r="J1523" s="36" t="str">
        <f>VLOOKUP(Table2[[#This Row], [Author]],People!A:B,2,0)</f>
        <v>MGF</v>
      </c>
      <c r="K1523" s="36" t="s">
        <v>7860</v>
      </c>
      <c r="L1523" s="36" t="e">
        <f>VLOOKUP(Table2[[#This Row],[Node]],Sheet6!B:C,2,0)</f>
        <v>#N/A</v>
      </c>
      <c r="M1523" s="36" t="s">
        <v>4778</v>
      </c>
    </row>
    <row r="1524" spans="1:13" x14ac:dyDescent="0.25">
      <c r="A1524" s="46">
        <f t="shared" si="23"/>
        <v>1523</v>
      </c>
      <c r="B1524" s="36" t="s">
        <v>4</v>
      </c>
      <c r="C1524" s="36" t="s">
        <v>7627</v>
      </c>
      <c r="D1524" s="36" t="s">
        <v>7641</v>
      </c>
      <c r="E1524" s="9" t="s">
        <v>7634</v>
      </c>
      <c r="F1524" s="36" t="s">
        <v>7638</v>
      </c>
      <c r="G1524" s="36" t="s">
        <v>14</v>
      </c>
      <c r="H1524" s="36" t="str">
        <f>IFERROR(VLOOKUP(Table2[[#This Row], [Ticket]],Okey!A:B,2,0),"")</f>
        <v/>
      </c>
      <c r="I1524" s="36" t="s">
        <v>6455</v>
      </c>
      <c r="J1524" s="36" t="str">
        <f>VLOOKUP(Table2[[#This Row], [Author]],People!A:B,2,0)</f>
        <v>MGF</v>
      </c>
      <c r="K1524" s="36" t="s">
        <v>7860</v>
      </c>
      <c r="L1524" s="36" t="e">
        <f>VLOOKUP(Table2[[#This Row],[Node]],Sheet6!B:C,2,0)</f>
        <v>#N/A</v>
      </c>
      <c r="M1524" s="36" t="s">
        <v>4778</v>
      </c>
    </row>
    <row r="1525" spans="1:13" x14ac:dyDescent="0.25">
      <c r="A1525" s="46">
        <f t="shared" si="23"/>
        <v>1524</v>
      </c>
      <c r="B1525" s="36" t="s">
        <v>4</v>
      </c>
      <c r="C1525" s="36" t="s">
        <v>7627</v>
      </c>
      <c r="D1525" s="9" t="s">
        <v>7643</v>
      </c>
      <c r="E1525" s="9" t="s">
        <v>7644</v>
      </c>
      <c r="G1525" s="9" t="s">
        <v>15</v>
      </c>
      <c r="H1525" s="36" t="str">
        <f>IFERROR(VLOOKUP(Table2[[#This Row], [Ticket]],Okey!A:B,2,0),"")</f>
        <v/>
      </c>
      <c r="I1525" s="9" t="s">
        <v>6455</v>
      </c>
      <c r="J1525" s="36" t="str">
        <f>VLOOKUP(Table2[[#This Row], [Author]],People!A:B,2,0)</f>
        <v>MGF</v>
      </c>
      <c r="K1525" s="36" t="s">
        <v>7859</v>
      </c>
      <c r="L1525" s="36"/>
      <c r="M1525" s="36" t="s">
        <v>4778</v>
      </c>
    </row>
    <row r="1526" spans="1:13" x14ac:dyDescent="0.25">
      <c r="A1526" s="46">
        <f t="shared" si="23"/>
        <v>1525</v>
      </c>
      <c r="B1526" s="36" t="s">
        <v>4</v>
      </c>
      <c r="C1526" s="36" t="s">
        <v>7627</v>
      </c>
      <c r="D1526" s="9" t="s">
        <v>7645</v>
      </c>
      <c r="E1526" s="9" t="s">
        <v>7646</v>
      </c>
      <c r="G1526" s="36" t="s">
        <v>15</v>
      </c>
      <c r="H1526" s="36" t="str">
        <f>IFERROR(VLOOKUP(Table2[[#This Row], [Ticket]],Okey!A:B,2,0),"")</f>
        <v/>
      </c>
      <c r="I1526" s="36" t="s">
        <v>6455</v>
      </c>
      <c r="J1526" s="36" t="str">
        <f>VLOOKUP(Table2[[#This Row], [Author]],People!A:B,2,0)</f>
        <v>MGF</v>
      </c>
      <c r="K1526" s="36" t="s">
        <v>7859</v>
      </c>
      <c r="L1526" s="36"/>
      <c r="M1526" s="36" t="s">
        <v>4778</v>
      </c>
    </row>
    <row r="1527" spans="1:13" x14ac:dyDescent="0.25">
      <c r="A1527" s="46">
        <f t="shared" si="23"/>
        <v>1526</v>
      </c>
      <c r="B1527" s="36" t="s">
        <v>4</v>
      </c>
      <c r="C1527" s="36" t="s">
        <v>7627</v>
      </c>
      <c r="D1527" s="9" t="s">
        <v>7647</v>
      </c>
      <c r="E1527" s="9" t="s">
        <v>7648</v>
      </c>
      <c r="G1527" s="36" t="s">
        <v>15</v>
      </c>
      <c r="H1527" s="36" t="str">
        <f>IFERROR(VLOOKUP(Table2[[#This Row], [Ticket]],Okey!A:B,2,0),"")</f>
        <v/>
      </c>
      <c r="I1527" s="36" t="s">
        <v>6455</v>
      </c>
      <c r="J1527" s="36" t="str">
        <f>VLOOKUP(Table2[[#This Row], [Author]],People!A:B,2,0)</f>
        <v>MGF</v>
      </c>
      <c r="K1527" s="36" t="s">
        <v>7859</v>
      </c>
      <c r="L1527" s="36"/>
      <c r="M1527" s="36" t="s">
        <v>4778</v>
      </c>
    </row>
    <row r="1528" spans="1:13" x14ac:dyDescent="0.25">
      <c r="A1528" s="46">
        <f t="shared" si="23"/>
        <v>1527</v>
      </c>
      <c r="B1528" s="36" t="s">
        <v>4</v>
      </c>
      <c r="C1528" s="36" t="s">
        <v>7627</v>
      </c>
      <c r="D1528" s="9" t="s">
        <v>7649</v>
      </c>
      <c r="E1528" s="9" t="s">
        <v>7650</v>
      </c>
      <c r="G1528" s="36" t="s">
        <v>15</v>
      </c>
      <c r="H1528" s="36" t="str">
        <f>IFERROR(VLOOKUP(Table2[[#This Row], [Ticket]],Okey!A:B,2,0),"")</f>
        <v/>
      </c>
      <c r="I1528" s="36" t="s">
        <v>6455</v>
      </c>
      <c r="J1528" s="36" t="str">
        <f>VLOOKUP(Table2[[#This Row], [Author]],People!A:B,2,0)</f>
        <v>MGF</v>
      </c>
      <c r="K1528" s="36" t="s">
        <v>7859</v>
      </c>
      <c r="L1528" s="36"/>
      <c r="M1528" s="36" t="s">
        <v>4778</v>
      </c>
    </row>
    <row r="1529" spans="1:13" x14ac:dyDescent="0.25">
      <c r="A1529" s="46">
        <f t="shared" si="23"/>
        <v>1528</v>
      </c>
      <c r="B1529" s="36" t="s">
        <v>4</v>
      </c>
      <c r="C1529" s="36" t="s">
        <v>7627</v>
      </c>
      <c r="D1529" s="9" t="s">
        <v>7651</v>
      </c>
      <c r="E1529" s="9" t="s">
        <v>7652</v>
      </c>
      <c r="G1529" s="36" t="s">
        <v>15</v>
      </c>
      <c r="H1529" s="36" t="str">
        <f>IFERROR(VLOOKUP(Table2[[#This Row], [Ticket]],Okey!A:B,2,0),"")</f>
        <v/>
      </c>
      <c r="I1529" s="36" t="s">
        <v>6455</v>
      </c>
      <c r="J1529" s="36" t="str">
        <f>VLOOKUP(Table2[[#This Row], [Author]],People!A:B,2,0)</f>
        <v>MGF</v>
      </c>
      <c r="K1529" s="36" t="s">
        <v>7859</v>
      </c>
      <c r="L1529" s="36"/>
      <c r="M1529" s="36" t="s">
        <v>4778</v>
      </c>
    </row>
    <row r="1530" spans="1:13" x14ac:dyDescent="0.25">
      <c r="A1530" s="46">
        <f t="shared" si="23"/>
        <v>1529</v>
      </c>
      <c r="B1530" s="36" t="s">
        <v>4</v>
      </c>
      <c r="C1530" s="36" t="s">
        <v>7627</v>
      </c>
      <c r="D1530" s="9" t="s">
        <v>7653</v>
      </c>
      <c r="E1530" s="9" t="s">
        <v>7654</v>
      </c>
      <c r="G1530" s="36" t="s">
        <v>15</v>
      </c>
      <c r="H1530" s="36" t="str">
        <f>IFERROR(VLOOKUP(Table2[[#This Row], [Ticket]],Okey!A:B,2,0),"")</f>
        <v/>
      </c>
      <c r="I1530" s="36" t="s">
        <v>6455</v>
      </c>
      <c r="J1530" s="36" t="str">
        <f>VLOOKUP(Table2[[#This Row], [Author]],People!A:B,2,0)</f>
        <v>MGF</v>
      </c>
      <c r="K1530" s="36" t="s">
        <v>7859</v>
      </c>
      <c r="L1530" s="36"/>
      <c r="M1530" s="36" t="s">
        <v>4778</v>
      </c>
    </row>
    <row r="1531" spans="1:13" x14ac:dyDescent="0.25">
      <c r="A1531" s="46">
        <f t="shared" si="23"/>
        <v>1530</v>
      </c>
      <c r="B1531" s="36" t="s">
        <v>4</v>
      </c>
      <c r="C1531" s="36" t="s">
        <v>7627</v>
      </c>
      <c r="D1531" s="9" t="s">
        <v>7655</v>
      </c>
      <c r="E1531" s="9" t="s">
        <v>7656</v>
      </c>
      <c r="G1531" s="36" t="s">
        <v>15</v>
      </c>
      <c r="H1531" s="36" t="str">
        <f>IFERROR(VLOOKUP(Table2[[#This Row], [Ticket]],Okey!A:B,2,0),"")</f>
        <v/>
      </c>
      <c r="I1531" s="36" t="s">
        <v>6455</v>
      </c>
      <c r="J1531" s="36" t="str">
        <f>VLOOKUP(Table2[[#This Row], [Author]],People!A:B,2,0)</f>
        <v>MGF</v>
      </c>
      <c r="K1531" s="36" t="s">
        <v>7859</v>
      </c>
      <c r="L1531" s="36"/>
      <c r="M1531" s="36" t="s">
        <v>4778</v>
      </c>
    </row>
    <row r="1532" spans="1:13" x14ac:dyDescent="0.25">
      <c r="A1532" s="46">
        <f t="shared" si="23"/>
        <v>1531</v>
      </c>
      <c r="B1532" s="36" t="s">
        <v>4</v>
      </c>
      <c r="C1532" s="36" t="s">
        <v>7627</v>
      </c>
      <c r="D1532" s="9" t="s">
        <v>7657</v>
      </c>
      <c r="E1532" s="9" t="s">
        <v>7658</v>
      </c>
      <c r="G1532" s="36" t="s">
        <v>15</v>
      </c>
      <c r="H1532" s="36" t="str">
        <f>IFERROR(VLOOKUP(Table2[[#This Row], [Ticket]],Okey!A:B,2,0),"")</f>
        <v/>
      </c>
      <c r="I1532" s="36" t="s">
        <v>6455</v>
      </c>
      <c r="J1532" s="36" t="str">
        <f>VLOOKUP(Table2[[#This Row], [Author]],People!A:B,2,0)</f>
        <v>MGF</v>
      </c>
      <c r="K1532" s="36" t="s">
        <v>7859</v>
      </c>
      <c r="L1532" s="36"/>
      <c r="M1532" s="36" t="s">
        <v>4778</v>
      </c>
    </row>
    <row r="1533" spans="1:13" x14ac:dyDescent="0.25">
      <c r="A1533" s="46">
        <f t="shared" si="23"/>
        <v>1532</v>
      </c>
      <c r="B1533" s="36" t="s">
        <v>4</v>
      </c>
      <c r="C1533" s="36" t="s">
        <v>7627</v>
      </c>
      <c r="D1533" s="9" t="s">
        <v>5602</v>
      </c>
      <c r="E1533" s="9" t="s">
        <v>7659</v>
      </c>
      <c r="G1533" s="36" t="s">
        <v>15</v>
      </c>
      <c r="H1533" s="36" t="str">
        <f>IFERROR(VLOOKUP(Table2[[#This Row], [Ticket]],Okey!A:B,2,0),"")</f>
        <v/>
      </c>
      <c r="I1533" s="36" t="s">
        <v>6455</v>
      </c>
      <c r="J1533" s="36" t="str">
        <f>VLOOKUP(Table2[[#This Row], [Author]],People!A:B,2,0)</f>
        <v>MGF</v>
      </c>
      <c r="K1533" s="36" t="s">
        <v>7859</v>
      </c>
      <c r="L1533" s="36"/>
      <c r="M1533" s="36" t="s">
        <v>4778</v>
      </c>
    </row>
    <row r="1534" spans="1:13" x14ac:dyDescent="0.25">
      <c r="A1534" s="46">
        <f t="shared" si="23"/>
        <v>1533</v>
      </c>
      <c r="B1534" s="36" t="s">
        <v>4</v>
      </c>
      <c r="C1534" s="36" t="s">
        <v>7627</v>
      </c>
      <c r="D1534" s="9" t="s">
        <v>5616</v>
      </c>
      <c r="E1534" s="9" t="s">
        <v>7660</v>
      </c>
      <c r="G1534" s="36" t="s">
        <v>15</v>
      </c>
      <c r="H1534" s="36" t="str">
        <f>IFERROR(VLOOKUP(Table2[[#This Row], [Ticket]],Okey!A:B,2,0),"")</f>
        <v/>
      </c>
      <c r="I1534" s="36" t="s">
        <v>6455</v>
      </c>
      <c r="J1534" s="36" t="str">
        <f>VLOOKUP(Table2[[#This Row], [Author]],People!A:B,2,0)</f>
        <v>MGF</v>
      </c>
      <c r="K1534" s="36" t="s">
        <v>7859</v>
      </c>
      <c r="L1534" s="36"/>
      <c r="M1534" s="36" t="s">
        <v>4778</v>
      </c>
    </row>
    <row r="1535" spans="1:13" x14ac:dyDescent="0.25">
      <c r="A1535" s="46">
        <f t="shared" si="23"/>
        <v>1534</v>
      </c>
      <c r="B1535" s="36" t="s">
        <v>4</v>
      </c>
      <c r="C1535" s="36" t="s">
        <v>7627</v>
      </c>
      <c r="D1535" s="9" t="s">
        <v>5621</v>
      </c>
      <c r="E1535" s="9" t="s">
        <v>7661</v>
      </c>
      <c r="G1535" s="36" t="s">
        <v>15</v>
      </c>
      <c r="H1535" s="36" t="str">
        <f>IFERROR(VLOOKUP(Table2[[#This Row], [Ticket]],Okey!A:B,2,0),"")</f>
        <v/>
      </c>
      <c r="I1535" s="36" t="s">
        <v>6455</v>
      </c>
      <c r="J1535" s="36" t="str">
        <f>VLOOKUP(Table2[[#This Row], [Author]],People!A:B,2,0)</f>
        <v>MGF</v>
      </c>
      <c r="K1535" s="36" t="s">
        <v>7859</v>
      </c>
      <c r="L1535" s="36"/>
      <c r="M1535" s="36" t="s">
        <v>4778</v>
      </c>
    </row>
    <row r="1536" spans="1:13" x14ac:dyDescent="0.25">
      <c r="A1536" s="46">
        <f t="shared" si="23"/>
        <v>1535</v>
      </c>
      <c r="B1536" s="36" t="s">
        <v>4</v>
      </c>
      <c r="C1536" s="36" t="s">
        <v>7627</v>
      </c>
      <c r="D1536" s="9" t="s">
        <v>5627</v>
      </c>
      <c r="E1536" s="9" t="s">
        <v>7662</v>
      </c>
      <c r="G1536" s="36" t="s">
        <v>15</v>
      </c>
      <c r="H1536" s="36" t="str">
        <f>IFERROR(VLOOKUP(Table2[[#This Row], [Ticket]],Okey!A:B,2,0),"")</f>
        <v/>
      </c>
      <c r="I1536" s="36" t="s">
        <v>6455</v>
      </c>
      <c r="J1536" s="36" t="str">
        <f>VLOOKUP(Table2[[#This Row], [Author]],People!A:B,2,0)</f>
        <v>MGF</v>
      </c>
      <c r="K1536" s="36" t="s">
        <v>7859</v>
      </c>
      <c r="L1536" s="36"/>
      <c r="M1536" s="36" t="s">
        <v>4778</v>
      </c>
    </row>
    <row r="1537" spans="1:13" x14ac:dyDescent="0.25">
      <c r="A1537" s="46">
        <f t="shared" si="23"/>
        <v>1536</v>
      </c>
      <c r="B1537" s="36" t="s">
        <v>4</v>
      </c>
      <c r="C1537" s="36" t="s">
        <v>7627</v>
      </c>
      <c r="D1537" s="9" t="s">
        <v>5637</v>
      </c>
      <c r="E1537" s="9" t="s">
        <v>7663</v>
      </c>
      <c r="G1537" s="36" t="s">
        <v>15</v>
      </c>
      <c r="H1537" s="36" t="str">
        <f>IFERROR(VLOOKUP(Table2[[#This Row], [Ticket]],Okey!A:B,2,0),"")</f>
        <v/>
      </c>
      <c r="I1537" s="36" t="s">
        <v>6455</v>
      </c>
      <c r="J1537" s="36" t="str">
        <f>VLOOKUP(Table2[[#This Row], [Author]],People!A:B,2,0)</f>
        <v>MGF</v>
      </c>
      <c r="K1537" s="36" t="s">
        <v>7859</v>
      </c>
      <c r="L1537" s="36"/>
      <c r="M1537" s="36" t="s">
        <v>4778</v>
      </c>
    </row>
    <row r="1538" spans="1:13" x14ac:dyDescent="0.25">
      <c r="A1538" s="46">
        <f t="shared" si="23"/>
        <v>1537</v>
      </c>
      <c r="B1538" s="36" t="s">
        <v>4</v>
      </c>
      <c r="C1538" s="36" t="s">
        <v>7627</v>
      </c>
      <c r="D1538" s="9" t="s">
        <v>7664</v>
      </c>
      <c r="E1538" s="9" t="s">
        <v>7665</v>
      </c>
      <c r="G1538" s="36" t="s">
        <v>15</v>
      </c>
      <c r="H1538" s="36" t="str">
        <f>IFERROR(VLOOKUP(Table2[[#This Row], [Ticket]],Okey!A:B,2,0),"")</f>
        <v/>
      </c>
      <c r="I1538" s="36" t="s">
        <v>6455</v>
      </c>
      <c r="J1538" s="36" t="str">
        <f>VLOOKUP(Table2[[#This Row], [Author]],People!A:B,2,0)</f>
        <v>MGF</v>
      </c>
      <c r="K1538" s="36" t="s">
        <v>7859</v>
      </c>
      <c r="L1538" s="36"/>
      <c r="M1538" s="36" t="s">
        <v>4778</v>
      </c>
    </row>
    <row r="1539" spans="1:13" x14ac:dyDescent="0.25">
      <c r="A1539" s="46">
        <f t="shared" ref="A1539:A1602" si="24">1+A1538</f>
        <v>1538</v>
      </c>
      <c r="B1539" s="36" t="s">
        <v>4</v>
      </c>
      <c r="C1539" s="36" t="s">
        <v>7627</v>
      </c>
      <c r="D1539" s="9" t="s">
        <v>7666</v>
      </c>
      <c r="E1539" s="9" t="s">
        <v>7667</v>
      </c>
      <c r="G1539" s="36" t="s">
        <v>15</v>
      </c>
      <c r="H1539" s="36" t="str">
        <f>IFERROR(VLOOKUP(Table2[[#This Row], [Ticket]],Okey!A:B,2,0),"")</f>
        <v/>
      </c>
      <c r="I1539" s="36" t="s">
        <v>6455</v>
      </c>
      <c r="J1539" s="36" t="str">
        <f>VLOOKUP(Table2[[#This Row], [Author]],People!A:B,2,0)</f>
        <v>MGF</v>
      </c>
      <c r="K1539" s="36" t="s">
        <v>7859</v>
      </c>
      <c r="L1539" s="36"/>
      <c r="M1539" s="36" t="s">
        <v>4778</v>
      </c>
    </row>
    <row r="1540" spans="1:13" x14ac:dyDescent="0.25">
      <c r="A1540" s="46">
        <f t="shared" si="24"/>
        <v>1539</v>
      </c>
      <c r="B1540" s="36" t="s">
        <v>4</v>
      </c>
      <c r="C1540" s="36" t="s">
        <v>7627</v>
      </c>
      <c r="D1540" s="9" t="s">
        <v>7668</v>
      </c>
      <c r="E1540" s="9" t="s">
        <v>7669</v>
      </c>
      <c r="G1540" s="36" t="s">
        <v>15</v>
      </c>
      <c r="H1540" s="36" t="str">
        <f>IFERROR(VLOOKUP(Table2[[#This Row], [Ticket]],Okey!A:B,2,0),"")</f>
        <v/>
      </c>
      <c r="I1540" s="36" t="s">
        <v>6455</v>
      </c>
      <c r="J1540" s="36" t="str">
        <f>VLOOKUP(Table2[[#This Row], [Author]],People!A:B,2,0)</f>
        <v>MGF</v>
      </c>
      <c r="K1540" s="36" t="s">
        <v>7859</v>
      </c>
      <c r="L1540" s="36"/>
      <c r="M1540" s="36" t="s">
        <v>4778</v>
      </c>
    </row>
    <row r="1541" spans="1:13" x14ac:dyDescent="0.25">
      <c r="A1541" s="46">
        <f t="shared" si="24"/>
        <v>1540</v>
      </c>
      <c r="B1541" s="36" t="s">
        <v>4</v>
      </c>
      <c r="C1541" s="36" t="s">
        <v>7627</v>
      </c>
      <c r="D1541" s="9" t="s">
        <v>7670</v>
      </c>
      <c r="E1541" s="9" t="s">
        <v>7671</v>
      </c>
      <c r="F1541" s="9" t="s">
        <v>7647</v>
      </c>
      <c r="G1541" s="9" t="s">
        <v>16</v>
      </c>
      <c r="H1541" s="36" t="str">
        <f>IFERROR(VLOOKUP(Table2[[#This Row], [Ticket]],Okey!A:B,2,0),"")</f>
        <v/>
      </c>
      <c r="I1541" s="9" t="s">
        <v>6455</v>
      </c>
      <c r="J1541" s="36" t="str">
        <f>VLOOKUP(Table2[[#This Row], [Author]],People!A:B,2,0)</f>
        <v>MGF</v>
      </c>
      <c r="K1541" s="36" t="s">
        <v>7861</v>
      </c>
      <c r="L1541" s="36" t="str">
        <f>VLOOKUP(Table2[[#This Row],[Node]],Sheet6!B:C,2,0)</f>
        <v>G000001229</v>
      </c>
      <c r="M1541" s="36" t="s">
        <v>4778</v>
      </c>
    </row>
    <row r="1542" spans="1:13" x14ac:dyDescent="0.25">
      <c r="A1542" s="46">
        <f t="shared" si="24"/>
        <v>1541</v>
      </c>
      <c r="B1542" s="36" t="s">
        <v>4</v>
      </c>
      <c r="C1542" s="36" t="s">
        <v>7627</v>
      </c>
      <c r="D1542" s="9" t="s">
        <v>7672</v>
      </c>
      <c r="F1542" s="9" t="s">
        <v>275</v>
      </c>
      <c r="G1542" s="9" t="s">
        <v>12</v>
      </c>
      <c r="H1542" s="36" t="str">
        <f>IFERROR(VLOOKUP(Table2[[#This Row], [Ticket]],Okey!A:B,2,0),"")</f>
        <v/>
      </c>
      <c r="I1542" s="36" t="s">
        <v>6455</v>
      </c>
      <c r="J1542" s="36" t="str">
        <f>VLOOKUP(Table2[[#This Row], [Author]],People!A:B,2,0)</f>
        <v>MGF</v>
      </c>
      <c r="K1542" s="9" t="s">
        <v>7862</v>
      </c>
      <c r="M1542" s="36" t="s">
        <v>4778</v>
      </c>
    </row>
    <row r="1543" spans="1:13" x14ac:dyDescent="0.25">
      <c r="A1543" s="46">
        <f t="shared" si="24"/>
        <v>1542</v>
      </c>
      <c r="B1543" s="36" t="s">
        <v>4</v>
      </c>
      <c r="C1543" s="36" t="s">
        <v>7627</v>
      </c>
      <c r="D1543" s="9" t="s">
        <v>7673</v>
      </c>
      <c r="F1543" s="36" t="s">
        <v>275</v>
      </c>
      <c r="G1543" s="36" t="s">
        <v>12</v>
      </c>
      <c r="H1543" s="36" t="str">
        <f>IFERROR(VLOOKUP(Table2[[#This Row], [Ticket]],Okey!A:B,2,0),"")</f>
        <v/>
      </c>
      <c r="I1543" s="36" t="s">
        <v>6455</v>
      </c>
      <c r="J1543" s="36" t="str">
        <f>VLOOKUP(Table2[[#This Row], [Author]],People!A:B,2,0)</f>
        <v>MGF</v>
      </c>
      <c r="K1543" s="36" t="s">
        <v>7862</v>
      </c>
      <c r="M1543" s="36" t="s">
        <v>4778</v>
      </c>
    </row>
    <row r="1544" spans="1:13" x14ac:dyDescent="0.25">
      <c r="A1544" s="46">
        <f t="shared" si="24"/>
        <v>1543</v>
      </c>
      <c r="B1544" s="36" t="s">
        <v>4</v>
      </c>
      <c r="C1544" s="36" t="s">
        <v>7627</v>
      </c>
      <c r="D1544" s="9" t="s">
        <v>7674</v>
      </c>
      <c r="F1544" s="36" t="s">
        <v>275</v>
      </c>
      <c r="G1544" s="36" t="s">
        <v>12</v>
      </c>
      <c r="H1544" s="36" t="str">
        <f>IFERROR(VLOOKUP(Table2[[#This Row], [Ticket]],Okey!A:B,2,0),"")</f>
        <v/>
      </c>
      <c r="I1544" s="36" t="s">
        <v>6455</v>
      </c>
      <c r="J1544" s="36" t="str">
        <f>VLOOKUP(Table2[[#This Row], [Author]],People!A:B,2,0)</f>
        <v>MGF</v>
      </c>
      <c r="K1544" s="36" t="s">
        <v>7862</v>
      </c>
      <c r="M1544" s="36" t="s">
        <v>4778</v>
      </c>
    </row>
    <row r="1545" spans="1:13" x14ac:dyDescent="0.25">
      <c r="A1545" s="46">
        <f t="shared" si="24"/>
        <v>1544</v>
      </c>
      <c r="B1545" s="36" t="s">
        <v>4</v>
      </c>
      <c r="C1545" s="36" t="s">
        <v>7627</v>
      </c>
      <c r="D1545" s="9" t="s">
        <v>7675</v>
      </c>
      <c r="F1545" s="36" t="s">
        <v>275</v>
      </c>
      <c r="G1545" s="36" t="s">
        <v>12</v>
      </c>
      <c r="H1545" s="36" t="str">
        <f>IFERROR(VLOOKUP(Table2[[#This Row], [Ticket]],Okey!A:B,2,0),"")</f>
        <v/>
      </c>
      <c r="I1545" s="36" t="s">
        <v>6455</v>
      </c>
      <c r="J1545" s="36" t="str">
        <f>VLOOKUP(Table2[[#This Row], [Author]],People!A:B,2,0)</f>
        <v>MGF</v>
      </c>
      <c r="K1545" s="36" t="s">
        <v>7862</v>
      </c>
      <c r="M1545" s="36" t="s">
        <v>4778</v>
      </c>
    </row>
    <row r="1546" spans="1:13" x14ac:dyDescent="0.25">
      <c r="A1546" s="46">
        <f t="shared" si="24"/>
        <v>1545</v>
      </c>
      <c r="B1546" s="36" t="s">
        <v>4</v>
      </c>
      <c r="C1546" s="36" t="s">
        <v>7627</v>
      </c>
      <c r="D1546" s="9" t="s">
        <v>7676</v>
      </c>
      <c r="F1546" s="36" t="s">
        <v>275</v>
      </c>
      <c r="G1546" s="36" t="s">
        <v>12</v>
      </c>
      <c r="H1546" s="36" t="str">
        <f>IFERROR(VLOOKUP(Table2[[#This Row], [Ticket]],Okey!A:B,2,0),"")</f>
        <v/>
      </c>
      <c r="I1546" s="36" t="s">
        <v>6455</v>
      </c>
      <c r="J1546" s="36" t="str">
        <f>VLOOKUP(Table2[[#This Row], [Author]],People!A:B,2,0)</f>
        <v>MGF</v>
      </c>
      <c r="K1546" s="36" t="s">
        <v>7862</v>
      </c>
      <c r="M1546" s="36" t="s">
        <v>4778</v>
      </c>
    </row>
    <row r="1547" spans="1:13" x14ac:dyDescent="0.25">
      <c r="A1547" s="46">
        <f t="shared" si="24"/>
        <v>1546</v>
      </c>
      <c r="B1547" s="36" t="s">
        <v>4</v>
      </c>
      <c r="C1547" s="36" t="s">
        <v>7627</v>
      </c>
      <c r="D1547" s="9" t="s">
        <v>7677</v>
      </c>
      <c r="F1547" s="36" t="s">
        <v>275</v>
      </c>
      <c r="G1547" s="36" t="s">
        <v>12</v>
      </c>
      <c r="H1547" s="36" t="str">
        <f>IFERROR(VLOOKUP(Table2[[#This Row], [Ticket]],Okey!A:B,2,0),"")</f>
        <v/>
      </c>
      <c r="I1547" s="36" t="s">
        <v>6455</v>
      </c>
      <c r="J1547" s="36" t="str">
        <f>VLOOKUP(Table2[[#This Row], [Author]],People!A:B,2,0)</f>
        <v>MGF</v>
      </c>
      <c r="K1547" s="36" t="s">
        <v>7862</v>
      </c>
      <c r="M1547" s="36" t="s">
        <v>4778</v>
      </c>
    </row>
    <row r="1548" spans="1:13" x14ac:dyDescent="0.25">
      <c r="A1548" s="46">
        <f t="shared" si="24"/>
        <v>1547</v>
      </c>
      <c r="B1548" s="36" t="s">
        <v>4</v>
      </c>
      <c r="C1548" s="36" t="s">
        <v>7627</v>
      </c>
      <c r="D1548" s="9" t="s">
        <v>7678</v>
      </c>
      <c r="F1548" s="36" t="s">
        <v>275</v>
      </c>
      <c r="G1548" s="36" t="s">
        <v>12</v>
      </c>
      <c r="H1548" s="36" t="str">
        <f>IFERROR(VLOOKUP(Table2[[#This Row], [Ticket]],Okey!A:B,2,0),"")</f>
        <v/>
      </c>
      <c r="I1548" s="36" t="s">
        <v>6455</v>
      </c>
      <c r="J1548" s="36" t="str">
        <f>VLOOKUP(Table2[[#This Row], [Author]],People!A:B,2,0)</f>
        <v>MGF</v>
      </c>
      <c r="K1548" s="36" t="s">
        <v>7862</v>
      </c>
      <c r="M1548" s="36" t="s">
        <v>4778</v>
      </c>
    </row>
    <row r="1549" spans="1:13" x14ac:dyDescent="0.25">
      <c r="A1549" s="46">
        <f t="shared" si="24"/>
        <v>1548</v>
      </c>
      <c r="B1549" s="36" t="s">
        <v>4</v>
      </c>
      <c r="C1549" s="36" t="s">
        <v>7627</v>
      </c>
      <c r="D1549" s="9" t="s">
        <v>3677</v>
      </c>
      <c r="F1549" s="36" t="s">
        <v>275</v>
      </c>
      <c r="G1549" s="36" t="s">
        <v>12</v>
      </c>
      <c r="H1549" s="36" t="str">
        <f>IFERROR(VLOOKUP(Table2[[#This Row], [Ticket]],Okey!A:B,2,0),"")</f>
        <v/>
      </c>
      <c r="I1549" s="36" t="s">
        <v>6455</v>
      </c>
      <c r="J1549" s="36" t="str">
        <f>VLOOKUP(Table2[[#This Row], [Author]],People!A:B,2,0)</f>
        <v>MGF</v>
      </c>
      <c r="K1549" s="36" t="s">
        <v>7862</v>
      </c>
      <c r="M1549" s="36" t="s">
        <v>4778</v>
      </c>
    </row>
    <row r="1550" spans="1:13" x14ac:dyDescent="0.25">
      <c r="A1550" s="46">
        <f t="shared" si="24"/>
        <v>1549</v>
      </c>
      <c r="B1550" s="36" t="s">
        <v>4</v>
      </c>
      <c r="C1550" s="9" t="s">
        <v>7679</v>
      </c>
      <c r="D1550" s="36" t="s">
        <v>7739</v>
      </c>
      <c r="E1550" s="9" t="s">
        <v>7680</v>
      </c>
      <c r="F1550" s="9" t="s">
        <v>5746</v>
      </c>
      <c r="G1550" s="36" t="s">
        <v>14</v>
      </c>
      <c r="H1550" s="36" t="str">
        <f>IFERROR(VLOOKUP(Table2[[#This Row], [Ticket]],Okey!A:B,2,0),"")</f>
        <v/>
      </c>
      <c r="I1550" s="36" t="s">
        <v>6455</v>
      </c>
      <c r="J1550" s="36" t="str">
        <f>VLOOKUP(Table2[[#This Row], [Author]],People!A:B,2,0)</f>
        <v>LS</v>
      </c>
      <c r="K1550" s="36" t="s">
        <v>7860</v>
      </c>
      <c r="L1550" s="36" t="e">
        <f>VLOOKUP(Table2[[#This Row],[Node]],Sheet6!B:C,2,0)</f>
        <v>#N/A</v>
      </c>
      <c r="M1550" s="9" t="s">
        <v>4799</v>
      </c>
    </row>
    <row r="1551" spans="1:13" x14ac:dyDescent="0.25">
      <c r="A1551" s="46">
        <f t="shared" si="24"/>
        <v>1550</v>
      </c>
      <c r="B1551" s="36" t="s">
        <v>4</v>
      </c>
      <c r="C1551" s="36" t="s">
        <v>7679</v>
      </c>
      <c r="D1551" s="36" t="s">
        <v>7740</v>
      </c>
      <c r="E1551" s="9" t="s">
        <v>7681</v>
      </c>
      <c r="F1551" s="9" t="s">
        <v>5494</v>
      </c>
      <c r="G1551" s="36" t="s">
        <v>14</v>
      </c>
      <c r="H1551" s="36" t="str">
        <f>IFERROR(VLOOKUP(Table2[[#This Row], [Ticket]],Okey!A:B,2,0),"")</f>
        <v/>
      </c>
      <c r="I1551" s="36" t="s">
        <v>6455</v>
      </c>
      <c r="J1551" s="36" t="str">
        <f>VLOOKUP(Table2[[#This Row], [Author]],People!A:B,2,0)</f>
        <v>LS</v>
      </c>
      <c r="K1551" s="36" t="s">
        <v>7860</v>
      </c>
      <c r="L1551" s="36" t="e">
        <f>VLOOKUP(Table2[[#This Row],[Node]],Sheet6!B:C,2,0)</f>
        <v>#N/A</v>
      </c>
      <c r="M1551" s="36" t="s">
        <v>4799</v>
      </c>
    </row>
    <row r="1552" spans="1:13" x14ac:dyDescent="0.25">
      <c r="A1552" s="46">
        <f t="shared" si="24"/>
        <v>1551</v>
      </c>
      <c r="B1552" s="36" t="s">
        <v>4</v>
      </c>
      <c r="C1552" s="36" t="s">
        <v>7679</v>
      </c>
      <c r="D1552" s="36" t="s">
        <v>7741</v>
      </c>
      <c r="E1552" s="9" t="s">
        <v>7682</v>
      </c>
      <c r="F1552" s="9" t="s">
        <v>5494</v>
      </c>
      <c r="G1552" s="36" t="s">
        <v>14</v>
      </c>
      <c r="H1552" s="36" t="str">
        <f>IFERROR(VLOOKUP(Table2[[#This Row], [Ticket]],Okey!A:B,2,0),"")</f>
        <v/>
      </c>
      <c r="I1552" s="36" t="s">
        <v>6455</v>
      </c>
      <c r="J1552" s="36" t="str">
        <f>VLOOKUP(Table2[[#This Row], [Author]],People!A:B,2,0)</f>
        <v>LS</v>
      </c>
      <c r="K1552" s="36" t="s">
        <v>7860</v>
      </c>
      <c r="L1552" s="36" t="e">
        <f>VLOOKUP(Table2[[#This Row],[Node]],Sheet6!B:C,2,0)</f>
        <v>#N/A</v>
      </c>
      <c r="M1552" s="36" t="s">
        <v>4799</v>
      </c>
    </row>
    <row r="1553" spans="1:13" x14ac:dyDescent="0.25">
      <c r="A1553" s="46">
        <f t="shared" si="24"/>
        <v>1552</v>
      </c>
      <c r="B1553" s="36" t="s">
        <v>4</v>
      </c>
      <c r="C1553" s="36" t="s">
        <v>7679</v>
      </c>
      <c r="D1553" s="36" t="s">
        <v>7742</v>
      </c>
      <c r="E1553" s="9" t="s">
        <v>7683</v>
      </c>
      <c r="F1553" s="9" t="s">
        <v>5494</v>
      </c>
      <c r="G1553" s="36" t="s">
        <v>14</v>
      </c>
      <c r="H1553" s="36" t="str">
        <f>IFERROR(VLOOKUP(Table2[[#This Row], [Ticket]],Okey!A:B,2,0),"")</f>
        <v/>
      </c>
      <c r="I1553" s="36" t="s">
        <v>6455</v>
      </c>
      <c r="J1553" s="36" t="str">
        <f>VLOOKUP(Table2[[#This Row], [Author]],People!A:B,2,0)</f>
        <v>LS</v>
      </c>
      <c r="K1553" s="36" t="s">
        <v>7860</v>
      </c>
      <c r="L1553" s="36" t="e">
        <f>VLOOKUP(Table2[[#This Row],[Node]],Sheet6!B:C,2,0)</f>
        <v>#N/A</v>
      </c>
      <c r="M1553" s="36" t="s">
        <v>4799</v>
      </c>
    </row>
    <row r="1554" spans="1:13" x14ac:dyDescent="0.25">
      <c r="A1554" s="46">
        <f t="shared" si="24"/>
        <v>1553</v>
      </c>
      <c r="B1554" s="36" t="s">
        <v>4</v>
      </c>
      <c r="C1554" s="36" t="s">
        <v>7679</v>
      </c>
      <c r="D1554" s="36" t="s">
        <v>7743</v>
      </c>
      <c r="E1554" s="9" t="s">
        <v>7684</v>
      </c>
      <c r="F1554" s="9" t="s">
        <v>3341</v>
      </c>
      <c r="G1554" s="36" t="s">
        <v>14</v>
      </c>
      <c r="H1554" s="36" t="str">
        <f>IFERROR(VLOOKUP(Table2[[#This Row], [Ticket]],Okey!A:B,2,0),"")</f>
        <v/>
      </c>
      <c r="I1554" s="36" t="s">
        <v>6455</v>
      </c>
      <c r="J1554" s="36" t="str">
        <f>VLOOKUP(Table2[[#This Row], [Author]],People!A:B,2,0)</f>
        <v>LS</v>
      </c>
      <c r="K1554" s="36" t="s">
        <v>7860</v>
      </c>
      <c r="L1554" s="36" t="e">
        <f>VLOOKUP(Table2[[#This Row],[Node]],Sheet6!B:C,2,0)</f>
        <v>#N/A</v>
      </c>
      <c r="M1554" s="36" t="s">
        <v>4799</v>
      </c>
    </row>
    <row r="1555" spans="1:13" x14ac:dyDescent="0.25">
      <c r="A1555" s="46">
        <f t="shared" si="24"/>
        <v>1554</v>
      </c>
      <c r="B1555" s="36" t="s">
        <v>4</v>
      </c>
      <c r="C1555" s="36" t="s">
        <v>7679</v>
      </c>
      <c r="D1555" s="36" t="s">
        <v>7744</v>
      </c>
      <c r="E1555" s="9" t="s">
        <v>7685</v>
      </c>
      <c r="F1555" s="9" t="s">
        <v>956</v>
      </c>
      <c r="G1555" s="36" t="s">
        <v>14</v>
      </c>
      <c r="H1555" s="36" t="str">
        <f>IFERROR(VLOOKUP(Table2[[#This Row], [Ticket]],Okey!A:B,2,0),"")</f>
        <v/>
      </c>
      <c r="I1555" s="36" t="s">
        <v>6455</v>
      </c>
      <c r="J1555" s="36" t="str">
        <f>VLOOKUP(Table2[[#This Row], [Author]],People!A:B,2,0)</f>
        <v>LS</v>
      </c>
      <c r="K1555" s="36" t="s">
        <v>7860</v>
      </c>
      <c r="L1555" s="36" t="e">
        <f>VLOOKUP(Table2[[#This Row],[Node]],Sheet6!B:C,2,0)</f>
        <v>#N/A</v>
      </c>
      <c r="M1555" s="36" t="s">
        <v>4799</v>
      </c>
    </row>
    <row r="1556" spans="1:13" x14ac:dyDescent="0.25">
      <c r="A1556" s="46">
        <f t="shared" si="24"/>
        <v>1555</v>
      </c>
      <c r="B1556" s="36" t="s">
        <v>4</v>
      </c>
      <c r="C1556" s="36" t="s">
        <v>7679</v>
      </c>
      <c r="D1556" s="36" t="s">
        <v>7745</v>
      </c>
      <c r="E1556" s="9" t="s">
        <v>7686</v>
      </c>
      <c r="F1556" s="9" t="s">
        <v>956</v>
      </c>
      <c r="G1556" s="36" t="s">
        <v>14</v>
      </c>
      <c r="H1556" s="36" t="str">
        <f>IFERROR(VLOOKUP(Table2[[#This Row], [Ticket]],Okey!A:B,2,0),"")</f>
        <v/>
      </c>
      <c r="I1556" s="36" t="s">
        <v>6455</v>
      </c>
      <c r="J1556" s="36" t="str">
        <f>VLOOKUP(Table2[[#This Row], [Author]],People!A:B,2,0)</f>
        <v>LS</v>
      </c>
      <c r="K1556" s="36" t="s">
        <v>7860</v>
      </c>
      <c r="L1556" s="36" t="e">
        <f>VLOOKUP(Table2[[#This Row],[Node]],Sheet6!B:C,2,0)</f>
        <v>#N/A</v>
      </c>
      <c r="M1556" s="36" t="s">
        <v>4799</v>
      </c>
    </row>
    <row r="1557" spans="1:13" x14ac:dyDescent="0.25">
      <c r="A1557" s="46">
        <f t="shared" si="24"/>
        <v>1556</v>
      </c>
      <c r="B1557" s="36" t="s">
        <v>4</v>
      </c>
      <c r="C1557" s="36" t="s">
        <v>7679</v>
      </c>
      <c r="D1557" s="36" t="s">
        <v>7746</v>
      </c>
      <c r="E1557" s="9" t="s">
        <v>7687</v>
      </c>
      <c r="F1557" s="9" t="s">
        <v>3971</v>
      </c>
      <c r="G1557" s="36" t="s">
        <v>14</v>
      </c>
      <c r="H1557" s="36" t="str">
        <f>IFERROR(VLOOKUP(Table2[[#This Row], [Ticket]],Okey!A:B,2,0),"")</f>
        <v/>
      </c>
      <c r="I1557" s="36" t="s">
        <v>6455</v>
      </c>
      <c r="J1557" s="36" t="str">
        <f>VLOOKUP(Table2[[#This Row], [Author]],People!A:B,2,0)</f>
        <v>LS</v>
      </c>
      <c r="K1557" s="36" t="s">
        <v>7860</v>
      </c>
      <c r="L1557" s="36" t="e">
        <f>VLOOKUP(Table2[[#This Row],[Node]],Sheet6!B:C,2,0)</f>
        <v>#N/A</v>
      </c>
      <c r="M1557" s="36" t="s">
        <v>4799</v>
      </c>
    </row>
    <row r="1558" spans="1:13" x14ac:dyDescent="0.25">
      <c r="A1558" s="46">
        <f t="shared" si="24"/>
        <v>1557</v>
      </c>
      <c r="B1558" s="36" t="s">
        <v>4</v>
      </c>
      <c r="C1558" s="36" t="s">
        <v>7679</v>
      </c>
      <c r="D1558" s="36" t="s">
        <v>7747</v>
      </c>
      <c r="E1558" s="9" t="s">
        <v>7688</v>
      </c>
      <c r="F1558" s="9" t="s">
        <v>3971</v>
      </c>
      <c r="G1558" s="36" t="s">
        <v>14</v>
      </c>
      <c r="H1558" s="36" t="str">
        <f>IFERROR(VLOOKUP(Table2[[#This Row], [Ticket]],Okey!A:B,2,0),"")</f>
        <v/>
      </c>
      <c r="I1558" s="36" t="s">
        <v>6455</v>
      </c>
      <c r="J1558" s="36" t="str">
        <f>VLOOKUP(Table2[[#This Row], [Author]],People!A:B,2,0)</f>
        <v>LS</v>
      </c>
      <c r="K1558" s="36" t="s">
        <v>7860</v>
      </c>
      <c r="L1558" s="36" t="e">
        <f>VLOOKUP(Table2[[#This Row],[Node]],Sheet6!B:C,2,0)</f>
        <v>#N/A</v>
      </c>
      <c r="M1558" s="36" t="s">
        <v>4799</v>
      </c>
    </row>
    <row r="1559" spans="1:13" x14ac:dyDescent="0.25">
      <c r="A1559" s="46">
        <f t="shared" si="24"/>
        <v>1558</v>
      </c>
      <c r="B1559" s="36" t="s">
        <v>4</v>
      </c>
      <c r="C1559" s="36" t="s">
        <v>7679</v>
      </c>
      <c r="D1559" s="36" t="s">
        <v>7748</v>
      </c>
      <c r="E1559" s="9" t="s">
        <v>7689</v>
      </c>
      <c r="F1559" s="9" t="s">
        <v>4831</v>
      </c>
      <c r="G1559" s="36" t="s">
        <v>14</v>
      </c>
      <c r="H1559" s="36" t="str">
        <f>IFERROR(VLOOKUP(Table2[[#This Row], [Ticket]],Okey!A:B,2,0),"")</f>
        <v/>
      </c>
      <c r="I1559" s="36" t="s">
        <v>6455</v>
      </c>
      <c r="J1559" s="36" t="str">
        <f>VLOOKUP(Table2[[#This Row], [Author]],People!A:B,2,0)</f>
        <v>LS</v>
      </c>
      <c r="K1559" s="36" t="s">
        <v>7860</v>
      </c>
      <c r="L1559" s="36" t="e">
        <f>VLOOKUP(Table2[[#This Row],[Node]],Sheet6!B:C,2,0)</f>
        <v>#N/A</v>
      </c>
      <c r="M1559" s="36" t="s">
        <v>4799</v>
      </c>
    </row>
    <row r="1560" spans="1:13" x14ac:dyDescent="0.25">
      <c r="A1560" s="46">
        <f t="shared" si="24"/>
        <v>1559</v>
      </c>
      <c r="B1560" s="36" t="s">
        <v>4</v>
      </c>
      <c r="C1560" s="36" t="s">
        <v>7679</v>
      </c>
      <c r="D1560" s="36" t="s">
        <v>7749</v>
      </c>
      <c r="E1560" s="9" t="s">
        <v>7690</v>
      </c>
      <c r="F1560" s="9" t="s">
        <v>4831</v>
      </c>
      <c r="G1560" s="36" t="s">
        <v>14</v>
      </c>
      <c r="H1560" s="36" t="str">
        <f>IFERROR(VLOOKUP(Table2[[#This Row], [Ticket]],Okey!A:B,2,0),"")</f>
        <v/>
      </c>
      <c r="I1560" s="36" t="s">
        <v>6455</v>
      </c>
      <c r="J1560" s="36" t="str">
        <f>VLOOKUP(Table2[[#This Row], [Author]],People!A:B,2,0)</f>
        <v>LS</v>
      </c>
      <c r="K1560" s="36" t="s">
        <v>7860</v>
      </c>
      <c r="L1560" s="36" t="e">
        <f>VLOOKUP(Table2[[#This Row],[Node]],Sheet6!B:C,2,0)</f>
        <v>#N/A</v>
      </c>
      <c r="M1560" s="36" t="s">
        <v>4799</v>
      </c>
    </row>
    <row r="1561" spans="1:13" x14ac:dyDescent="0.25">
      <c r="A1561" s="46">
        <f t="shared" si="24"/>
        <v>1560</v>
      </c>
      <c r="B1561" s="36" t="s">
        <v>4</v>
      </c>
      <c r="C1561" s="36" t="s">
        <v>7679</v>
      </c>
      <c r="D1561" s="36" t="s">
        <v>7750</v>
      </c>
      <c r="E1561" s="9" t="s">
        <v>7691</v>
      </c>
      <c r="F1561" s="9" t="s">
        <v>4831</v>
      </c>
      <c r="G1561" s="36" t="s">
        <v>14</v>
      </c>
      <c r="H1561" s="36" t="str">
        <f>IFERROR(VLOOKUP(Table2[[#This Row], [Ticket]],Okey!A:B,2,0),"")</f>
        <v/>
      </c>
      <c r="I1561" s="36" t="s">
        <v>6455</v>
      </c>
      <c r="J1561" s="36" t="str">
        <f>VLOOKUP(Table2[[#This Row], [Author]],People!A:B,2,0)</f>
        <v>LS</v>
      </c>
      <c r="K1561" s="36" t="s">
        <v>7860</v>
      </c>
      <c r="L1561" s="36" t="e">
        <f>VLOOKUP(Table2[[#This Row],[Node]],Sheet6!B:C,2,0)</f>
        <v>#N/A</v>
      </c>
      <c r="M1561" s="36" t="s">
        <v>4799</v>
      </c>
    </row>
    <row r="1562" spans="1:13" x14ac:dyDescent="0.25">
      <c r="A1562" s="46">
        <f t="shared" si="24"/>
        <v>1561</v>
      </c>
      <c r="B1562" s="36" t="s">
        <v>4</v>
      </c>
      <c r="C1562" s="36" t="s">
        <v>7679</v>
      </c>
      <c r="D1562" s="36" t="s">
        <v>7751</v>
      </c>
      <c r="E1562" s="9" t="s">
        <v>7692</v>
      </c>
      <c r="F1562" s="9" t="s">
        <v>4831</v>
      </c>
      <c r="G1562" s="36" t="s">
        <v>14</v>
      </c>
      <c r="H1562" s="36" t="str">
        <f>IFERROR(VLOOKUP(Table2[[#This Row], [Ticket]],Okey!A:B,2,0),"")</f>
        <v/>
      </c>
      <c r="I1562" s="36" t="s">
        <v>6455</v>
      </c>
      <c r="J1562" s="36" t="str">
        <f>VLOOKUP(Table2[[#This Row], [Author]],People!A:B,2,0)</f>
        <v>LS</v>
      </c>
      <c r="K1562" s="36" t="s">
        <v>7860</v>
      </c>
      <c r="L1562" s="36" t="e">
        <f>VLOOKUP(Table2[[#This Row],[Node]],Sheet6!B:C,2,0)</f>
        <v>#N/A</v>
      </c>
      <c r="M1562" s="36" t="s">
        <v>4799</v>
      </c>
    </row>
    <row r="1563" spans="1:13" x14ac:dyDescent="0.25">
      <c r="A1563" s="46">
        <f t="shared" si="24"/>
        <v>1562</v>
      </c>
      <c r="B1563" s="36" t="s">
        <v>4</v>
      </c>
      <c r="C1563" s="36" t="s">
        <v>7679</v>
      </c>
      <c r="D1563" s="36" t="s">
        <v>7752</v>
      </c>
      <c r="E1563" s="9" t="s">
        <v>7693</v>
      </c>
      <c r="F1563" s="9" t="s">
        <v>4831</v>
      </c>
      <c r="G1563" s="36" t="s">
        <v>14</v>
      </c>
      <c r="H1563" s="36" t="str">
        <f>IFERROR(VLOOKUP(Table2[[#This Row], [Ticket]],Okey!A:B,2,0),"")</f>
        <v/>
      </c>
      <c r="I1563" s="36" t="s">
        <v>6455</v>
      </c>
      <c r="J1563" s="36" t="str">
        <f>VLOOKUP(Table2[[#This Row], [Author]],People!A:B,2,0)</f>
        <v>LS</v>
      </c>
      <c r="K1563" s="36" t="s">
        <v>7860</v>
      </c>
      <c r="L1563" s="36" t="e">
        <f>VLOOKUP(Table2[[#This Row],[Node]],Sheet6!B:C,2,0)</f>
        <v>#N/A</v>
      </c>
      <c r="M1563" s="36" t="s">
        <v>4799</v>
      </c>
    </row>
    <row r="1564" spans="1:13" x14ac:dyDescent="0.25">
      <c r="A1564" s="46">
        <f t="shared" si="24"/>
        <v>1563</v>
      </c>
      <c r="B1564" s="36" t="s">
        <v>4</v>
      </c>
      <c r="C1564" s="36" t="s">
        <v>7679</v>
      </c>
      <c r="D1564" s="36" t="s">
        <v>7753</v>
      </c>
      <c r="E1564" s="9" t="s">
        <v>7694</v>
      </c>
      <c r="F1564" s="9" t="s">
        <v>3514</v>
      </c>
      <c r="G1564" s="9" t="s">
        <v>14</v>
      </c>
      <c r="H1564" s="36" t="str">
        <f>IFERROR(VLOOKUP(Table2[[#This Row], [Ticket]],Okey!A:B,2,0),"")</f>
        <v/>
      </c>
      <c r="I1564" s="36" t="s">
        <v>6455</v>
      </c>
      <c r="J1564" s="36" t="str">
        <f>VLOOKUP(Table2[[#This Row], [Author]],People!A:B,2,0)</f>
        <v>LS</v>
      </c>
      <c r="K1564" s="36" t="s">
        <v>7860</v>
      </c>
      <c r="L1564" s="36" t="e">
        <f>VLOOKUP(Table2[[#This Row],[Node]],Sheet6!B:C,2,0)</f>
        <v>#N/A</v>
      </c>
      <c r="M1564" s="36" t="s">
        <v>4799</v>
      </c>
    </row>
    <row r="1565" spans="1:13" x14ac:dyDescent="0.25">
      <c r="A1565" s="46">
        <f t="shared" si="24"/>
        <v>1564</v>
      </c>
      <c r="B1565" s="36" t="s">
        <v>4</v>
      </c>
      <c r="C1565" s="36" t="s">
        <v>7679</v>
      </c>
      <c r="D1565" s="9" t="s">
        <v>6329</v>
      </c>
      <c r="E1565" s="9" t="s">
        <v>6519</v>
      </c>
      <c r="G1565" s="9" t="s">
        <v>15</v>
      </c>
      <c r="H1565" s="36" t="str">
        <f>IFERROR(VLOOKUP(Table2[[#This Row], [Ticket]],Okey!A:B,2,0),"")</f>
        <v/>
      </c>
      <c r="I1565" s="36" t="s">
        <v>6455</v>
      </c>
      <c r="J1565" s="36" t="str">
        <f>VLOOKUP(Table2[[#This Row], [Author]],People!A:B,2,0)</f>
        <v>LS</v>
      </c>
      <c r="K1565" s="36" t="s">
        <v>7859</v>
      </c>
      <c r="M1565" s="36" t="s">
        <v>4799</v>
      </c>
    </row>
    <row r="1566" spans="1:13" x14ac:dyDescent="0.25">
      <c r="A1566" s="46">
        <f t="shared" si="24"/>
        <v>1565</v>
      </c>
      <c r="B1566" s="36" t="s">
        <v>4</v>
      </c>
      <c r="C1566" s="36" t="s">
        <v>7679</v>
      </c>
      <c r="D1566" s="9" t="s">
        <v>3341</v>
      </c>
      <c r="E1566" s="9" t="s">
        <v>7695</v>
      </c>
      <c r="G1566" s="36" t="s">
        <v>15</v>
      </c>
      <c r="H1566" s="36" t="str">
        <f>IFERROR(VLOOKUP(Table2[[#This Row], [Ticket]],Okey!A:B,2,0),"")</f>
        <v/>
      </c>
      <c r="I1566" s="36" t="s">
        <v>6455</v>
      </c>
      <c r="J1566" s="36" t="str">
        <f>VLOOKUP(Table2[[#This Row], [Author]],People!A:B,2,0)</f>
        <v>LS</v>
      </c>
      <c r="K1566" s="36" t="s">
        <v>7859</v>
      </c>
      <c r="M1566" s="36" t="s">
        <v>4799</v>
      </c>
    </row>
    <row r="1567" spans="1:13" x14ac:dyDescent="0.25">
      <c r="A1567" s="46">
        <f t="shared" si="24"/>
        <v>1566</v>
      </c>
      <c r="B1567" s="36" t="s">
        <v>4</v>
      </c>
      <c r="C1567" s="36" t="s">
        <v>7679</v>
      </c>
      <c r="D1567" s="9" t="s">
        <v>7696</v>
      </c>
      <c r="E1567" s="9" t="s">
        <v>7697</v>
      </c>
      <c r="G1567" s="36" t="s">
        <v>15</v>
      </c>
      <c r="H1567" s="36" t="str">
        <f>IFERROR(VLOOKUP(Table2[[#This Row], [Ticket]],Okey!A:B,2,0),"")</f>
        <v/>
      </c>
      <c r="I1567" s="36" t="s">
        <v>6455</v>
      </c>
      <c r="J1567" s="36" t="str">
        <f>VLOOKUP(Table2[[#This Row], [Author]],People!A:B,2,0)</f>
        <v>LS</v>
      </c>
      <c r="K1567" s="36" t="s">
        <v>7859</v>
      </c>
      <c r="M1567" s="36" t="s">
        <v>4799</v>
      </c>
    </row>
    <row r="1568" spans="1:13" x14ac:dyDescent="0.25">
      <c r="A1568" s="46">
        <f t="shared" si="24"/>
        <v>1567</v>
      </c>
      <c r="B1568" s="36" t="s">
        <v>4</v>
      </c>
      <c r="C1568" s="36" t="s">
        <v>7679</v>
      </c>
      <c r="D1568" s="9" t="s">
        <v>7698</v>
      </c>
      <c r="E1568" s="9" t="s">
        <v>5503</v>
      </c>
      <c r="G1568" s="36" t="s">
        <v>15</v>
      </c>
      <c r="H1568" s="36" t="str">
        <f>IFERROR(VLOOKUP(Table2[[#This Row], [Ticket]],Okey!A:B,2,0),"")</f>
        <v/>
      </c>
      <c r="I1568" s="36" t="s">
        <v>6455</v>
      </c>
      <c r="J1568" s="36" t="str">
        <f>VLOOKUP(Table2[[#This Row], [Author]],People!A:B,2,0)</f>
        <v>LS</v>
      </c>
      <c r="K1568" s="36" t="s">
        <v>7859</v>
      </c>
      <c r="M1568" s="36" t="s">
        <v>4799</v>
      </c>
    </row>
    <row r="1569" spans="1:13" x14ac:dyDescent="0.25">
      <c r="A1569" s="46">
        <f t="shared" si="24"/>
        <v>1568</v>
      </c>
      <c r="B1569" s="36" t="s">
        <v>4</v>
      </c>
      <c r="C1569" s="36" t="s">
        <v>7679</v>
      </c>
      <c r="D1569" s="9" t="s">
        <v>3557</v>
      </c>
      <c r="E1569" s="9" t="s">
        <v>7699</v>
      </c>
      <c r="G1569" s="36" t="s">
        <v>15</v>
      </c>
      <c r="H1569" s="36" t="str">
        <f>IFERROR(VLOOKUP(Table2[[#This Row], [Ticket]],Okey!A:B,2,0),"")</f>
        <v/>
      </c>
      <c r="I1569" s="36" t="s">
        <v>6455</v>
      </c>
      <c r="J1569" s="36" t="str">
        <f>VLOOKUP(Table2[[#This Row], [Author]],People!A:B,2,0)</f>
        <v>LS</v>
      </c>
      <c r="K1569" s="36" t="s">
        <v>7859</v>
      </c>
      <c r="M1569" s="36" t="s">
        <v>4799</v>
      </c>
    </row>
    <row r="1570" spans="1:13" x14ac:dyDescent="0.25">
      <c r="A1570" s="46">
        <f t="shared" si="24"/>
        <v>1569</v>
      </c>
      <c r="B1570" s="36" t="s">
        <v>4</v>
      </c>
      <c r="C1570" s="36" t="s">
        <v>7679</v>
      </c>
      <c r="D1570" s="9" t="s">
        <v>4133</v>
      </c>
      <c r="E1570" s="9" t="s">
        <v>7700</v>
      </c>
      <c r="G1570" s="36" t="s">
        <v>15</v>
      </c>
      <c r="H1570" s="36" t="str">
        <f>IFERROR(VLOOKUP(Table2[[#This Row], [Ticket]],Okey!A:B,2,0),"")</f>
        <v/>
      </c>
      <c r="I1570" s="36" t="s">
        <v>6455</v>
      </c>
      <c r="J1570" s="36" t="str">
        <f>VLOOKUP(Table2[[#This Row], [Author]],People!A:B,2,0)</f>
        <v>LS</v>
      </c>
      <c r="K1570" s="36" t="s">
        <v>7859</v>
      </c>
      <c r="M1570" s="36" t="s">
        <v>4799</v>
      </c>
    </row>
    <row r="1571" spans="1:13" x14ac:dyDescent="0.25">
      <c r="A1571" s="46">
        <f t="shared" si="24"/>
        <v>1570</v>
      </c>
      <c r="B1571" s="36" t="s">
        <v>4</v>
      </c>
      <c r="C1571" s="36" t="s">
        <v>7679</v>
      </c>
      <c r="D1571" s="9" t="s">
        <v>4135</v>
      </c>
      <c r="E1571" s="9" t="s">
        <v>7701</v>
      </c>
      <c r="G1571" s="36" t="s">
        <v>15</v>
      </c>
      <c r="H1571" s="36" t="str">
        <f>IFERROR(VLOOKUP(Table2[[#This Row], [Ticket]],Okey!A:B,2,0),"")</f>
        <v/>
      </c>
      <c r="I1571" s="36" t="s">
        <v>6455</v>
      </c>
      <c r="J1571" s="36" t="str">
        <f>VLOOKUP(Table2[[#This Row], [Author]],People!A:B,2,0)</f>
        <v>LS</v>
      </c>
      <c r="K1571" s="36" t="s">
        <v>7859</v>
      </c>
      <c r="M1571" s="36" t="s">
        <v>4799</v>
      </c>
    </row>
    <row r="1572" spans="1:13" x14ac:dyDescent="0.25">
      <c r="A1572" s="46">
        <f t="shared" si="24"/>
        <v>1571</v>
      </c>
      <c r="B1572" s="36" t="s">
        <v>4</v>
      </c>
      <c r="C1572" s="36" t="s">
        <v>7679</v>
      </c>
      <c r="D1572" s="9" t="s">
        <v>4137</v>
      </c>
      <c r="E1572" s="9" t="s">
        <v>7702</v>
      </c>
      <c r="G1572" s="36" t="s">
        <v>15</v>
      </c>
      <c r="H1572" s="36" t="str">
        <f>IFERROR(VLOOKUP(Table2[[#This Row], [Ticket]],Okey!A:B,2,0),"")</f>
        <v/>
      </c>
      <c r="I1572" s="36" t="s">
        <v>6455</v>
      </c>
      <c r="J1572" s="36" t="str">
        <f>VLOOKUP(Table2[[#This Row], [Author]],People!A:B,2,0)</f>
        <v>LS</v>
      </c>
      <c r="K1572" s="36" t="s">
        <v>7859</v>
      </c>
      <c r="M1572" s="36" t="s">
        <v>4799</v>
      </c>
    </row>
    <row r="1573" spans="1:13" x14ac:dyDescent="0.25">
      <c r="A1573" s="46">
        <f t="shared" si="24"/>
        <v>1572</v>
      </c>
      <c r="B1573" s="36" t="s">
        <v>4</v>
      </c>
      <c r="C1573" s="36" t="s">
        <v>7679</v>
      </c>
      <c r="D1573" s="9" t="s">
        <v>3952</v>
      </c>
      <c r="E1573" s="9" t="s">
        <v>7703</v>
      </c>
      <c r="G1573" s="36" t="s">
        <v>15</v>
      </c>
      <c r="H1573" s="36" t="str">
        <f>IFERROR(VLOOKUP(Table2[[#This Row], [Ticket]],Okey!A:B,2,0),"")</f>
        <v/>
      </c>
      <c r="I1573" s="36" t="s">
        <v>6455</v>
      </c>
      <c r="J1573" s="36" t="str">
        <f>VLOOKUP(Table2[[#This Row], [Author]],People!A:B,2,0)</f>
        <v>LS</v>
      </c>
      <c r="K1573" s="36" t="s">
        <v>7859</v>
      </c>
      <c r="M1573" s="36" t="s">
        <v>4799</v>
      </c>
    </row>
    <row r="1574" spans="1:13" x14ac:dyDescent="0.25">
      <c r="A1574" s="46">
        <f t="shared" si="24"/>
        <v>1573</v>
      </c>
      <c r="B1574" s="36" t="s">
        <v>4</v>
      </c>
      <c r="C1574" s="36" t="s">
        <v>7679</v>
      </c>
      <c r="D1574" s="9" t="s">
        <v>3972</v>
      </c>
      <c r="E1574" s="9" t="s">
        <v>7704</v>
      </c>
      <c r="G1574" s="36" t="s">
        <v>15</v>
      </c>
      <c r="H1574" s="36" t="str">
        <f>IFERROR(VLOOKUP(Table2[[#This Row], [Ticket]],Okey!A:B,2,0),"")</f>
        <v/>
      </c>
      <c r="I1574" s="36" t="s">
        <v>6455</v>
      </c>
      <c r="J1574" s="36" t="str">
        <f>VLOOKUP(Table2[[#This Row], [Author]],People!A:B,2,0)</f>
        <v>LS</v>
      </c>
      <c r="K1574" s="36" t="s">
        <v>7859</v>
      </c>
      <c r="M1574" s="36" t="s">
        <v>4799</v>
      </c>
    </row>
    <row r="1575" spans="1:13" x14ac:dyDescent="0.25">
      <c r="A1575" s="46">
        <f t="shared" si="24"/>
        <v>1574</v>
      </c>
      <c r="B1575" s="36" t="s">
        <v>4</v>
      </c>
      <c r="C1575" s="36" t="s">
        <v>7679</v>
      </c>
      <c r="D1575" s="9" t="s">
        <v>3491</v>
      </c>
      <c r="E1575" s="9" t="s">
        <v>7705</v>
      </c>
      <c r="G1575" s="36" t="s">
        <v>15</v>
      </c>
      <c r="H1575" s="36" t="str">
        <f>IFERROR(VLOOKUP(Table2[[#This Row], [Ticket]],Okey!A:B,2,0),"")</f>
        <v/>
      </c>
      <c r="I1575" s="36" t="s">
        <v>6455</v>
      </c>
      <c r="J1575" s="36" t="str">
        <f>VLOOKUP(Table2[[#This Row], [Author]],People!A:B,2,0)</f>
        <v>LS</v>
      </c>
      <c r="K1575" s="36" t="s">
        <v>7859</v>
      </c>
      <c r="M1575" s="36" t="s">
        <v>4799</v>
      </c>
    </row>
    <row r="1576" spans="1:13" x14ac:dyDescent="0.25">
      <c r="A1576" s="46">
        <f t="shared" si="24"/>
        <v>1575</v>
      </c>
      <c r="B1576" s="36" t="s">
        <v>4</v>
      </c>
      <c r="C1576" s="36" t="s">
        <v>7679</v>
      </c>
      <c r="D1576" s="9" t="s">
        <v>3611</v>
      </c>
      <c r="E1576" s="9" t="s">
        <v>7706</v>
      </c>
      <c r="G1576" s="36" t="s">
        <v>15</v>
      </c>
      <c r="H1576" s="36" t="str">
        <f>IFERROR(VLOOKUP(Table2[[#This Row], [Ticket]],Okey!A:B,2,0),"")</f>
        <v/>
      </c>
      <c r="I1576" s="36" t="s">
        <v>6455</v>
      </c>
      <c r="J1576" s="36" t="str">
        <f>VLOOKUP(Table2[[#This Row], [Author]],People!A:B,2,0)</f>
        <v>LS</v>
      </c>
      <c r="K1576" s="36" t="s">
        <v>7859</v>
      </c>
      <c r="M1576" s="36" t="s">
        <v>4799</v>
      </c>
    </row>
    <row r="1577" spans="1:13" x14ac:dyDescent="0.25">
      <c r="A1577" s="46">
        <f t="shared" si="24"/>
        <v>1576</v>
      </c>
      <c r="B1577" s="36" t="s">
        <v>4</v>
      </c>
      <c r="C1577" s="36" t="s">
        <v>7679</v>
      </c>
      <c r="D1577" s="9" t="s">
        <v>4201</v>
      </c>
      <c r="E1577" s="9" t="s">
        <v>7707</v>
      </c>
      <c r="F1577" s="9" t="s">
        <v>5756</v>
      </c>
      <c r="G1577" s="9" t="s">
        <v>16</v>
      </c>
      <c r="H1577" s="36" t="str">
        <f>IFERROR(VLOOKUP(Table2[[#This Row], [Ticket]],Okey!A:B,2,0),"")</f>
        <v/>
      </c>
      <c r="I1577" s="36" t="s">
        <v>6455</v>
      </c>
      <c r="J1577" s="36" t="str">
        <f>VLOOKUP(Table2[[#This Row], [Author]],People!A:B,2,0)</f>
        <v>LS</v>
      </c>
      <c r="K1577" s="36" t="s">
        <v>7861</v>
      </c>
      <c r="M1577" s="36" t="s">
        <v>4799</v>
      </c>
    </row>
    <row r="1578" spans="1:13" x14ac:dyDescent="0.25">
      <c r="A1578" s="46">
        <f t="shared" si="24"/>
        <v>1577</v>
      </c>
      <c r="B1578" s="36" t="s">
        <v>4</v>
      </c>
      <c r="C1578" s="36" t="s">
        <v>7679</v>
      </c>
      <c r="D1578" s="9" t="s">
        <v>4072</v>
      </c>
      <c r="E1578" s="9" t="s">
        <v>7708</v>
      </c>
      <c r="F1578" s="9" t="s">
        <v>4854</v>
      </c>
      <c r="G1578" s="36" t="s">
        <v>16</v>
      </c>
      <c r="H1578" s="36" t="str">
        <f>IFERROR(VLOOKUP(Table2[[#This Row], [Ticket]],Okey!A:B,2,0),"")</f>
        <v/>
      </c>
      <c r="I1578" s="36" t="s">
        <v>6455</v>
      </c>
      <c r="J1578" s="36" t="str">
        <f>VLOOKUP(Table2[[#This Row], [Author]],People!A:B,2,0)</f>
        <v>LS</v>
      </c>
      <c r="K1578" s="36" t="s">
        <v>7861</v>
      </c>
      <c r="M1578" s="36" t="s">
        <v>4799</v>
      </c>
    </row>
    <row r="1579" spans="1:13" x14ac:dyDescent="0.25">
      <c r="A1579" s="46">
        <f t="shared" si="24"/>
        <v>1578</v>
      </c>
      <c r="B1579" s="36" t="s">
        <v>4</v>
      </c>
      <c r="C1579" s="36" t="s">
        <v>7679</v>
      </c>
      <c r="D1579" s="9" t="s">
        <v>7709</v>
      </c>
      <c r="F1579" s="9" t="s">
        <v>5756</v>
      </c>
      <c r="G1579" s="9" t="s">
        <v>13</v>
      </c>
      <c r="H1579" s="36" t="str">
        <f>IFERROR(VLOOKUP(Table2[[#This Row], [Ticket]],Okey!A:B,2,0),"")</f>
        <v/>
      </c>
      <c r="I1579" s="36" t="s">
        <v>6455</v>
      </c>
      <c r="J1579" s="36" t="str">
        <f>VLOOKUP(Table2[[#This Row], [Author]],People!A:B,2,0)</f>
        <v>LS</v>
      </c>
      <c r="K1579" s="36" t="s">
        <v>7861</v>
      </c>
      <c r="M1579" s="36" t="s">
        <v>4799</v>
      </c>
    </row>
    <row r="1580" spans="1:13" x14ac:dyDescent="0.25">
      <c r="A1580" s="46">
        <f t="shared" si="24"/>
        <v>1579</v>
      </c>
      <c r="B1580" s="36" t="s">
        <v>4</v>
      </c>
      <c r="C1580" s="36" t="s">
        <v>7679</v>
      </c>
      <c r="D1580" s="9" t="s">
        <v>5746</v>
      </c>
      <c r="F1580" s="9" t="s">
        <v>5756</v>
      </c>
      <c r="G1580" s="36" t="s">
        <v>13</v>
      </c>
      <c r="H1580" s="36" t="str">
        <f>IFERROR(VLOOKUP(Table2[[#This Row], [Ticket]],Okey!A:B,2,0),"")</f>
        <v/>
      </c>
      <c r="I1580" s="36" t="s">
        <v>6455</v>
      </c>
      <c r="J1580" s="36" t="str">
        <f>VLOOKUP(Table2[[#This Row], [Author]],People!A:B,2,0)</f>
        <v>LS</v>
      </c>
      <c r="K1580" s="36" t="s">
        <v>7861</v>
      </c>
      <c r="M1580" s="36" t="s">
        <v>4799</v>
      </c>
    </row>
    <row r="1581" spans="1:13" x14ac:dyDescent="0.25">
      <c r="A1581" s="46">
        <f t="shared" si="24"/>
        <v>1580</v>
      </c>
      <c r="B1581" s="36" t="s">
        <v>4</v>
      </c>
      <c r="C1581" s="36" t="s">
        <v>7679</v>
      </c>
      <c r="D1581" s="9" t="s">
        <v>5748</v>
      </c>
      <c r="F1581" s="9" t="s">
        <v>5756</v>
      </c>
      <c r="G1581" s="36" t="s">
        <v>13</v>
      </c>
      <c r="H1581" s="36" t="str">
        <f>IFERROR(VLOOKUP(Table2[[#This Row], [Ticket]],Okey!A:B,2,0),"")</f>
        <v/>
      </c>
      <c r="I1581" s="36" t="s">
        <v>6455</v>
      </c>
      <c r="J1581" s="36" t="str">
        <f>VLOOKUP(Table2[[#This Row], [Author]],People!A:B,2,0)</f>
        <v>LS</v>
      </c>
      <c r="K1581" s="36" t="s">
        <v>7861</v>
      </c>
      <c r="M1581" s="36" t="s">
        <v>4799</v>
      </c>
    </row>
    <row r="1582" spans="1:13" x14ac:dyDescent="0.25">
      <c r="A1582" s="46">
        <f t="shared" si="24"/>
        <v>1581</v>
      </c>
      <c r="B1582" s="36" t="s">
        <v>4</v>
      </c>
      <c r="C1582" s="36" t="s">
        <v>7679</v>
      </c>
      <c r="D1582" s="9" t="s">
        <v>5765</v>
      </c>
      <c r="F1582" s="9" t="s">
        <v>5756</v>
      </c>
      <c r="G1582" s="36" t="s">
        <v>13</v>
      </c>
      <c r="H1582" s="36" t="str">
        <f>IFERROR(VLOOKUP(Table2[[#This Row], [Ticket]],Okey!A:B,2,0),"")</f>
        <v/>
      </c>
      <c r="I1582" s="36" t="s">
        <v>6455</v>
      </c>
      <c r="J1582" s="36" t="str">
        <f>VLOOKUP(Table2[[#This Row], [Author]],People!A:B,2,0)</f>
        <v>LS</v>
      </c>
      <c r="K1582" s="36" t="s">
        <v>7861</v>
      </c>
      <c r="M1582" s="36" t="s">
        <v>4799</v>
      </c>
    </row>
    <row r="1583" spans="1:13" x14ac:dyDescent="0.25">
      <c r="A1583" s="46">
        <f t="shared" si="24"/>
        <v>1582</v>
      </c>
      <c r="B1583" s="36" t="s">
        <v>4</v>
      </c>
      <c r="C1583" s="36" t="s">
        <v>7679</v>
      </c>
      <c r="D1583" s="9" t="s">
        <v>7710</v>
      </c>
      <c r="F1583" s="9" t="s">
        <v>7717</v>
      </c>
      <c r="G1583" s="36" t="s">
        <v>13</v>
      </c>
      <c r="H1583" s="36" t="str">
        <f>IFERROR(VLOOKUP(Table2[[#This Row], [Ticket]],Okey!A:B,2,0),"")</f>
        <v/>
      </c>
      <c r="I1583" s="36" t="s">
        <v>6455</v>
      </c>
      <c r="J1583" s="36" t="str">
        <f>VLOOKUP(Table2[[#This Row], [Author]],People!A:B,2,0)</f>
        <v>LS</v>
      </c>
      <c r="K1583" s="36" t="s">
        <v>7861</v>
      </c>
      <c r="M1583" s="36" t="s">
        <v>4799</v>
      </c>
    </row>
    <row r="1584" spans="1:13" x14ac:dyDescent="0.25">
      <c r="A1584" s="46">
        <f t="shared" si="24"/>
        <v>1583</v>
      </c>
      <c r="B1584" s="36" t="s">
        <v>4</v>
      </c>
      <c r="C1584" s="36" t="s">
        <v>7679</v>
      </c>
      <c r="D1584" s="9" t="s">
        <v>4035</v>
      </c>
      <c r="F1584" s="9" t="s">
        <v>4876</v>
      </c>
      <c r="G1584" s="36" t="s">
        <v>13</v>
      </c>
      <c r="H1584" s="36" t="str">
        <f>IFERROR(VLOOKUP(Table2[[#This Row], [Ticket]],Okey!A:B,2,0),"")</f>
        <v/>
      </c>
      <c r="I1584" s="36" t="s">
        <v>6455</v>
      </c>
      <c r="J1584" s="36" t="str">
        <f>VLOOKUP(Table2[[#This Row], [Author]],People!A:B,2,0)</f>
        <v>LS</v>
      </c>
      <c r="K1584" s="36" t="s">
        <v>7861</v>
      </c>
      <c r="M1584" s="36" t="s">
        <v>4799</v>
      </c>
    </row>
    <row r="1585" spans="1:13" x14ac:dyDescent="0.25">
      <c r="A1585" s="46">
        <f t="shared" si="24"/>
        <v>1584</v>
      </c>
      <c r="B1585" s="36" t="s">
        <v>4</v>
      </c>
      <c r="C1585" s="36" t="s">
        <v>7679</v>
      </c>
      <c r="D1585" s="9" t="s">
        <v>7711</v>
      </c>
      <c r="F1585" s="9" t="s">
        <v>3621</v>
      </c>
      <c r="G1585" s="36" t="s">
        <v>13</v>
      </c>
      <c r="H1585" s="36" t="str">
        <f>IFERROR(VLOOKUP(Table2[[#This Row], [Ticket]],Okey!A:B,2,0),"")</f>
        <v/>
      </c>
      <c r="I1585" s="36" t="s">
        <v>6455</v>
      </c>
      <c r="J1585" s="36" t="str">
        <f>VLOOKUP(Table2[[#This Row], [Author]],People!A:B,2,0)</f>
        <v>LS</v>
      </c>
      <c r="K1585" s="36" t="s">
        <v>7861</v>
      </c>
      <c r="M1585" s="36" t="s">
        <v>4799</v>
      </c>
    </row>
    <row r="1586" spans="1:13" x14ac:dyDescent="0.25">
      <c r="A1586" s="46">
        <f t="shared" si="24"/>
        <v>1585</v>
      </c>
      <c r="B1586" s="36" t="s">
        <v>4</v>
      </c>
      <c r="C1586" s="36" t="s">
        <v>7679</v>
      </c>
      <c r="D1586" s="9" t="s">
        <v>7712</v>
      </c>
      <c r="F1586" s="9" t="s">
        <v>4860</v>
      </c>
      <c r="G1586" s="36" t="s">
        <v>13</v>
      </c>
      <c r="H1586" s="36" t="str">
        <f>IFERROR(VLOOKUP(Table2[[#This Row], [Ticket]],Okey!A:B,2,0),"")</f>
        <v/>
      </c>
      <c r="I1586" s="36" t="s">
        <v>6455</v>
      </c>
      <c r="J1586" s="36" t="str">
        <f>VLOOKUP(Table2[[#This Row], [Author]],People!A:B,2,0)</f>
        <v>LS</v>
      </c>
      <c r="K1586" s="36" t="s">
        <v>7861</v>
      </c>
      <c r="M1586" s="36" t="s">
        <v>4799</v>
      </c>
    </row>
    <row r="1587" spans="1:13" x14ac:dyDescent="0.25">
      <c r="A1587" s="46">
        <f t="shared" si="24"/>
        <v>1586</v>
      </c>
      <c r="B1587" s="36" t="s">
        <v>4</v>
      </c>
      <c r="C1587" s="36" t="s">
        <v>7679</v>
      </c>
      <c r="D1587" s="9" t="s">
        <v>6004</v>
      </c>
      <c r="F1587" s="9" t="s">
        <v>4860</v>
      </c>
      <c r="G1587" s="36" t="s">
        <v>13</v>
      </c>
      <c r="H1587" s="36" t="str">
        <f>IFERROR(VLOOKUP(Table2[[#This Row], [Ticket]],Okey!A:B,2,0),"")</f>
        <v/>
      </c>
      <c r="I1587" s="36" t="s">
        <v>6455</v>
      </c>
      <c r="J1587" s="36" t="str">
        <f>VLOOKUP(Table2[[#This Row], [Author]],People!A:B,2,0)</f>
        <v>LS</v>
      </c>
      <c r="K1587" s="36" t="s">
        <v>7861</v>
      </c>
      <c r="M1587" s="36" t="s">
        <v>4799</v>
      </c>
    </row>
    <row r="1588" spans="1:13" x14ac:dyDescent="0.25">
      <c r="A1588" s="46">
        <f t="shared" si="24"/>
        <v>1587</v>
      </c>
      <c r="B1588" s="36" t="s">
        <v>4</v>
      </c>
      <c r="C1588" s="36" t="s">
        <v>7679</v>
      </c>
      <c r="D1588" s="9" t="s">
        <v>7713</v>
      </c>
      <c r="F1588" s="9" t="s">
        <v>4831</v>
      </c>
      <c r="G1588" s="36" t="s">
        <v>13</v>
      </c>
      <c r="H1588" s="36" t="str">
        <f>IFERROR(VLOOKUP(Table2[[#This Row], [Ticket]],Okey!A:B,2,0),"")</f>
        <v/>
      </c>
      <c r="I1588" s="36" t="s">
        <v>6455</v>
      </c>
      <c r="J1588" s="36" t="str">
        <f>VLOOKUP(Table2[[#This Row], [Author]],People!A:B,2,0)</f>
        <v>LS</v>
      </c>
      <c r="K1588" s="36" t="s">
        <v>7861</v>
      </c>
      <c r="M1588" s="36" t="s">
        <v>4799</v>
      </c>
    </row>
    <row r="1589" spans="1:13" x14ac:dyDescent="0.25">
      <c r="A1589" s="46">
        <f t="shared" si="24"/>
        <v>1588</v>
      </c>
      <c r="B1589" s="36" t="s">
        <v>4</v>
      </c>
      <c r="C1589" s="36" t="s">
        <v>7679</v>
      </c>
      <c r="D1589" s="9" t="s">
        <v>7714</v>
      </c>
      <c r="F1589" s="36" t="s">
        <v>7748</v>
      </c>
      <c r="G1589" s="36" t="s">
        <v>13</v>
      </c>
      <c r="H1589" s="36" t="str">
        <f>IFERROR(VLOOKUP(Table2[[#This Row], [Ticket]],Okey!A:B,2,0),"")</f>
        <v/>
      </c>
      <c r="I1589" s="36" t="s">
        <v>6455</v>
      </c>
      <c r="J1589" s="36" t="str">
        <f>VLOOKUP(Table2[[#This Row], [Author]],People!A:B,2,0)</f>
        <v>LS</v>
      </c>
      <c r="K1589" s="36" t="s">
        <v>7861</v>
      </c>
      <c r="M1589" s="36" t="s">
        <v>4799</v>
      </c>
    </row>
    <row r="1590" spans="1:13" x14ac:dyDescent="0.25">
      <c r="A1590" s="46">
        <f t="shared" si="24"/>
        <v>1589</v>
      </c>
      <c r="B1590" s="36" t="s">
        <v>4</v>
      </c>
      <c r="C1590" s="36" t="s">
        <v>7679</v>
      </c>
      <c r="D1590" s="9" t="s">
        <v>7715</v>
      </c>
      <c r="F1590" s="36" t="s">
        <v>7752</v>
      </c>
      <c r="G1590" s="36" t="s">
        <v>13</v>
      </c>
      <c r="H1590" s="36" t="str">
        <f>IFERROR(VLOOKUP(Table2[[#This Row], [Ticket]],Okey!A:B,2,0),"")</f>
        <v/>
      </c>
      <c r="I1590" s="36" t="s">
        <v>6455</v>
      </c>
      <c r="J1590" s="36" t="str">
        <f>VLOOKUP(Table2[[#This Row], [Author]],People!A:B,2,0)</f>
        <v>LS</v>
      </c>
      <c r="K1590" s="36" t="s">
        <v>7861</v>
      </c>
      <c r="M1590" s="36" t="s">
        <v>4799</v>
      </c>
    </row>
    <row r="1591" spans="1:13" x14ac:dyDescent="0.25">
      <c r="A1591" s="46">
        <f t="shared" si="24"/>
        <v>1590</v>
      </c>
      <c r="B1591" s="36" t="s">
        <v>4</v>
      </c>
      <c r="C1591" s="36" t="s">
        <v>7679</v>
      </c>
      <c r="D1591" s="9" t="s">
        <v>7716</v>
      </c>
      <c r="F1591" s="36" t="s">
        <v>7751</v>
      </c>
      <c r="G1591" s="36" t="s">
        <v>13</v>
      </c>
      <c r="H1591" s="36" t="str">
        <f>IFERROR(VLOOKUP(Table2[[#This Row], [Ticket]],Okey!A:B,2,0),"")</f>
        <v/>
      </c>
      <c r="I1591" s="36" t="s">
        <v>6455</v>
      </c>
      <c r="J1591" s="36" t="str">
        <f>VLOOKUP(Table2[[#This Row], [Author]],People!A:B,2,0)</f>
        <v>LS</v>
      </c>
      <c r="K1591" s="36" t="s">
        <v>7861</v>
      </c>
      <c r="M1591" s="36" t="s">
        <v>4799</v>
      </c>
    </row>
    <row r="1592" spans="1:13" x14ac:dyDescent="0.25">
      <c r="A1592" s="46">
        <f t="shared" si="24"/>
        <v>1591</v>
      </c>
      <c r="B1592" s="36" t="s">
        <v>4</v>
      </c>
      <c r="C1592" s="36" t="s">
        <v>7679</v>
      </c>
      <c r="D1592" s="9" t="s">
        <v>5997</v>
      </c>
      <c r="F1592" s="36" t="s">
        <v>7753</v>
      </c>
      <c r="G1592" s="36" t="s">
        <v>13</v>
      </c>
      <c r="H1592" s="36" t="str">
        <f>IFERROR(VLOOKUP(Table2[[#This Row], [Ticket]],Okey!A:B,2,0),"")</f>
        <v/>
      </c>
      <c r="I1592" s="36" t="s">
        <v>6455</v>
      </c>
      <c r="J1592" s="36" t="str">
        <f>VLOOKUP(Table2[[#This Row], [Author]],People!A:B,2,0)</f>
        <v>LS</v>
      </c>
      <c r="K1592" s="36" t="s">
        <v>7861</v>
      </c>
      <c r="M1592" s="36" t="s">
        <v>4799</v>
      </c>
    </row>
    <row r="1593" spans="1:13" x14ac:dyDescent="0.25">
      <c r="A1593" s="46">
        <f t="shared" si="24"/>
        <v>1592</v>
      </c>
      <c r="B1593" s="36" t="s">
        <v>4</v>
      </c>
      <c r="C1593" s="36" t="s">
        <v>7679</v>
      </c>
      <c r="D1593" s="9" t="s">
        <v>5999</v>
      </c>
      <c r="F1593" s="36" t="s">
        <v>7753</v>
      </c>
      <c r="G1593" s="36" t="s">
        <v>13</v>
      </c>
      <c r="H1593" s="36" t="str">
        <f>IFERROR(VLOOKUP(Table2[[#This Row], [Ticket]],Okey!A:B,2,0),"")</f>
        <v/>
      </c>
      <c r="I1593" s="36" t="s">
        <v>6455</v>
      </c>
      <c r="J1593" s="36" t="str">
        <f>VLOOKUP(Table2[[#This Row], [Author]],People!A:B,2,0)</f>
        <v>LS</v>
      </c>
      <c r="K1593" s="36" t="s">
        <v>7861</v>
      </c>
      <c r="M1593" s="36" t="s">
        <v>4799</v>
      </c>
    </row>
    <row r="1594" spans="1:13" x14ac:dyDescent="0.25">
      <c r="A1594" s="46">
        <f t="shared" si="24"/>
        <v>1593</v>
      </c>
      <c r="B1594" s="36" t="s">
        <v>4</v>
      </c>
      <c r="C1594" s="36" t="s">
        <v>7679</v>
      </c>
      <c r="D1594" s="9" t="s">
        <v>7718</v>
      </c>
      <c r="F1594" s="9" t="s">
        <v>5591</v>
      </c>
      <c r="G1594" s="9" t="s">
        <v>12</v>
      </c>
      <c r="H1594" s="36" t="str">
        <f>IFERROR(VLOOKUP(Table2[[#This Row], [Ticket]],Okey!A:B,2,0),"")</f>
        <v/>
      </c>
      <c r="I1594" s="36" t="s">
        <v>6455</v>
      </c>
      <c r="J1594" s="36" t="str">
        <f>VLOOKUP(Table2[[#This Row], [Author]],People!A:B,2,0)</f>
        <v>LS</v>
      </c>
      <c r="K1594" s="36" t="s">
        <v>7861</v>
      </c>
      <c r="M1594" s="36" t="s">
        <v>4799</v>
      </c>
    </row>
    <row r="1595" spans="1:13" x14ac:dyDescent="0.25">
      <c r="A1595" s="46">
        <f t="shared" si="24"/>
        <v>1594</v>
      </c>
      <c r="B1595" s="36" t="s">
        <v>4</v>
      </c>
      <c r="C1595" s="36" t="s">
        <v>7679</v>
      </c>
      <c r="D1595" s="9" t="s">
        <v>7719</v>
      </c>
      <c r="F1595" s="9" t="s">
        <v>5591</v>
      </c>
      <c r="G1595" s="36" t="s">
        <v>12</v>
      </c>
      <c r="H1595" s="36" t="str">
        <f>IFERROR(VLOOKUP(Table2[[#This Row], [Ticket]],Okey!A:B,2,0),"")</f>
        <v/>
      </c>
      <c r="I1595" s="36" t="s">
        <v>6455</v>
      </c>
      <c r="J1595" s="36" t="str">
        <f>VLOOKUP(Table2[[#This Row], [Author]],People!A:B,2,0)</f>
        <v>LS</v>
      </c>
      <c r="K1595" s="36" t="s">
        <v>7861</v>
      </c>
      <c r="M1595" s="36" t="s">
        <v>4799</v>
      </c>
    </row>
    <row r="1596" spans="1:13" x14ac:dyDescent="0.25">
      <c r="A1596" s="46">
        <f t="shared" si="24"/>
        <v>1595</v>
      </c>
      <c r="B1596" s="36" t="s">
        <v>4</v>
      </c>
      <c r="C1596" s="36" t="s">
        <v>7679</v>
      </c>
      <c r="D1596" s="9" t="s">
        <v>7720</v>
      </c>
      <c r="F1596" s="9" t="s">
        <v>5591</v>
      </c>
      <c r="G1596" s="36" t="s">
        <v>12</v>
      </c>
      <c r="H1596" s="36" t="str">
        <f>IFERROR(VLOOKUP(Table2[[#This Row], [Ticket]],Okey!A:B,2,0),"")</f>
        <v/>
      </c>
      <c r="I1596" s="36" t="s">
        <v>6455</v>
      </c>
      <c r="J1596" s="36" t="str">
        <f>VLOOKUP(Table2[[#This Row], [Author]],People!A:B,2,0)</f>
        <v>LS</v>
      </c>
      <c r="K1596" s="36" t="s">
        <v>7861</v>
      </c>
      <c r="M1596" s="36" t="s">
        <v>4799</v>
      </c>
    </row>
    <row r="1597" spans="1:13" x14ac:dyDescent="0.25">
      <c r="A1597" s="46">
        <f t="shared" si="24"/>
        <v>1596</v>
      </c>
      <c r="B1597" s="36" t="s">
        <v>4</v>
      </c>
      <c r="C1597" s="36" t="s">
        <v>7679</v>
      </c>
      <c r="D1597" s="9" t="s">
        <v>7721</v>
      </c>
      <c r="F1597" s="9" t="s">
        <v>5591</v>
      </c>
      <c r="G1597" s="36" t="s">
        <v>12</v>
      </c>
      <c r="H1597" s="36" t="str">
        <f>IFERROR(VLOOKUP(Table2[[#This Row], [Ticket]],Okey!A:B,2,0),"")</f>
        <v/>
      </c>
      <c r="I1597" s="36" t="s">
        <v>6455</v>
      </c>
      <c r="J1597" s="36" t="str">
        <f>VLOOKUP(Table2[[#This Row], [Author]],People!A:B,2,0)</f>
        <v>LS</v>
      </c>
      <c r="K1597" s="36" t="s">
        <v>7861</v>
      </c>
      <c r="M1597" s="36" t="s">
        <v>4799</v>
      </c>
    </row>
    <row r="1598" spans="1:13" x14ac:dyDescent="0.25">
      <c r="A1598" s="46">
        <f t="shared" si="24"/>
        <v>1597</v>
      </c>
      <c r="B1598" s="36" t="s">
        <v>4</v>
      </c>
      <c r="C1598" s="36" t="s">
        <v>7679</v>
      </c>
      <c r="D1598" s="9" t="s">
        <v>7722</v>
      </c>
      <c r="F1598" s="9" t="s">
        <v>5591</v>
      </c>
      <c r="G1598" s="36" t="s">
        <v>12</v>
      </c>
      <c r="H1598" s="36" t="str">
        <f>IFERROR(VLOOKUP(Table2[[#This Row], [Ticket]],Okey!A:B,2,0),"")</f>
        <v/>
      </c>
      <c r="I1598" s="36" t="s">
        <v>6455</v>
      </c>
      <c r="J1598" s="36" t="str">
        <f>VLOOKUP(Table2[[#This Row], [Author]],People!A:B,2,0)</f>
        <v>LS</v>
      </c>
      <c r="K1598" s="36" t="s">
        <v>7861</v>
      </c>
      <c r="M1598" s="36" t="s">
        <v>4799</v>
      </c>
    </row>
    <row r="1599" spans="1:13" x14ac:dyDescent="0.25">
      <c r="A1599" s="46">
        <f t="shared" si="24"/>
        <v>1598</v>
      </c>
      <c r="B1599" s="36" t="s">
        <v>4</v>
      </c>
      <c r="C1599" s="36" t="s">
        <v>7679</v>
      </c>
      <c r="D1599" s="9" t="s">
        <v>7723</v>
      </c>
      <c r="F1599" s="9" t="s">
        <v>5591</v>
      </c>
      <c r="G1599" s="36" t="s">
        <v>12</v>
      </c>
      <c r="H1599" s="36" t="str">
        <f>IFERROR(VLOOKUP(Table2[[#This Row], [Ticket]],Okey!A:B,2,0),"")</f>
        <v/>
      </c>
      <c r="I1599" s="36" t="s">
        <v>6455</v>
      </c>
      <c r="J1599" s="36" t="str">
        <f>VLOOKUP(Table2[[#This Row], [Author]],People!A:B,2,0)</f>
        <v>LS</v>
      </c>
      <c r="K1599" s="36" t="s">
        <v>7861</v>
      </c>
      <c r="M1599" s="36" t="s">
        <v>4799</v>
      </c>
    </row>
    <row r="1600" spans="1:13" x14ac:dyDescent="0.25">
      <c r="A1600" s="46">
        <f t="shared" si="24"/>
        <v>1599</v>
      </c>
      <c r="B1600" s="36" t="s">
        <v>4</v>
      </c>
      <c r="C1600" s="36" t="s">
        <v>7679</v>
      </c>
      <c r="D1600" s="9" t="s">
        <v>7724</v>
      </c>
      <c r="F1600" s="9" t="s">
        <v>5591</v>
      </c>
      <c r="G1600" s="36" t="s">
        <v>12</v>
      </c>
      <c r="H1600" s="36" t="str">
        <f>IFERROR(VLOOKUP(Table2[[#This Row], [Ticket]],Okey!A:B,2,0),"")</f>
        <v/>
      </c>
      <c r="I1600" s="36" t="s">
        <v>6455</v>
      </c>
      <c r="J1600" s="36" t="str">
        <f>VLOOKUP(Table2[[#This Row], [Author]],People!A:B,2,0)</f>
        <v>LS</v>
      </c>
      <c r="K1600" s="36" t="s">
        <v>7861</v>
      </c>
      <c r="M1600" s="36" t="s">
        <v>4799</v>
      </c>
    </row>
    <row r="1601" spans="1:13" x14ac:dyDescent="0.25">
      <c r="A1601" s="46">
        <f t="shared" si="24"/>
        <v>1600</v>
      </c>
      <c r="B1601" s="36" t="s">
        <v>4</v>
      </c>
      <c r="C1601" s="36" t="s">
        <v>7679</v>
      </c>
      <c r="D1601" s="9" t="s">
        <v>7725</v>
      </c>
      <c r="F1601" s="9" t="s">
        <v>5591</v>
      </c>
      <c r="G1601" s="36" t="s">
        <v>12</v>
      </c>
      <c r="H1601" s="36" t="str">
        <f>IFERROR(VLOOKUP(Table2[[#This Row], [Ticket]],Okey!A:B,2,0),"")</f>
        <v/>
      </c>
      <c r="I1601" s="36" t="s">
        <v>6455</v>
      </c>
      <c r="J1601" s="36" t="str">
        <f>VLOOKUP(Table2[[#This Row], [Author]],People!A:B,2,0)</f>
        <v>LS</v>
      </c>
      <c r="K1601" s="36" t="s">
        <v>7861</v>
      </c>
      <c r="M1601" s="36" t="s">
        <v>4799</v>
      </c>
    </row>
    <row r="1602" spans="1:13" x14ac:dyDescent="0.25">
      <c r="A1602" s="46">
        <f t="shared" si="24"/>
        <v>1601</v>
      </c>
      <c r="B1602" s="36" t="s">
        <v>4</v>
      </c>
      <c r="C1602" s="36" t="s">
        <v>7679</v>
      </c>
      <c r="D1602" s="9" t="s">
        <v>7726</v>
      </c>
      <c r="F1602" s="9" t="s">
        <v>5591</v>
      </c>
      <c r="G1602" s="36" t="s">
        <v>12</v>
      </c>
      <c r="H1602" s="36" t="str">
        <f>IFERROR(VLOOKUP(Table2[[#This Row], [Ticket]],Okey!A:B,2,0),"")</f>
        <v/>
      </c>
      <c r="I1602" s="36" t="s">
        <v>6455</v>
      </c>
      <c r="J1602" s="36" t="str">
        <f>VLOOKUP(Table2[[#This Row], [Author]],People!A:B,2,0)</f>
        <v>LS</v>
      </c>
      <c r="K1602" s="36" t="s">
        <v>7861</v>
      </c>
      <c r="M1602" s="36" t="s">
        <v>4799</v>
      </c>
    </row>
    <row r="1603" spans="1:13" x14ac:dyDescent="0.25">
      <c r="A1603" s="46">
        <f t="shared" ref="A1603:A1666" si="25">1+A1602</f>
        <v>1602</v>
      </c>
      <c r="B1603" s="36" t="s">
        <v>4</v>
      </c>
      <c r="C1603" s="36" t="s">
        <v>7679</v>
      </c>
      <c r="D1603" s="9" t="s">
        <v>3989</v>
      </c>
      <c r="F1603" s="9" t="s">
        <v>5595</v>
      </c>
      <c r="G1603" s="36" t="s">
        <v>12</v>
      </c>
      <c r="H1603" s="36" t="str">
        <f>IFERROR(VLOOKUP(Table2[[#This Row], [Ticket]],Okey!A:B,2,0),"")</f>
        <v/>
      </c>
      <c r="I1603" s="36" t="s">
        <v>6455</v>
      </c>
      <c r="J1603" s="36" t="str">
        <f>VLOOKUP(Table2[[#This Row], [Author]],People!A:B,2,0)</f>
        <v>LS</v>
      </c>
      <c r="K1603" s="36" t="s">
        <v>7861</v>
      </c>
      <c r="M1603" s="36" t="s">
        <v>4799</v>
      </c>
    </row>
    <row r="1604" spans="1:13" x14ac:dyDescent="0.25">
      <c r="A1604" s="46">
        <f t="shared" si="25"/>
        <v>1603</v>
      </c>
      <c r="B1604" s="36" t="s">
        <v>4</v>
      </c>
      <c r="C1604" s="36" t="s">
        <v>7679</v>
      </c>
      <c r="D1604" s="9" t="s">
        <v>3992</v>
      </c>
      <c r="F1604" s="9" t="s">
        <v>5595</v>
      </c>
      <c r="G1604" s="36" t="s">
        <v>12</v>
      </c>
      <c r="H1604" s="36" t="str">
        <f>IFERROR(VLOOKUP(Table2[[#This Row], [Ticket]],Okey!A:B,2,0),"")</f>
        <v/>
      </c>
      <c r="I1604" s="36" t="s">
        <v>6455</v>
      </c>
      <c r="J1604" s="36" t="str">
        <f>VLOOKUP(Table2[[#This Row], [Author]],People!A:B,2,0)</f>
        <v>LS</v>
      </c>
      <c r="K1604" s="36" t="s">
        <v>7861</v>
      </c>
      <c r="M1604" s="36" t="s">
        <v>4799</v>
      </c>
    </row>
    <row r="1605" spans="1:13" x14ac:dyDescent="0.25">
      <c r="A1605" s="46">
        <f t="shared" si="25"/>
        <v>1604</v>
      </c>
      <c r="B1605" s="36" t="s">
        <v>4</v>
      </c>
      <c r="C1605" s="36" t="s">
        <v>7679</v>
      </c>
      <c r="D1605" s="9" t="s">
        <v>3556</v>
      </c>
      <c r="F1605" s="9" t="s">
        <v>5595</v>
      </c>
      <c r="G1605" s="36" t="s">
        <v>12</v>
      </c>
      <c r="H1605" s="36" t="str">
        <f>IFERROR(VLOOKUP(Table2[[#This Row], [Ticket]],Okey!A:B,2,0),"")</f>
        <v/>
      </c>
      <c r="I1605" s="36" t="s">
        <v>6455</v>
      </c>
      <c r="J1605" s="36" t="str">
        <f>VLOOKUP(Table2[[#This Row], [Author]],People!A:B,2,0)</f>
        <v>LS</v>
      </c>
      <c r="K1605" s="36" t="s">
        <v>7861</v>
      </c>
      <c r="M1605" s="36" t="s">
        <v>4799</v>
      </c>
    </row>
    <row r="1606" spans="1:13" x14ac:dyDescent="0.25">
      <c r="A1606" s="46">
        <f t="shared" si="25"/>
        <v>1605</v>
      </c>
      <c r="B1606" s="36" t="s">
        <v>4</v>
      </c>
      <c r="C1606" s="36" t="s">
        <v>7679</v>
      </c>
      <c r="D1606" s="9" t="s">
        <v>7727</v>
      </c>
      <c r="F1606" s="9" t="s">
        <v>5595</v>
      </c>
      <c r="G1606" s="36" t="s">
        <v>12</v>
      </c>
      <c r="H1606" s="36" t="str">
        <f>IFERROR(VLOOKUP(Table2[[#This Row], [Ticket]],Okey!A:B,2,0),"")</f>
        <v/>
      </c>
      <c r="I1606" s="36" t="s">
        <v>6455</v>
      </c>
      <c r="J1606" s="36" t="str">
        <f>VLOOKUP(Table2[[#This Row], [Author]],People!A:B,2,0)</f>
        <v>LS</v>
      </c>
      <c r="K1606" s="36" t="s">
        <v>7861</v>
      </c>
      <c r="M1606" s="36" t="s">
        <v>4799</v>
      </c>
    </row>
    <row r="1607" spans="1:13" x14ac:dyDescent="0.25">
      <c r="A1607" s="46">
        <f t="shared" si="25"/>
        <v>1606</v>
      </c>
      <c r="B1607" s="36" t="s">
        <v>4</v>
      </c>
      <c r="C1607" s="36" t="s">
        <v>7679</v>
      </c>
      <c r="D1607" s="9" t="s">
        <v>7728</v>
      </c>
      <c r="F1607" s="9" t="s">
        <v>5595</v>
      </c>
      <c r="G1607" s="36" t="s">
        <v>12</v>
      </c>
      <c r="H1607" s="36" t="str">
        <f>IFERROR(VLOOKUP(Table2[[#This Row], [Ticket]],Okey!A:B,2,0),"")</f>
        <v/>
      </c>
      <c r="I1607" s="36" t="s">
        <v>6455</v>
      </c>
      <c r="J1607" s="36" t="str">
        <f>VLOOKUP(Table2[[#This Row], [Author]],People!A:B,2,0)</f>
        <v>LS</v>
      </c>
      <c r="K1607" s="36" t="s">
        <v>7861</v>
      </c>
      <c r="M1607" s="36" t="s">
        <v>4799</v>
      </c>
    </row>
    <row r="1608" spans="1:13" x14ac:dyDescent="0.25">
      <c r="A1608" s="46">
        <f t="shared" si="25"/>
        <v>1607</v>
      </c>
      <c r="B1608" s="36" t="s">
        <v>4</v>
      </c>
      <c r="C1608" s="36" t="s">
        <v>7679</v>
      </c>
      <c r="D1608" s="9" t="s">
        <v>7729</v>
      </c>
      <c r="F1608" s="9" t="s">
        <v>5595</v>
      </c>
      <c r="G1608" s="36" t="s">
        <v>12</v>
      </c>
      <c r="H1608" s="36" t="str">
        <f>IFERROR(VLOOKUP(Table2[[#This Row], [Ticket]],Okey!A:B,2,0),"")</f>
        <v/>
      </c>
      <c r="I1608" s="36" t="s">
        <v>6455</v>
      </c>
      <c r="J1608" s="36" t="str">
        <f>VLOOKUP(Table2[[#This Row], [Author]],People!A:B,2,0)</f>
        <v>LS</v>
      </c>
      <c r="K1608" s="36" t="s">
        <v>7861</v>
      </c>
      <c r="M1608" s="36" t="s">
        <v>4799</v>
      </c>
    </row>
    <row r="1609" spans="1:13" x14ac:dyDescent="0.25">
      <c r="A1609" s="46">
        <f t="shared" si="25"/>
        <v>1608</v>
      </c>
      <c r="B1609" s="36" t="s">
        <v>4</v>
      </c>
      <c r="C1609" s="36" t="s">
        <v>7679</v>
      </c>
      <c r="D1609" s="9" t="s">
        <v>7730</v>
      </c>
      <c r="F1609" s="9" t="s">
        <v>5595</v>
      </c>
      <c r="G1609" s="36" t="s">
        <v>12</v>
      </c>
      <c r="H1609" s="36" t="str">
        <f>IFERROR(VLOOKUP(Table2[[#This Row], [Ticket]],Okey!A:B,2,0),"")</f>
        <v/>
      </c>
      <c r="I1609" s="36" t="s">
        <v>6455</v>
      </c>
      <c r="J1609" s="36" t="str">
        <f>VLOOKUP(Table2[[#This Row], [Author]],People!A:B,2,0)</f>
        <v>LS</v>
      </c>
      <c r="K1609" s="36" t="s">
        <v>7861</v>
      </c>
      <c r="M1609" s="36" t="s">
        <v>4799</v>
      </c>
    </row>
    <row r="1610" spans="1:13" x14ac:dyDescent="0.25">
      <c r="A1610" s="46">
        <f t="shared" si="25"/>
        <v>1609</v>
      </c>
      <c r="B1610" s="36" t="s">
        <v>4</v>
      </c>
      <c r="C1610" s="36" t="s">
        <v>7679</v>
      </c>
      <c r="D1610" s="9" t="s">
        <v>7731</v>
      </c>
      <c r="F1610" s="9" t="s">
        <v>5595</v>
      </c>
      <c r="G1610" s="36" t="s">
        <v>12</v>
      </c>
      <c r="H1610" s="36" t="str">
        <f>IFERROR(VLOOKUP(Table2[[#This Row], [Ticket]],Okey!A:B,2,0),"")</f>
        <v/>
      </c>
      <c r="I1610" s="36" t="s">
        <v>6455</v>
      </c>
      <c r="J1610" s="36" t="str">
        <f>VLOOKUP(Table2[[#This Row], [Author]],People!A:B,2,0)</f>
        <v>LS</v>
      </c>
      <c r="K1610" s="36" t="s">
        <v>7861</v>
      </c>
      <c r="M1610" s="36" t="s">
        <v>4799</v>
      </c>
    </row>
    <row r="1611" spans="1:13" x14ac:dyDescent="0.25">
      <c r="A1611" s="46">
        <f t="shared" si="25"/>
        <v>1610</v>
      </c>
      <c r="B1611" s="36" t="s">
        <v>4</v>
      </c>
      <c r="C1611" s="36" t="s">
        <v>7679</v>
      </c>
      <c r="D1611" s="9" t="s">
        <v>7732</v>
      </c>
      <c r="F1611" s="9" t="s">
        <v>5595</v>
      </c>
      <c r="G1611" s="36" t="s">
        <v>12</v>
      </c>
      <c r="H1611" s="36" t="str">
        <f>IFERROR(VLOOKUP(Table2[[#This Row], [Ticket]],Okey!A:B,2,0),"")</f>
        <v/>
      </c>
      <c r="I1611" s="36" t="s">
        <v>6455</v>
      </c>
      <c r="J1611" s="36" t="str">
        <f>VLOOKUP(Table2[[#This Row], [Author]],People!A:B,2,0)</f>
        <v>LS</v>
      </c>
      <c r="K1611" s="36" t="s">
        <v>7861</v>
      </c>
      <c r="M1611" s="36" t="s">
        <v>4799</v>
      </c>
    </row>
    <row r="1612" spans="1:13" x14ac:dyDescent="0.25">
      <c r="A1612" s="46">
        <f t="shared" si="25"/>
        <v>1611</v>
      </c>
      <c r="B1612" s="36" t="s">
        <v>4</v>
      </c>
      <c r="C1612" s="36" t="s">
        <v>7679</v>
      </c>
      <c r="D1612" s="9" t="s">
        <v>7733</v>
      </c>
      <c r="F1612" s="9" t="s">
        <v>5595</v>
      </c>
      <c r="G1612" s="36" t="s">
        <v>12</v>
      </c>
      <c r="H1612" s="36" t="str">
        <f>IFERROR(VLOOKUP(Table2[[#This Row], [Ticket]],Okey!A:B,2,0),"")</f>
        <v/>
      </c>
      <c r="I1612" s="36" t="s">
        <v>6455</v>
      </c>
      <c r="J1612" s="36" t="str">
        <f>VLOOKUP(Table2[[#This Row], [Author]],People!A:B,2,0)</f>
        <v>LS</v>
      </c>
      <c r="K1612" s="36" t="s">
        <v>7861</v>
      </c>
      <c r="M1612" s="36" t="s">
        <v>4799</v>
      </c>
    </row>
    <row r="1613" spans="1:13" x14ac:dyDescent="0.25">
      <c r="A1613" s="46">
        <f t="shared" si="25"/>
        <v>1612</v>
      </c>
      <c r="B1613" s="36" t="s">
        <v>4</v>
      </c>
      <c r="C1613" s="36" t="s">
        <v>7679</v>
      </c>
      <c r="D1613" s="9" t="s">
        <v>7734</v>
      </c>
      <c r="F1613" s="9" t="s">
        <v>5595</v>
      </c>
      <c r="G1613" s="36" t="s">
        <v>12</v>
      </c>
      <c r="H1613" s="36" t="str">
        <f>IFERROR(VLOOKUP(Table2[[#This Row], [Ticket]],Okey!A:B,2,0),"")</f>
        <v/>
      </c>
      <c r="I1613" s="36" t="s">
        <v>6455</v>
      </c>
      <c r="J1613" s="36" t="str">
        <f>VLOOKUP(Table2[[#This Row], [Author]],People!A:B,2,0)</f>
        <v>LS</v>
      </c>
      <c r="K1613" s="36" t="s">
        <v>7861</v>
      </c>
      <c r="M1613" s="36" t="s">
        <v>4799</v>
      </c>
    </row>
    <row r="1614" spans="1:13" x14ac:dyDescent="0.25">
      <c r="A1614" s="46">
        <f t="shared" si="25"/>
        <v>1613</v>
      </c>
      <c r="B1614" s="36" t="s">
        <v>4</v>
      </c>
      <c r="C1614" s="36" t="s">
        <v>7679</v>
      </c>
      <c r="D1614" s="9" t="s">
        <v>7735</v>
      </c>
      <c r="F1614" s="9" t="s">
        <v>5595</v>
      </c>
      <c r="G1614" s="36" t="s">
        <v>12</v>
      </c>
      <c r="H1614" s="36" t="str">
        <f>IFERROR(VLOOKUP(Table2[[#This Row], [Ticket]],Okey!A:B,2,0),"")</f>
        <v/>
      </c>
      <c r="I1614" s="36" t="s">
        <v>6455</v>
      </c>
      <c r="J1614" s="36" t="str">
        <f>VLOOKUP(Table2[[#This Row], [Author]],People!A:B,2,0)</f>
        <v>LS</v>
      </c>
      <c r="K1614" s="36" t="s">
        <v>7861</v>
      </c>
      <c r="M1614" s="36" t="s">
        <v>4799</v>
      </c>
    </row>
    <row r="1615" spans="1:13" x14ac:dyDescent="0.25">
      <c r="A1615" s="46">
        <f t="shared" si="25"/>
        <v>1614</v>
      </c>
      <c r="B1615" s="36" t="s">
        <v>4</v>
      </c>
      <c r="C1615" s="36" t="s">
        <v>7679</v>
      </c>
      <c r="D1615" s="9" t="s">
        <v>7736</v>
      </c>
      <c r="F1615" s="9" t="s">
        <v>5595</v>
      </c>
      <c r="G1615" s="36" t="s">
        <v>12</v>
      </c>
      <c r="H1615" s="36" t="str">
        <f>IFERROR(VLOOKUP(Table2[[#This Row], [Ticket]],Okey!A:B,2,0),"")</f>
        <v/>
      </c>
      <c r="I1615" s="36" t="s">
        <v>6455</v>
      </c>
      <c r="J1615" s="36" t="str">
        <f>VLOOKUP(Table2[[#This Row], [Author]],People!A:B,2,0)</f>
        <v>LS</v>
      </c>
      <c r="K1615" s="36" t="s">
        <v>7861</v>
      </c>
      <c r="M1615" s="36" t="s">
        <v>4799</v>
      </c>
    </row>
    <row r="1616" spans="1:13" x14ac:dyDescent="0.25">
      <c r="A1616" s="46">
        <f t="shared" si="25"/>
        <v>1615</v>
      </c>
      <c r="B1616" s="36" t="s">
        <v>4</v>
      </c>
      <c r="C1616" s="36" t="s">
        <v>7679</v>
      </c>
      <c r="D1616" s="9" t="s">
        <v>7737</v>
      </c>
      <c r="F1616" s="9" t="s">
        <v>5595</v>
      </c>
      <c r="G1616" s="36" t="s">
        <v>12</v>
      </c>
      <c r="H1616" s="36" t="str">
        <f>IFERROR(VLOOKUP(Table2[[#This Row], [Ticket]],Okey!A:B,2,0),"")</f>
        <v/>
      </c>
      <c r="I1616" s="36" t="s">
        <v>6455</v>
      </c>
      <c r="J1616" s="36" t="str">
        <f>VLOOKUP(Table2[[#This Row], [Author]],People!A:B,2,0)</f>
        <v>LS</v>
      </c>
      <c r="K1616" s="36" t="s">
        <v>7861</v>
      </c>
      <c r="M1616" s="36" t="s">
        <v>4799</v>
      </c>
    </row>
    <row r="1617" spans="1:13" x14ac:dyDescent="0.25">
      <c r="A1617" s="46">
        <f t="shared" si="25"/>
        <v>1616</v>
      </c>
      <c r="B1617" s="36" t="s">
        <v>4</v>
      </c>
      <c r="C1617" s="36" t="s">
        <v>7679</v>
      </c>
      <c r="D1617" s="9" t="s">
        <v>7738</v>
      </c>
      <c r="F1617" s="9" t="s">
        <v>5595</v>
      </c>
      <c r="G1617" s="36" t="s">
        <v>12</v>
      </c>
      <c r="H1617" s="36" t="str">
        <f>IFERROR(VLOOKUP(Table2[[#This Row], [Ticket]],Okey!A:B,2,0),"")</f>
        <v/>
      </c>
      <c r="I1617" s="36" t="s">
        <v>6455</v>
      </c>
      <c r="J1617" s="36" t="str">
        <f>VLOOKUP(Table2[[#This Row], [Author]],People!A:B,2,0)</f>
        <v>LS</v>
      </c>
      <c r="K1617" s="36" t="s">
        <v>7861</v>
      </c>
      <c r="M1617" s="36" t="s">
        <v>4799</v>
      </c>
    </row>
    <row r="1618" spans="1:13" x14ac:dyDescent="0.25">
      <c r="A1618" s="46">
        <f t="shared" si="25"/>
        <v>1617</v>
      </c>
      <c r="B1618" s="36" t="s">
        <v>4</v>
      </c>
      <c r="C1618" s="36" t="s">
        <v>7679</v>
      </c>
      <c r="D1618" s="9" t="s">
        <v>3478</v>
      </c>
      <c r="F1618" s="9" t="s">
        <v>5595</v>
      </c>
      <c r="G1618" s="36" t="s">
        <v>12</v>
      </c>
      <c r="H1618" s="36" t="str">
        <f>IFERROR(VLOOKUP(Table2[[#This Row], [Ticket]],Okey!A:B,2,0),"")</f>
        <v/>
      </c>
      <c r="I1618" s="36" t="s">
        <v>6455</v>
      </c>
      <c r="J1618" s="36" t="str">
        <f>VLOOKUP(Table2[[#This Row], [Author]],People!A:B,2,0)</f>
        <v>LS</v>
      </c>
      <c r="K1618" s="36" t="s">
        <v>7861</v>
      </c>
      <c r="M1618" s="36" t="s">
        <v>4799</v>
      </c>
    </row>
    <row r="1619" spans="1:13" x14ac:dyDescent="0.25">
      <c r="A1619" s="46">
        <f t="shared" si="25"/>
        <v>1618</v>
      </c>
      <c r="B1619" s="36" t="s">
        <v>4</v>
      </c>
      <c r="C1619" s="36" t="s">
        <v>7679</v>
      </c>
      <c r="D1619" s="9" t="s">
        <v>3480</v>
      </c>
      <c r="F1619" s="9" t="s">
        <v>5595</v>
      </c>
      <c r="G1619" s="36" t="s">
        <v>12</v>
      </c>
      <c r="H1619" s="36" t="str">
        <f>IFERROR(VLOOKUP(Table2[[#This Row], [Ticket]],Okey!A:B,2,0),"")</f>
        <v/>
      </c>
      <c r="I1619" s="36" t="s">
        <v>6455</v>
      </c>
      <c r="J1619" s="36" t="str">
        <f>VLOOKUP(Table2[[#This Row], [Author]],People!A:B,2,0)</f>
        <v>LS</v>
      </c>
      <c r="K1619" s="36" t="s">
        <v>7861</v>
      </c>
      <c r="M1619" s="36" t="s">
        <v>4799</v>
      </c>
    </row>
    <row r="1620" spans="1:13" x14ac:dyDescent="0.25">
      <c r="A1620" s="46">
        <f t="shared" si="25"/>
        <v>1619</v>
      </c>
      <c r="B1620" s="36" t="s">
        <v>4</v>
      </c>
      <c r="C1620" s="36" t="s">
        <v>7679</v>
      </c>
      <c r="D1620" s="9" t="s">
        <v>3481</v>
      </c>
      <c r="F1620" s="9" t="s">
        <v>5595</v>
      </c>
      <c r="G1620" s="36" t="s">
        <v>12</v>
      </c>
      <c r="H1620" s="36" t="str">
        <f>IFERROR(VLOOKUP(Table2[[#This Row], [Ticket]],Okey!A:B,2,0),"")</f>
        <v/>
      </c>
      <c r="I1620" s="36" t="s">
        <v>6455</v>
      </c>
      <c r="J1620" s="36" t="str">
        <f>VLOOKUP(Table2[[#This Row], [Author]],People!A:B,2,0)</f>
        <v>LS</v>
      </c>
      <c r="K1620" s="36" t="s">
        <v>7861</v>
      </c>
      <c r="M1620" s="36" t="s">
        <v>4799</v>
      </c>
    </row>
    <row r="1621" spans="1:13" x14ac:dyDescent="0.25">
      <c r="A1621" s="46">
        <f t="shared" si="25"/>
        <v>1620</v>
      </c>
      <c r="B1621" s="36" t="s">
        <v>4</v>
      </c>
      <c r="C1621" s="9" t="s">
        <v>7754</v>
      </c>
      <c r="D1621" s="40" t="s">
        <v>7755</v>
      </c>
      <c r="E1621" s="9" t="s">
        <v>6345</v>
      </c>
      <c r="F1621" s="9" t="s">
        <v>6344</v>
      </c>
      <c r="G1621" s="9" t="s">
        <v>14</v>
      </c>
      <c r="H1621" s="36" t="str">
        <f>IFERROR(VLOOKUP(Table2[[#This Row], [Ticket]],Okey!A:B,2,0),"")</f>
        <v/>
      </c>
      <c r="I1621" s="36" t="s">
        <v>6455</v>
      </c>
      <c r="J1621" s="36" t="str">
        <f>VLOOKUP(Table2[[#This Row], [Author]],People!A:B,2,0)</f>
        <v>LS</v>
      </c>
      <c r="K1621" s="36" t="s">
        <v>7860</v>
      </c>
      <c r="L1621" s="36" t="e">
        <f>VLOOKUP(Table2[[#This Row],[Node]],Sheet6!B:C,2,0)</f>
        <v>#N/A</v>
      </c>
      <c r="M1621" s="9" t="s">
        <v>6354</v>
      </c>
    </row>
    <row r="1622" spans="1:13" x14ac:dyDescent="0.25">
      <c r="A1622" s="46">
        <f t="shared" si="25"/>
        <v>1621</v>
      </c>
      <c r="B1622" s="36" t="s">
        <v>4</v>
      </c>
      <c r="C1622" s="9" t="s">
        <v>7756</v>
      </c>
      <c r="D1622" s="9" t="s">
        <v>7813</v>
      </c>
      <c r="E1622" s="9" t="s">
        <v>7757</v>
      </c>
      <c r="F1622" s="9" t="s">
        <v>2433</v>
      </c>
      <c r="G1622" s="36" t="s">
        <v>14</v>
      </c>
      <c r="H1622" s="36" t="str">
        <f>IFERROR(VLOOKUP(Table2[[#This Row], [Ticket]],Okey!A:B,2,0),"")</f>
        <v/>
      </c>
      <c r="I1622" s="36" t="s">
        <v>6455</v>
      </c>
      <c r="J1622" s="36" t="str">
        <f>VLOOKUP(Table2[[#This Row], [Author]],People!A:B,2,0)</f>
        <v>EL</v>
      </c>
      <c r="K1622" s="36" t="s">
        <v>7860</v>
      </c>
      <c r="L1622" s="36" t="e">
        <f>VLOOKUP(Table2[[#This Row],[Node]],Sheet6!B:C,2,0)</f>
        <v>#N/A</v>
      </c>
      <c r="M1622" s="9" t="s">
        <v>6110</v>
      </c>
    </row>
    <row r="1623" spans="1:13" x14ac:dyDescent="0.25">
      <c r="A1623" s="46">
        <f t="shared" si="25"/>
        <v>1622</v>
      </c>
      <c r="B1623" s="36" t="s">
        <v>4</v>
      </c>
      <c r="C1623" s="36" t="s">
        <v>7756</v>
      </c>
      <c r="D1623" s="36" t="s">
        <v>7814</v>
      </c>
      <c r="E1623" s="9" t="s">
        <v>7758</v>
      </c>
      <c r="F1623" s="9" t="s">
        <v>2740</v>
      </c>
      <c r="G1623" s="36" t="s">
        <v>14</v>
      </c>
      <c r="H1623" s="36" t="str">
        <f>IFERROR(VLOOKUP(Table2[[#This Row], [Ticket]],Okey!A:B,2,0),"")</f>
        <v/>
      </c>
      <c r="I1623" s="36" t="s">
        <v>6455</v>
      </c>
      <c r="J1623" s="36" t="str">
        <f>VLOOKUP(Table2[[#This Row], [Author]],People!A:B,2,0)</f>
        <v>EL</v>
      </c>
      <c r="K1623" s="36" t="s">
        <v>7860</v>
      </c>
      <c r="L1623" s="36" t="e">
        <f>VLOOKUP(Table2[[#This Row],[Node]],Sheet6!B:C,2,0)</f>
        <v>#N/A</v>
      </c>
      <c r="M1623" s="36" t="s">
        <v>6110</v>
      </c>
    </row>
    <row r="1624" spans="1:13" x14ac:dyDescent="0.25">
      <c r="A1624" s="46">
        <f t="shared" si="25"/>
        <v>1623</v>
      </c>
      <c r="B1624" s="36" t="s">
        <v>4</v>
      </c>
      <c r="C1624" s="36" t="s">
        <v>7756</v>
      </c>
      <c r="D1624" s="36" t="s">
        <v>7815</v>
      </c>
      <c r="E1624" s="9" t="s">
        <v>7759</v>
      </c>
      <c r="F1624" s="9" t="s">
        <v>2684</v>
      </c>
      <c r="G1624" s="36" t="s">
        <v>14</v>
      </c>
      <c r="H1624" s="36" t="str">
        <f>IFERROR(VLOOKUP(Table2[[#This Row], [Ticket]],Okey!A:B,2,0),"")</f>
        <v/>
      </c>
      <c r="I1624" s="36" t="s">
        <v>6455</v>
      </c>
      <c r="J1624" s="36" t="str">
        <f>VLOOKUP(Table2[[#This Row], [Author]],People!A:B,2,0)</f>
        <v>EL</v>
      </c>
      <c r="K1624" s="36" t="s">
        <v>7860</v>
      </c>
      <c r="L1624" s="36" t="e">
        <f>VLOOKUP(Table2[[#This Row],[Node]],Sheet6!B:C,2,0)</f>
        <v>#N/A</v>
      </c>
      <c r="M1624" s="36" t="s">
        <v>6110</v>
      </c>
    </row>
    <row r="1625" spans="1:13" x14ac:dyDescent="0.25">
      <c r="A1625" s="46">
        <f t="shared" si="25"/>
        <v>1624</v>
      </c>
      <c r="B1625" s="36" t="s">
        <v>4</v>
      </c>
      <c r="C1625" s="36" t="s">
        <v>7756</v>
      </c>
      <c r="D1625" s="36" t="s">
        <v>7816</v>
      </c>
      <c r="E1625" s="9" t="s">
        <v>7760</v>
      </c>
      <c r="F1625" s="9" t="s">
        <v>2684</v>
      </c>
      <c r="G1625" s="36" t="s">
        <v>14</v>
      </c>
      <c r="H1625" s="36" t="str">
        <f>IFERROR(VLOOKUP(Table2[[#This Row], [Ticket]],Okey!A:B,2,0),"")</f>
        <v/>
      </c>
      <c r="I1625" s="36" t="s">
        <v>6455</v>
      </c>
      <c r="J1625" s="36" t="str">
        <f>VLOOKUP(Table2[[#This Row], [Author]],People!A:B,2,0)</f>
        <v>EL</v>
      </c>
      <c r="K1625" s="36" t="s">
        <v>7860</v>
      </c>
      <c r="L1625" s="36" t="e">
        <f>VLOOKUP(Table2[[#This Row],[Node]],Sheet6!B:C,2,0)</f>
        <v>#N/A</v>
      </c>
      <c r="M1625" s="36" t="s">
        <v>6110</v>
      </c>
    </row>
    <row r="1626" spans="1:13" x14ac:dyDescent="0.25">
      <c r="A1626" s="46">
        <f t="shared" si="25"/>
        <v>1625</v>
      </c>
      <c r="B1626" s="36" t="s">
        <v>4</v>
      </c>
      <c r="C1626" s="36" t="s">
        <v>7756</v>
      </c>
      <c r="D1626" s="36" t="s">
        <v>7817</v>
      </c>
      <c r="E1626" s="9" t="s">
        <v>7761</v>
      </c>
      <c r="F1626" s="9" t="s">
        <v>2742</v>
      </c>
      <c r="G1626" s="36" t="s">
        <v>14</v>
      </c>
      <c r="H1626" s="36" t="str">
        <f>IFERROR(VLOOKUP(Table2[[#This Row], [Ticket]],Okey!A:B,2,0),"")</f>
        <v/>
      </c>
      <c r="I1626" s="36" t="s">
        <v>6455</v>
      </c>
      <c r="J1626" s="36" t="str">
        <f>VLOOKUP(Table2[[#This Row], [Author]],People!A:B,2,0)</f>
        <v>EL</v>
      </c>
      <c r="K1626" s="36" t="s">
        <v>7860</v>
      </c>
      <c r="L1626" s="36" t="e">
        <f>VLOOKUP(Table2[[#This Row],[Node]],Sheet6!B:C,2,0)</f>
        <v>#N/A</v>
      </c>
      <c r="M1626" s="36" t="s">
        <v>6110</v>
      </c>
    </row>
    <row r="1627" spans="1:13" x14ac:dyDescent="0.25">
      <c r="A1627" s="46">
        <f t="shared" si="25"/>
        <v>1626</v>
      </c>
      <c r="B1627" s="36" t="s">
        <v>4</v>
      </c>
      <c r="C1627" s="36" t="s">
        <v>7756</v>
      </c>
      <c r="D1627" s="36" t="s">
        <v>7818</v>
      </c>
      <c r="E1627" s="9" t="s">
        <v>7762</v>
      </c>
      <c r="F1627" s="9" t="s">
        <v>7763</v>
      </c>
      <c r="G1627" s="36" t="s">
        <v>14</v>
      </c>
      <c r="H1627" s="36" t="str">
        <f>IFERROR(VLOOKUP(Table2[[#This Row], [Ticket]],Okey!A:B,2,0),"")</f>
        <v/>
      </c>
      <c r="I1627" s="36" t="s">
        <v>6455</v>
      </c>
      <c r="J1627" s="36" t="str">
        <f>VLOOKUP(Table2[[#This Row], [Author]],People!A:B,2,0)</f>
        <v>EL</v>
      </c>
      <c r="K1627" s="36" t="s">
        <v>7860</v>
      </c>
      <c r="L1627" s="36" t="e">
        <f>VLOOKUP(Table2[[#This Row],[Node]],Sheet6!B:C,2,0)</f>
        <v>#N/A</v>
      </c>
      <c r="M1627" s="36" t="s">
        <v>6110</v>
      </c>
    </row>
    <row r="1628" spans="1:13" x14ac:dyDescent="0.25">
      <c r="A1628" s="46">
        <f t="shared" si="25"/>
        <v>1627</v>
      </c>
      <c r="B1628" s="36" t="s">
        <v>4</v>
      </c>
      <c r="C1628" s="36" t="s">
        <v>7756</v>
      </c>
      <c r="D1628" s="36" t="s">
        <v>7819</v>
      </c>
      <c r="E1628" s="9" t="s">
        <v>7764</v>
      </c>
      <c r="F1628" s="9" t="s">
        <v>4618</v>
      </c>
      <c r="G1628" s="36" t="s">
        <v>14</v>
      </c>
      <c r="H1628" s="36" t="str">
        <f>IFERROR(VLOOKUP(Table2[[#This Row], [Ticket]],Okey!A:B,2,0),"")</f>
        <v/>
      </c>
      <c r="I1628" s="36" t="s">
        <v>6455</v>
      </c>
      <c r="J1628" s="36" t="str">
        <f>VLOOKUP(Table2[[#This Row], [Author]],People!A:B,2,0)</f>
        <v>EL</v>
      </c>
      <c r="K1628" s="36" t="s">
        <v>7860</v>
      </c>
      <c r="L1628" s="36" t="e">
        <f>VLOOKUP(Table2[[#This Row],[Node]],Sheet6!B:C,2,0)</f>
        <v>#N/A</v>
      </c>
      <c r="M1628" s="36" t="s">
        <v>6110</v>
      </c>
    </row>
    <row r="1629" spans="1:13" x14ac:dyDescent="0.25">
      <c r="A1629" s="46">
        <f t="shared" si="25"/>
        <v>1628</v>
      </c>
      <c r="B1629" s="36" t="s">
        <v>4</v>
      </c>
      <c r="C1629" s="36" t="s">
        <v>7756</v>
      </c>
      <c r="D1629" s="36" t="s">
        <v>7820</v>
      </c>
      <c r="E1629" s="9" t="s">
        <v>7765</v>
      </c>
      <c r="F1629" s="9" t="s">
        <v>2742</v>
      </c>
      <c r="G1629" s="36" t="s">
        <v>14</v>
      </c>
      <c r="H1629" s="36" t="str">
        <f>IFERROR(VLOOKUP(Table2[[#This Row], [Ticket]],Okey!A:B,2,0),"")</f>
        <v/>
      </c>
      <c r="I1629" s="36" t="s">
        <v>6455</v>
      </c>
      <c r="J1629" s="36" t="str">
        <f>VLOOKUP(Table2[[#This Row], [Author]],People!A:B,2,0)</f>
        <v>EL</v>
      </c>
      <c r="K1629" s="36" t="s">
        <v>7860</v>
      </c>
      <c r="L1629" s="36" t="e">
        <f>VLOOKUP(Table2[[#This Row],[Node]],Sheet6!B:C,2,0)</f>
        <v>#N/A</v>
      </c>
      <c r="M1629" s="36" t="s">
        <v>6110</v>
      </c>
    </row>
    <row r="1630" spans="1:13" x14ac:dyDescent="0.25">
      <c r="A1630" s="46">
        <f t="shared" si="25"/>
        <v>1629</v>
      </c>
      <c r="B1630" s="36" t="s">
        <v>4</v>
      </c>
      <c r="C1630" s="36" t="s">
        <v>7756</v>
      </c>
      <c r="D1630" s="36" t="s">
        <v>7821</v>
      </c>
      <c r="E1630" s="9" t="s">
        <v>7766</v>
      </c>
      <c r="F1630" s="9" t="s">
        <v>5308</v>
      </c>
      <c r="G1630" s="36" t="s">
        <v>14</v>
      </c>
      <c r="H1630" s="36" t="str">
        <f>IFERROR(VLOOKUP(Table2[[#This Row], [Ticket]],Okey!A:B,2,0),"")</f>
        <v/>
      </c>
      <c r="I1630" s="36" t="s">
        <v>6455</v>
      </c>
      <c r="J1630" s="36" t="str">
        <f>VLOOKUP(Table2[[#This Row], [Author]],People!A:B,2,0)</f>
        <v>EL</v>
      </c>
      <c r="K1630" s="36" t="s">
        <v>7860</v>
      </c>
      <c r="L1630" s="36" t="e">
        <f>VLOOKUP(Table2[[#This Row],[Node]],Sheet6!B:C,2,0)</f>
        <v>#N/A</v>
      </c>
      <c r="M1630" s="36" t="s">
        <v>6110</v>
      </c>
    </row>
    <row r="1631" spans="1:13" x14ac:dyDescent="0.25">
      <c r="A1631" s="46">
        <f t="shared" si="25"/>
        <v>1630</v>
      </c>
      <c r="B1631" s="36" t="s">
        <v>4</v>
      </c>
      <c r="C1631" s="36" t="s">
        <v>7756</v>
      </c>
      <c r="D1631" s="36" t="s">
        <v>7822</v>
      </c>
      <c r="E1631" s="9" t="s">
        <v>7767</v>
      </c>
      <c r="F1631" s="9" t="s">
        <v>4628</v>
      </c>
      <c r="G1631" s="36" t="s">
        <v>14</v>
      </c>
      <c r="H1631" s="36" t="str">
        <f>IFERROR(VLOOKUP(Table2[[#This Row], [Ticket]],Okey!A:B,2,0),"")</f>
        <v/>
      </c>
      <c r="I1631" s="36" t="s">
        <v>6455</v>
      </c>
      <c r="J1631" s="36" t="str">
        <f>VLOOKUP(Table2[[#This Row], [Author]],People!A:B,2,0)</f>
        <v>EL</v>
      </c>
      <c r="K1631" s="36" t="s">
        <v>7860</v>
      </c>
      <c r="L1631" s="36" t="e">
        <f>VLOOKUP(Table2[[#This Row],[Node]],Sheet6!B:C,2,0)</f>
        <v>#N/A</v>
      </c>
      <c r="M1631" s="36" t="s">
        <v>6110</v>
      </c>
    </row>
    <row r="1632" spans="1:13" x14ac:dyDescent="0.25">
      <c r="A1632" s="46">
        <f t="shared" si="25"/>
        <v>1631</v>
      </c>
      <c r="B1632" s="36" t="s">
        <v>4</v>
      </c>
      <c r="C1632" s="36" t="s">
        <v>7756</v>
      </c>
      <c r="D1632" s="36" t="s">
        <v>7823</v>
      </c>
      <c r="E1632" s="9" t="s">
        <v>7768</v>
      </c>
      <c r="F1632" s="36" t="s">
        <v>4628</v>
      </c>
      <c r="G1632" s="36" t="s">
        <v>14</v>
      </c>
      <c r="H1632" s="36" t="str">
        <f>IFERROR(VLOOKUP(Table2[[#This Row], [Ticket]],Okey!A:B,2,0),"")</f>
        <v/>
      </c>
      <c r="I1632" s="36" t="s">
        <v>6455</v>
      </c>
      <c r="J1632" s="36" t="str">
        <f>VLOOKUP(Table2[[#This Row], [Author]],People!A:B,2,0)</f>
        <v>EL</v>
      </c>
      <c r="K1632" s="36" t="s">
        <v>7860</v>
      </c>
      <c r="L1632" s="36" t="e">
        <f>VLOOKUP(Table2[[#This Row],[Node]],Sheet6!B:C,2,0)</f>
        <v>#N/A</v>
      </c>
      <c r="M1632" s="36" t="s">
        <v>6110</v>
      </c>
    </row>
    <row r="1633" spans="1:13" x14ac:dyDescent="0.25">
      <c r="A1633" s="46">
        <f t="shared" si="25"/>
        <v>1632</v>
      </c>
      <c r="B1633" s="36" t="s">
        <v>4</v>
      </c>
      <c r="C1633" s="36" t="s">
        <v>7756</v>
      </c>
      <c r="D1633" s="36" t="s">
        <v>7824</v>
      </c>
      <c r="E1633" s="9" t="s">
        <v>7769</v>
      </c>
      <c r="F1633" s="36" t="s">
        <v>7823</v>
      </c>
      <c r="G1633" s="36" t="s">
        <v>14</v>
      </c>
      <c r="H1633" s="36" t="str">
        <f>IFERROR(VLOOKUP(Table2[[#This Row], [Ticket]],Okey!A:B,2,0),"")</f>
        <v/>
      </c>
      <c r="I1633" s="36" t="s">
        <v>6455</v>
      </c>
      <c r="J1633" s="36" t="str">
        <f>VLOOKUP(Table2[[#This Row], [Author]],People!A:B,2,0)</f>
        <v>EL</v>
      </c>
      <c r="K1633" s="36" t="s">
        <v>7860</v>
      </c>
      <c r="L1633" s="36" t="e">
        <f>VLOOKUP(Table2[[#This Row],[Node]],Sheet6!B:C,2,0)</f>
        <v>#N/A</v>
      </c>
      <c r="M1633" s="36" t="s">
        <v>6110</v>
      </c>
    </row>
    <row r="1634" spans="1:13" x14ac:dyDescent="0.25">
      <c r="A1634" s="46">
        <f t="shared" si="25"/>
        <v>1633</v>
      </c>
      <c r="B1634" s="36" t="s">
        <v>4</v>
      </c>
      <c r="C1634" s="36" t="s">
        <v>7756</v>
      </c>
      <c r="D1634" s="36" t="s">
        <v>7825</v>
      </c>
      <c r="E1634" s="9" t="s">
        <v>7770</v>
      </c>
      <c r="F1634" s="36" t="s">
        <v>7823</v>
      </c>
      <c r="G1634" s="36" t="s">
        <v>14</v>
      </c>
      <c r="H1634" s="36" t="str">
        <f>IFERROR(VLOOKUP(Table2[[#This Row], [Ticket]],Okey!A:B,2,0),"")</f>
        <v/>
      </c>
      <c r="I1634" s="36" t="s">
        <v>6455</v>
      </c>
      <c r="J1634" s="36" t="str">
        <f>VLOOKUP(Table2[[#This Row], [Author]],People!A:B,2,0)</f>
        <v>EL</v>
      </c>
      <c r="K1634" s="36" t="s">
        <v>7860</v>
      </c>
      <c r="L1634" s="36" t="e">
        <f>VLOOKUP(Table2[[#This Row],[Node]],Sheet6!B:C,2,0)</f>
        <v>#N/A</v>
      </c>
      <c r="M1634" s="36" t="s">
        <v>6110</v>
      </c>
    </row>
    <row r="1635" spans="1:13" x14ac:dyDescent="0.25">
      <c r="A1635" s="46">
        <f t="shared" si="25"/>
        <v>1634</v>
      </c>
      <c r="B1635" s="36" t="s">
        <v>4</v>
      </c>
      <c r="C1635" s="36" t="s">
        <v>7756</v>
      </c>
      <c r="D1635" s="36" t="s">
        <v>7826</v>
      </c>
      <c r="E1635" s="9" t="s">
        <v>7771</v>
      </c>
      <c r="F1635" s="36" t="s">
        <v>4628</v>
      </c>
      <c r="G1635" s="36" t="s">
        <v>14</v>
      </c>
      <c r="H1635" s="36" t="str">
        <f>IFERROR(VLOOKUP(Table2[[#This Row], [Ticket]],Okey!A:B,2,0),"")</f>
        <v/>
      </c>
      <c r="I1635" s="36" t="s">
        <v>6455</v>
      </c>
      <c r="J1635" s="36" t="str">
        <f>VLOOKUP(Table2[[#This Row], [Author]],People!A:B,2,0)</f>
        <v>EL</v>
      </c>
      <c r="K1635" s="36" t="s">
        <v>7860</v>
      </c>
      <c r="L1635" s="36" t="e">
        <f>VLOOKUP(Table2[[#This Row],[Node]],Sheet6!B:C,2,0)</f>
        <v>#N/A</v>
      </c>
      <c r="M1635" s="36" t="s">
        <v>6110</v>
      </c>
    </row>
    <row r="1636" spans="1:13" x14ac:dyDescent="0.25">
      <c r="A1636" s="46">
        <f t="shared" si="25"/>
        <v>1635</v>
      </c>
      <c r="B1636" s="36" t="s">
        <v>4</v>
      </c>
      <c r="C1636" s="36" t="s">
        <v>7756</v>
      </c>
      <c r="D1636" s="36" t="s">
        <v>7827</v>
      </c>
      <c r="E1636" s="9" t="s">
        <v>7772</v>
      </c>
      <c r="F1636" s="36" t="s">
        <v>4628</v>
      </c>
      <c r="G1636" s="36" t="s">
        <v>14</v>
      </c>
      <c r="H1636" s="36" t="str">
        <f>IFERROR(VLOOKUP(Table2[[#This Row], [Ticket]],Okey!A:B,2,0),"")</f>
        <v/>
      </c>
      <c r="I1636" s="36" t="s">
        <v>6455</v>
      </c>
      <c r="J1636" s="36" t="str">
        <f>VLOOKUP(Table2[[#This Row], [Author]],People!A:B,2,0)</f>
        <v>EL</v>
      </c>
      <c r="K1636" s="36" t="s">
        <v>7860</v>
      </c>
      <c r="L1636" s="36" t="e">
        <f>VLOOKUP(Table2[[#This Row],[Node]],Sheet6!B:C,2,0)</f>
        <v>#N/A</v>
      </c>
      <c r="M1636" s="36" t="s">
        <v>6110</v>
      </c>
    </row>
    <row r="1637" spans="1:13" x14ac:dyDescent="0.25">
      <c r="A1637" s="46">
        <f t="shared" si="25"/>
        <v>1636</v>
      </c>
      <c r="B1637" s="36" t="s">
        <v>4</v>
      </c>
      <c r="C1637" s="36" t="s">
        <v>7756</v>
      </c>
      <c r="D1637" s="36" t="s">
        <v>7828</v>
      </c>
      <c r="E1637" s="9" t="s">
        <v>7773</v>
      </c>
      <c r="F1637" s="9" t="s">
        <v>4630</v>
      </c>
      <c r="G1637" s="36" t="s">
        <v>14</v>
      </c>
      <c r="H1637" s="36" t="str">
        <f>IFERROR(VLOOKUP(Table2[[#This Row], [Ticket]],Okey!A:B,2,0),"")</f>
        <v/>
      </c>
      <c r="I1637" s="36" t="s">
        <v>6455</v>
      </c>
      <c r="J1637" s="36" t="str">
        <f>VLOOKUP(Table2[[#This Row], [Author]],People!A:B,2,0)</f>
        <v>EL</v>
      </c>
      <c r="K1637" s="36" t="s">
        <v>7860</v>
      </c>
      <c r="L1637" s="36" t="e">
        <f>VLOOKUP(Table2[[#This Row],[Node]],Sheet6!B:C,2,0)</f>
        <v>#N/A</v>
      </c>
      <c r="M1637" s="36" t="s">
        <v>6110</v>
      </c>
    </row>
    <row r="1638" spans="1:13" x14ac:dyDescent="0.25">
      <c r="A1638" s="46">
        <f t="shared" si="25"/>
        <v>1637</v>
      </c>
      <c r="B1638" s="36" t="s">
        <v>4</v>
      </c>
      <c r="C1638" s="36" t="s">
        <v>7756</v>
      </c>
      <c r="D1638" s="36" t="s">
        <v>7829</v>
      </c>
      <c r="E1638" s="9" t="s">
        <v>7774</v>
      </c>
      <c r="F1638" s="36" t="s">
        <v>4630</v>
      </c>
      <c r="G1638" s="36" t="s">
        <v>14</v>
      </c>
      <c r="H1638" s="36" t="str">
        <f>IFERROR(VLOOKUP(Table2[[#This Row], [Ticket]],Okey!A:B,2,0),"")</f>
        <v/>
      </c>
      <c r="I1638" s="36" t="s">
        <v>6455</v>
      </c>
      <c r="J1638" s="36" t="str">
        <f>VLOOKUP(Table2[[#This Row], [Author]],People!A:B,2,0)</f>
        <v>EL</v>
      </c>
      <c r="K1638" s="36" t="s">
        <v>7860</v>
      </c>
      <c r="L1638" s="36" t="e">
        <f>VLOOKUP(Table2[[#This Row],[Node]],Sheet6!B:C,2,0)</f>
        <v>#N/A</v>
      </c>
      <c r="M1638" s="36" t="s">
        <v>6110</v>
      </c>
    </row>
    <row r="1639" spans="1:13" x14ac:dyDescent="0.25">
      <c r="A1639" s="46">
        <f t="shared" si="25"/>
        <v>1638</v>
      </c>
      <c r="B1639" s="36" t="s">
        <v>4</v>
      </c>
      <c r="C1639" s="36" t="s">
        <v>7756</v>
      </c>
      <c r="D1639" s="36" t="s">
        <v>7830</v>
      </c>
      <c r="E1639" s="9" t="s">
        <v>7775</v>
      </c>
      <c r="F1639" s="36" t="s">
        <v>7829</v>
      </c>
      <c r="G1639" s="36" t="s">
        <v>14</v>
      </c>
      <c r="H1639" s="36" t="str">
        <f>IFERROR(VLOOKUP(Table2[[#This Row], [Ticket]],Okey!A:B,2,0),"")</f>
        <v/>
      </c>
      <c r="I1639" s="36" t="s">
        <v>6455</v>
      </c>
      <c r="J1639" s="36" t="str">
        <f>VLOOKUP(Table2[[#This Row], [Author]],People!A:B,2,0)</f>
        <v>EL</v>
      </c>
      <c r="K1639" s="36" t="s">
        <v>7860</v>
      </c>
      <c r="L1639" s="36" t="e">
        <f>VLOOKUP(Table2[[#This Row],[Node]],Sheet6!B:C,2,0)</f>
        <v>#N/A</v>
      </c>
      <c r="M1639" s="36" t="s">
        <v>6110</v>
      </c>
    </row>
    <row r="1640" spans="1:13" x14ac:dyDescent="0.25">
      <c r="A1640" s="46">
        <f t="shared" si="25"/>
        <v>1639</v>
      </c>
      <c r="B1640" s="36" t="s">
        <v>4</v>
      </c>
      <c r="C1640" s="36" t="s">
        <v>7756</v>
      </c>
      <c r="D1640" s="36" t="s">
        <v>7831</v>
      </c>
      <c r="E1640" s="9" t="s">
        <v>7776</v>
      </c>
      <c r="F1640" s="36" t="s">
        <v>7829</v>
      </c>
      <c r="G1640" s="36" t="s">
        <v>14</v>
      </c>
      <c r="H1640" s="36" t="str">
        <f>IFERROR(VLOOKUP(Table2[[#This Row], [Ticket]],Okey!A:B,2,0),"")</f>
        <v/>
      </c>
      <c r="I1640" s="36" t="s">
        <v>6455</v>
      </c>
      <c r="J1640" s="36" t="str">
        <f>VLOOKUP(Table2[[#This Row], [Author]],People!A:B,2,0)</f>
        <v>EL</v>
      </c>
      <c r="K1640" s="36" t="s">
        <v>7860</v>
      </c>
      <c r="L1640" s="36" t="e">
        <f>VLOOKUP(Table2[[#This Row],[Node]],Sheet6!B:C,2,0)</f>
        <v>#N/A</v>
      </c>
      <c r="M1640" s="36" t="s">
        <v>6110</v>
      </c>
    </row>
    <row r="1641" spans="1:13" x14ac:dyDescent="0.25">
      <c r="A1641" s="46">
        <f t="shared" si="25"/>
        <v>1640</v>
      </c>
      <c r="B1641" s="36" t="s">
        <v>4</v>
      </c>
      <c r="C1641" s="36" t="s">
        <v>7756</v>
      </c>
      <c r="D1641" s="36" t="s">
        <v>7832</v>
      </c>
      <c r="E1641" s="9" t="s">
        <v>7777</v>
      </c>
      <c r="F1641" s="36" t="s">
        <v>4630</v>
      </c>
      <c r="G1641" s="36" t="s">
        <v>14</v>
      </c>
      <c r="H1641" s="36" t="str">
        <f>IFERROR(VLOOKUP(Table2[[#This Row], [Ticket]],Okey!A:B,2,0),"")</f>
        <v/>
      </c>
      <c r="I1641" s="36" t="s">
        <v>6455</v>
      </c>
      <c r="J1641" s="36" t="str">
        <f>VLOOKUP(Table2[[#This Row], [Author]],People!A:B,2,0)</f>
        <v>EL</v>
      </c>
      <c r="K1641" s="36" t="s">
        <v>7860</v>
      </c>
      <c r="L1641" s="36" t="e">
        <f>VLOOKUP(Table2[[#This Row],[Node]],Sheet6!B:C,2,0)</f>
        <v>#N/A</v>
      </c>
      <c r="M1641" s="36" t="s">
        <v>6110</v>
      </c>
    </row>
    <row r="1642" spans="1:13" x14ac:dyDescent="0.25">
      <c r="A1642" s="46">
        <f t="shared" si="25"/>
        <v>1641</v>
      </c>
      <c r="B1642" s="36" t="s">
        <v>4</v>
      </c>
      <c r="C1642" s="36" t="s">
        <v>7756</v>
      </c>
      <c r="D1642" s="36" t="s">
        <v>7833</v>
      </c>
      <c r="E1642" s="9" t="s">
        <v>7778</v>
      </c>
      <c r="F1642" s="36" t="s">
        <v>4630</v>
      </c>
      <c r="G1642" s="36" t="s">
        <v>14</v>
      </c>
      <c r="H1642" s="36" t="str">
        <f>IFERROR(VLOOKUP(Table2[[#This Row], [Ticket]],Okey!A:B,2,0),"")</f>
        <v/>
      </c>
      <c r="I1642" s="36" t="s">
        <v>6455</v>
      </c>
      <c r="J1642" s="36" t="str">
        <f>VLOOKUP(Table2[[#This Row], [Author]],People!A:B,2,0)</f>
        <v>EL</v>
      </c>
      <c r="K1642" s="36" t="s">
        <v>7860</v>
      </c>
      <c r="L1642" s="36" t="e">
        <f>VLOOKUP(Table2[[#This Row],[Node]],Sheet6!B:C,2,0)</f>
        <v>#N/A</v>
      </c>
      <c r="M1642" s="36" t="s">
        <v>6110</v>
      </c>
    </row>
    <row r="1643" spans="1:13" x14ac:dyDescent="0.25">
      <c r="A1643" s="46">
        <f t="shared" si="25"/>
        <v>1642</v>
      </c>
      <c r="B1643" s="36" t="s">
        <v>4</v>
      </c>
      <c r="C1643" s="36" t="s">
        <v>7756</v>
      </c>
      <c r="D1643" s="36" t="s">
        <v>7834</v>
      </c>
      <c r="E1643" s="9" t="s">
        <v>7779</v>
      </c>
      <c r="F1643" s="9" t="s">
        <v>4634</v>
      </c>
      <c r="G1643" s="36" t="s">
        <v>14</v>
      </c>
      <c r="H1643" s="36" t="str">
        <f>IFERROR(VLOOKUP(Table2[[#This Row], [Ticket]],Okey!A:B,2,0),"")</f>
        <v/>
      </c>
      <c r="I1643" s="36" t="s">
        <v>6455</v>
      </c>
      <c r="J1643" s="36" t="str">
        <f>VLOOKUP(Table2[[#This Row], [Author]],People!A:B,2,0)</f>
        <v>EL</v>
      </c>
      <c r="K1643" s="36" t="s">
        <v>7860</v>
      </c>
      <c r="L1643" s="36" t="e">
        <f>VLOOKUP(Table2[[#This Row],[Node]],Sheet6!B:C,2,0)</f>
        <v>#N/A</v>
      </c>
      <c r="M1643" s="36" t="s">
        <v>6110</v>
      </c>
    </row>
    <row r="1644" spans="1:13" x14ac:dyDescent="0.25">
      <c r="A1644" s="46">
        <f t="shared" si="25"/>
        <v>1643</v>
      </c>
      <c r="B1644" s="36" t="s">
        <v>4</v>
      </c>
      <c r="C1644" s="36" t="s">
        <v>7756</v>
      </c>
      <c r="D1644" s="36" t="s">
        <v>7835</v>
      </c>
      <c r="E1644" s="9" t="s">
        <v>7780</v>
      </c>
      <c r="F1644" s="36" t="s">
        <v>4634</v>
      </c>
      <c r="G1644" s="36" t="s">
        <v>14</v>
      </c>
      <c r="H1644" s="36" t="str">
        <f>IFERROR(VLOOKUP(Table2[[#This Row], [Ticket]],Okey!A:B,2,0),"")</f>
        <v/>
      </c>
      <c r="I1644" s="36" t="s">
        <v>6455</v>
      </c>
      <c r="J1644" s="36" t="str">
        <f>VLOOKUP(Table2[[#This Row], [Author]],People!A:B,2,0)</f>
        <v>EL</v>
      </c>
      <c r="K1644" s="36" t="s">
        <v>7860</v>
      </c>
      <c r="L1644" s="36" t="e">
        <f>VLOOKUP(Table2[[#This Row],[Node]],Sheet6!B:C,2,0)</f>
        <v>#N/A</v>
      </c>
      <c r="M1644" s="36" t="s">
        <v>6110</v>
      </c>
    </row>
    <row r="1645" spans="1:13" x14ac:dyDescent="0.25">
      <c r="A1645" s="46">
        <f t="shared" si="25"/>
        <v>1644</v>
      </c>
      <c r="B1645" s="36" t="s">
        <v>4</v>
      </c>
      <c r="C1645" s="36" t="s">
        <v>7756</v>
      </c>
      <c r="D1645" s="36" t="s">
        <v>7836</v>
      </c>
      <c r="E1645" s="9" t="s">
        <v>7781</v>
      </c>
      <c r="F1645" s="36" t="s">
        <v>7835</v>
      </c>
      <c r="G1645" s="36" t="s">
        <v>14</v>
      </c>
      <c r="H1645" s="36" t="str">
        <f>IFERROR(VLOOKUP(Table2[[#This Row], [Ticket]],Okey!A:B,2,0),"")</f>
        <v/>
      </c>
      <c r="I1645" s="36" t="s">
        <v>6455</v>
      </c>
      <c r="J1645" s="36" t="str">
        <f>VLOOKUP(Table2[[#This Row], [Author]],People!A:B,2,0)</f>
        <v>EL</v>
      </c>
      <c r="K1645" s="36" t="s">
        <v>7860</v>
      </c>
      <c r="L1645" s="36" t="e">
        <f>VLOOKUP(Table2[[#This Row],[Node]],Sheet6!B:C,2,0)</f>
        <v>#N/A</v>
      </c>
      <c r="M1645" s="36" t="s">
        <v>6110</v>
      </c>
    </row>
    <row r="1646" spans="1:13" x14ac:dyDescent="0.25">
      <c r="A1646" s="46">
        <f t="shared" si="25"/>
        <v>1645</v>
      </c>
      <c r="B1646" s="36" t="s">
        <v>4</v>
      </c>
      <c r="C1646" s="36" t="s">
        <v>7756</v>
      </c>
      <c r="D1646" s="36" t="s">
        <v>7837</v>
      </c>
      <c r="E1646" s="9" t="s">
        <v>7782</v>
      </c>
      <c r="F1646" s="36" t="s">
        <v>7835</v>
      </c>
      <c r="G1646" s="36" t="s">
        <v>14</v>
      </c>
      <c r="H1646" s="36" t="str">
        <f>IFERROR(VLOOKUP(Table2[[#This Row], [Ticket]],Okey!A:B,2,0),"")</f>
        <v/>
      </c>
      <c r="I1646" s="36" t="s">
        <v>6455</v>
      </c>
      <c r="J1646" s="36" t="str">
        <f>VLOOKUP(Table2[[#This Row], [Author]],People!A:B,2,0)</f>
        <v>EL</v>
      </c>
      <c r="K1646" s="36" t="s">
        <v>7860</v>
      </c>
      <c r="L1646" s="36" t="e">
        <f>VLOOKUP(Table2[[#This Row],[Node]],Sheet6!B:C,2,0)</f>
        <v>#N/A</v>
      </c>
      <c r="M1646" s="36" t="s">
        <v>6110</v>
      </c>
    </row>
    <row r="1647" spans="1:13" x14ac:dyDescent="0.25">
      <c r="A1647" s="46">
        <f t="shared" si="25"/>
        <v>1646</v>
      </c>
      <c r="B1647" s="36" t="s">
        <v>4</v>
      </c>
      <c r="C1647" s="36" t="s">
        <v>7756</v>
      </c>
      <c r="D1647" s="36" t="s">
        <v>7838</v>
      </c>
      <c r="E1647" s="9" t="s">
        <v>7783</v>
      </c>
      <c r="F1647" s="36" t="s">
        <v>4634</v>
      </c>
      <c r="G1647" s="36" t="s">
        <v>14</v>
      </c>
      <c r="H1647" s="36" t="str">
        <f>IFERROR(VLOOKUP(Table2[[#This Row], [Ticket]],Okey!A:B,2,0),"")</f>
        <v/>
      </c>
      <c r="I1647" s="36" t="s">
        <v>6455</v>
      </c>
      <c r="J1647" s="36" t="str">
        <f>VLOOKUP(Table2[[#This Row], [Author]],People!A:B,2,0)</f>
        <v>EL</v>
      </c>
      <c r="K1647" s="36" t="s">
        <v>7860</v>
      </c>
      <c r="L1647" s="36" t="e">
        <f>VLOOKUP(Table2[[#This Row],[Node]],Sheet6!B:C,2,0)</f>
        <v>#N/A</v>
      </c>
      <c r="M1647" s="36" t="s">
        <v>6110</v>
      </c>
    </row>
    <row r="1648" spans="1:13" x14ac:dyDescent="0.25">
      <c r="A1648" s="46">
        <f t="shared" si="25"/>
        <v>1647</v>
      </c>
      <c r="B1648" s="36" t="s">
        <v>4</v>
      </c>
      <c r="C1648" s="36" t="s">
        <v>7756</v>
      </c>
      <c r="D1648" s="36" t="s">
        <v>7839</v>
      </c>
      <c r="E1648" s="9" t="s">
        <v>7784</v>
      </c>
      <c r="F1648" s="36" t="s">
        <v>4634</v>
      </c>
      <c r="G1648" s="36" t="s">
        <v>14</v>
      </c>
      <c r="H1648" s="36" t="str">
        <f>IFERROR(VLOOKUP(Table2[[#This Row], [Ticket]],Okey!A:B,2,0),"")</f>
        <v/>
      </c>
      <c r="I1648" s="36" t="s">
        <v>6455</v>
      </c>
      <c r="J1648" s="36" t="str">
        <f>VLOOKUP(Table2[[#This Row], [Author]],People!A:B,2,0)</f>
        <v>EL</v>
      </c>
      <c r="K1648" s="36" t="s">
        <v>7860</v>
      </c>
      <c r="L1648" s="36" t="e">
        <f>VLOOKUP(Table2[[#This Row],[Node]],Sheet6!B:C,2,0)</f>
        <v>#N/A</v>
      </c>
      <c r="M1648" s="36" t="s">
        <v>6110</v>
      </c>
    </row>
    <row r="1649" spans="1:13" x14ac:dyDescent="0.25">
      <c r="A1649" s="46">
        <f t="shared" si="25"/>
        <v>1648</v>
      </c>
      <c r="B1649" s="36" t="s">
        <v>4</v>
      </c>
      <c r="C1649" s="36" t="s">
        <v>7756</v>
      </c>
      <c r="D1649" s="36" t="s">
        <v>7840</v>
      </c>
      <c r="E1649" s="9" t="s">
        <v>7785</v>
      </c>
      <c r="F1649" s="36" t="s">
        <v>4632</v>
      </c>
      <c r="G1649" s="36" t="s">
        <v>14</v>
      </c>
      <c r="H1649" s="36" t="str">
        <f>IFERROR(VLOOKUP(Table2[[#This Row], [Ticket]],Okey!A:B,2,0),"")</f>
        <v/>
      </c>
      <c r="I1649" s="36" t="s">
        <v>6455</v>
      </c>
      <c r="J1649" s="36" t="str">
        <f>VLOOKUP(Table2[[#This Row], [Author]],People!A:B,2,0)</f>
        <v>EL</v>
      </c>
      <c r="K1649" s="36" t="s">
        <v>7860</v>
      </c>
      <c r="L1649" s="36" t="e">
        <f>VLOOKUP(Table2[[#This Row],[Node]],Sheet6!B:C,2,0)</f>
        <v>#N/A</v>
      </c>
      <c r="M1649" s="36" t="s">
        <v>6110</v>
      </c>
    </row>
    <row r="1650" spans="1:13" x14ac:dyDescent="0.25">
      <c r="A1650" s="46">
        <f t="shared" si="25"/>
        <v>1649</v>
      </c>
      <c r="B1650" s="36" t="s">
        <v>4</v>
      </c>
      <c r="C1650" s="36" t="s">
        <v>7756</v>
      </c>
      <c r="D1650" s="36" t="s">
        <v>7841</v>
      </c>
      <c r="E1650" s="9" t="s">
        <v>7786</v>
      </c>
      <c r="F1650" s="36" t="s">
        <v>4628</v>
      </c>
      <c r="G1650" s="36" t="s">
        <v>14</v>
      </c>
      <c r="H1650" s="36" t="str">
        <f>IFERROR(VLOOKUP(Table2[[#This Row], [Ticket]],Okey!A:B,2,0),"")</f>
        <v/>
      </c>
      <c r="I1650" s="36" t="s">
        <v>6455</v>
      </c>
      <c r="J1650" s="36" t="str">
        <f>VLOOKUP(Table2[[#This Row], [Author]],People!A:B,2,0)</f>
        <v>EL</v>
      </c>
      <c r="K1650" s="36" t="s">
        <v>7860</v>
      </c>
      <c r="L1650" s="36" t="e">
        <f>VLOOKUP(Table2[[#This Row],[Node]],Sheet6!B:C,2,0)</f>
        <v>#N/A</v>
      </c>
      <c r="M1650" s="36" t="s">
        <v>6110</v>
      </c>
    </row>
    <row r="1651" spans="1:13" x14ac:dyDescent="0.25">
      <c r="A1651" s="46">
        <f t="shared" si="25"/>
        <v>1650</v>
      </c>
      <c r="B1651" s="36" t="s">
        <v>4</v>
      </c>
      <c r="C1651" s="36" t="s">
        <v>7756</v>
      </c>
      <c r="D1651" s="36" t="s">
        <v>7842</v>
      </c>
      <c r="E1651" s="9" t="s">
        <v>7787</v>
      </c>
      <c r="F1651" s="36" t="s">
        <v>4630</v>
      </c>
      <c r="G1651" s="36" t="s">
        <v>14</v>
      </c>
      <c r="H1651" s="36" t="str">
        <f>IFERROR(VLOOKUP(Table2[[#This Row], [Ticket]],Okey!A:B,2,0),"")</f>
        <v/>
      </c>
      <c r="I1651" s="36" t="s">
        <v>6455</v>
      </c>
      <c r="J1651" s="36" t="str">
        <f>VLOOKUP(Table2[[#This Row], [Author]],People!A:B,2,0)</f>
        <v>EL</v>
      </c>
      <c r="K1651" s="36" t="s">
        <v>7860</v>
      </c>
      <c r="L1651" s="36" t="e">
        <f>VLOOKUP(Table2[[#This Row],[Node]],Sheet6!B:C,2,0)</f>
        <v>#N/A</v>
      </c>
      <c r="M1651" s="36" t="s">
        <v>6110</v>
      </c>
    </row>
    <row r="1652" spans="1:13" x14ac:dyDescent="0.25">
      <c r="A1652" s="46">
        <f t="shared" si="25"/>
        <v>1651</v>
      </c>
      <c r="B1652" s="36" t="s">
        <v>4</v>
      </c>
      <c r="C1652" s="36" t="s">
        <v>7756</v>
      </c>
      <c r="D1652" s="36" t="s">
        <v>7843</v>
      </c>
      <c r="E1652" s="9" t="s">
        <v>7788</v>
      </c>
      <c r="F1652" s="36" t="s">
        <v>4634</v>
      </c>
      <c r="G1652" s="36" t="s">
        <v>14</v>
      </c>
      <c r="H1652" s="36" t="str">
        <f>IFERROR(VLOOKUP(Table2[[#This Row], [Ticket]],Okey!A:B,2,0),"")</f>
        <v/>
      </c>
      <c r="I1652" s="36" t="s">
        <v>6455</v>
      </c>
      <c r="J1652" s="36" t="str">
        <f>VLOOKUP(Table2[[#This Row], [Author]],People!A:B,2,0)</f>
        <v>EL</v>
      </c>
      <c r="K1652" s="36" t="s">
        <v>7860</v>
      </c>
      <c r="L1652" s="36" t="e">
        <f>VLOOKUP(Table2[[#This Row],[Node]],Sheet6!B:C,2,0)</f>
        <v>#N/A</v>
      </c>
      <c r="M1652" s="36" t="s">
        <v>6110</v>
      </c>
    </row>
    <row r="1653" spans="1:13" x14ac:dyDescent="0.25">
      <c r="A1653" s="46">
        <f t="shared" si="25"/>
        <v>1652</v>
      </c>
      <c r="B1653" s="36" t="s">
        <v>4</v>
      </c>
      <c r="C1653" s="36" t="s">
        <v>7756</v>
      </c>
      <c r="D1653" s="36" t="s">
        <v>7844</v>
      </c>
      <c r="E1653" s="9" t="s">
        <v>7789</v>
      </c>
      <c r="F1653" s="36" t="s">
        <v>2096</v>
      </c>
      <c r="G1653" s="36" t="s">
        <v>14</v>
      </c>
      <c r="H1653" s="36" t="str">
        <f>IFERROR(VLOOKUP(Table2[[#This Row], [Ticket]],Okey!A:B,2,0),"")</f>
        <v/>
      </c>
      <c r="I1653" s="36" t="s">
        <v>6455</v>
      </c>
      <c r="J1653" s="36" t="str">
        <f>VLOOKUP(Table2[[#This Row], [Author]],People!A:B,2,0)</f>
        <v>EL</v>
      </c>
      <c r="K1653" s="36" t="s">
        <v>7860</v>
      </c>
      <c r="L1653" s="36" t="e">
        <f>VLOOKUP(Table2[[#This Row],[Node]],Sheet6!B:C,2,0)</f>
        <v>#N/A</v>
      </c>
      <c r="M1653" s="36" t="s">
        <v>6110</v>
      </c>
    </row>
    <row r="1654" spans="1:13" x14ac:dyDescent="0.25">
      <c r="A1654" s="46">
        <f t="shared" si="25"/>
        <v>1653</v>
      </c>
      <c r="B1654" s="36" t="s">
        <v>4</v>
      </c>
      <c r="C1654" s="36" t="s">
        <v>7756</v>
      </c>
      <c r="D1654" s="36" t="s">
        <v>7845</v>
      </c>
      <c r="E1654" s="9" t="s">
        <v>7790</v>
      </c>
      <c r="F1654" s="36" t="s">
        <v>2096</v>
      </c>
      <c r="G1654" s="36" t="s">
        <v>14</v>
      </c>
      <c r="H1654" s="36" t="str">
        <f>IFERROR(VLOOKUP(Table2[[#This Row], [Ticket]],Okey!A:B,2,0),"")</f>
        <v/>
      </c>
      <c r="I1654" s="36" t="s">
        <v>6455</v>
      </c>
      <c r="J1654" s="36" t="str">
        <f>VLOOKUP(Table2[[#This Row], [Author]],People!A:B,2,0)</f>
        <v>EL</v>
      </c>
      <c r="K1654" s="36" t="s">
        <v>7860</v>
      </c>
      <c r="L1654" s="36" t="e">
        <f>VLOOKUP(Table2[[#This Row],[Node]],Sheet6!B:C,2,0)</f>
        <v>#N/A</v>
      </c>
      <c r="M1654" s="36" t="s">
        <v>6110</v>
      </c>
    </row>
    <row r="1655" spans="1:13" x14ac:dyDescent="0.25">
      <c r="A1655" s="46">
        <f t="shared" si="25"/>
        <v>1654</v>
      </c>
      <c r="B1655" s="36" t="s">
        <v>4</v>
      </c>
      <c r="C1655" s="36" t="s">
        <v>7756</v>
      </c>
      <c r="D1655" s="36" t="s">
        <v>7846</v>
      </c>
      <c r="E1655" s="9" t="s">
        <v>7791</v>
      </c>
      <c r="F1655" s="36" t="s">
        <v>2096</v>
      </c>
      <c r="G1655" s="36" t="s">
        <v>14</v>
      </c>
      <c r="H1655" s="36" t="str">
        <f>IFERROR(VLOOKUP(Table2[[#This Row], [Ticket]],Okey!A:B,2,0),"")</f>
        <v/>
      </c>
      <c r="I1655" s="36" t="s">
        <v>6455</v>
      </c>
      <c r="J1655" s="36" t="str">
        <f>VLOOKUP(Table2[[#This Row], [Author]],People!A:B,2,0)</f>
        <v>EL</v>
      </c>
      <c r="K1655" s="36" t="s">
        <v>7860</v>
      </c>
      <c r="L1655" s="36" t="e">
        <f>VLOOKUP(Table2[[#This Row],[Node]],Sheet6!B:C,2,0)</f>
        <v>#N/A</v>
      </c>
      <c r="M1655" s="36" t="s">
        <v>6110</v>
      </c>
    </row>
    <row r="1656" spans="1:13" x14ac:dyDescent="0.25">
      <c r="A1656" s="46">
        <f t="shared" si="25"/>
        <v>1655</v>
      </c>
      <c r="B1656" s="36" t="s">
        <v>4</v>
      </c>
      <c r="C1656" s="36" t="s">
        <v>7756</v>
      </c>
      <c r="D1656" s="36" t="s">
        <v>7847</v>
      </c>
      <c r="E1656" s="9" t="s">
        <v>7792</v>
      </c>
      <c r="F1656" s="36" t="s">
        <v>2096</v>
      </c>
      <c r="G1656" s="36" t="s">
        <v>14</v>
      </c>
      <c r="H1656" s="36" t="str">
        <f>IFERROR(VLOOKUP(Table2[[#This Row], [Ticket]],Okey!A:B,2,0),"")</f>
        <v/>
      </c>
      <c r="I1656" s="36" t="s">
        <v>6455</v>
      </c>
      <c r="J1656" s="36" t="str">
        <f>VLOOKUP(Table2[[#This Row], [Author]],People!A:B,2,0)</f>
        <v>EL</v>
      </c>
      <c r="K1656" s="36" t="s">
        <v>7860</v>
      </c>
      <c r="L1656" s="36" t="e">
        <f>VLOOKUP(Table2[[#This Row],[Node]],Sheet6!B:C,2,0)</f>
        <v>#N/A</v>
      </c>
      <c r="M1656" s="36" t="s">
        <v>6110</v>
      </c>
    </row>
    <row r="1657" spans="1:13" x14ac:dyDescent="0.25">
      <c r="A1657" s="46">
        <f t="shared" si="25"/>
        <v>1656</v>
      </c>
      <c r="B1657" s="36" t="s">
        <v>4</v>
      </c>
      <c r="C1657" s="36" t="s">
        <v>7756</v>
      </c>
      <c r="D1657" s="36" t="s">
        <v>7848</v>
      </c>
      <c r="E1657" s="9" t="s">
        <v>7793</v>
      </c>
      <c r="F1657" s="36" t="s">
        <v>2096</v>
      </c>
      <c r="G1657" s="36" t="s">
        <v>14</v>
      </c>
      <c r="H1657" s="36" t="str">
        <f>IFERROR(VLOOKUP(Table2[[#This Row], [Ticket]],Okey!A:B,2,0),"")</f>
        <v/>
      </c>
      <c r="I1657" s="36" t="s">
        <v>6455</v>
      </c>
      <c r="J1657" s="36" t="str">
        <f>VLOOKUP(Table2[[#This Row], [Author]],People!A:B,2,0)</f>
        <v>EL</v>
      </c>
      <c r="K1657" s="36" t="s">
        <v>7860</v>
      </c>
      <c r="L1657" s="36" t="e">
        <f>VLOOKUP(Table2[[#This Row],[Node]],Sheet6!B:C,2,0)</f>
        <v>#N/A</v>
      </c>
      <c r="M1657" s="36" t="s">
        <v>6110</v>
      </c>
    </row>
    <row r="1658" spans="1:13" x14ac:dyDescent="0.25">
      <c r="A1658" s="46">
        <f t="shared" si="25"/>
        <v>1657</v>
      </c>
      <c r="B1658" s="36" t="s">
        <v>4</v>
      </c>
      <c r="C1658" s="36" t="s">
        <v>7756</v>
      </c>
      <c r="D1658" s="36" t="s">
        <v>7849</v>
      </c>
      <c r="E1658" s="9" t="s">
        <v>7794</v>
      </c>
      <c r="F1658" s="36" t="s">
        <v>2096</v>
      </c>
      <c r="G1658" s="36" t="s">
        <v>14</v>
      </c>
      <c r="H1658" s="36" t="str">
        <f>IFERROR(VLOOKUP(Table2[[#This Row], [Ticket]],Okey!A:B,2,0),"")</f>
        <v/>
      </c>
      <c r="I1658" s="36" t="s">
        <v>6455</v>
      </c>
      <c r="J1658" s="36" t="str">
        <f>VLOOKUP(Table2[[#This Row], [Author]],People!A:B,2,0)</f>
        <v>EL</v>
      </c>
      <c r="K1658" s="36" t="s">
        <v>7860</v>
      </c>
      <c r="L1658" s="36" t="e">
        <f>VLOOKUP(Table2[[#This Row],[Node]],Sheet6!B:C,2,0)</f>
        <v>#N/A</v>
      </c>
      <c r="M1658" s="36" t="s">
        <v>6110</v>
      </c>
    </row>
    <row r="1659" spans="1:13" x14ac:dyDescent="0.25">
      <c r="A1659" s="46">
        <f t="shared" si="25"/>
        <v>1658</v>
      </c>
      <c r="B1659" s="36" t="s">
        <v>4</v>
      </c>
      <c r="C1659" s="36" t="s">
        <v>7756</v>
      </c>
      <c r="D1659" s="36" t="s">
        <v>7850</v>
      </c>
      <c r="E1659" s="9" t="s">
        <v>7795</v>
      </c>
      <c r="F1659" s="36" t="s">
        <v>2096</v>
      </c>
      <c r="G1659" s="36" t="s">
        <v>14</v>
      </c>
      <c r="H1659" s="36" t="str">
        <f>IFERROR(VLOOKUP(Table2[[#This Row], [Ticket]],Okey!A:B,2,0),"")</f>
        <v/>
      </c>
      <c r="I1659" s="36" t="s">
        <v>6455</v>
      </c>
      <c r="J1659" s="36" t="str">
        <f>VLOOKUP(Table2[[#This Row], [Author]],People!A:B,2,0)</f>
        <v>EL</v>
      </c>
      <c r="K1659" s="36" t="s">
        <v>7860</v>
      </c>
      <c r="L1659" s="36" t="e">
        <f>VLOOKUP(Table2[[#This Row],[Node]],Sheet6!B:C,2,0)</f>
        <v>#N/A</v>
      </c>
      <c r="M1659" s="36" t="s">
        <v>6110</v>
      </c>
    </row>
    <row r="1660" spans="1:13" x14ac:dyDescent="0.25">
      <c r="A1660" s="46">
        <f t="shared" si="25"/>
        <v>1659</v>
      </c>
      <c r="B1660" s="36" t="s">
        <v>4</v>
      </c>
      <c r="C1660" s="36" t="s">
        <v>7756</v>
      </c>
      <c r="D1660" s="36" t="s">
        <v>7851</v>
      </c>
      <c r="E1660" s="9" t="s">
        <v>7796</v>
      </c>
      <c r="F1660" s="36" t="s">
        <v>2096</v>
      </c>
      <c r="G1660" s="36" t="s">
        <v>14</v>
      </c>
      <c r="H1660" s="36" t="str">
        <f>IFERROR(VLOOKUP(Table2[[#This Row], [Ticket]],Okey!A:B,2,0),"")</f>
        <v/>
      </c>
      <c r="I1660" s="36" t="s">
        <v>6455</v>
      </c>
      <c r="J1660" s="36" t="str">
        <f>VLOOKUP(Table2[[#This Row], [Author]],People!A:B,2,0)</f>
        <v>EL</v>
      </c>
      <c r="K1660" s="36" t="s">
        <v>7860</v>
      </c>
      <c r="L1660" s="36" t="e">
        <f>VLOOKUP(Table2[[#This Row],[Node]],Sheet6!B:C,2,0)</f>
        <v>#N/A</v>
      </c>
      <c r="M1660" s="36" t="s">
        <v>6110</v>
      </c>
    </row>
    <row r="1661" spans="1:13" x14ac:dyDescent="0.25">
      <c r="A1661" s="46">
        <f t="shared" si="25"/>
        <v>1660</v>
      </c>
      <c r="B1661" s="36" t="s">
        <v>4</v>
      </c>
      <c r="C1661" s="36" t="s">
        <v>7756</v>
      </c>
      <c r="D1661" s="36" t="s">
        <v>7852</v>
      </c>
      <c r="E1661" s="9" t="s">
        <v>7797</v>
      </c>
      <c r="F1661" s="36" t="s">
        <v>2096</v>
      </c>
      <c r="G1661" s="36" t="s">
        <v>14</v>
      </c>
      <c r="H1661" s="36" t="str">
        <f>IFERROR(VLOOKUP(Table2[[#This Row], [Ticket]],Okey!A:B,2,0),"")</f>
        <v/>
      </c>
      <c r="I1661" s="36" t="s">
        <v>6455</v>
      </c>
      <c r="J1661" s="36" t="str">
        <f>VLOOKUP(Table2[[#This Row], [Author]],People!A:B,2,0)</f>
        <v>EL</v>
      </c>
      <c r="K1661" s="36" t="s">
        <v>7860</v>
      </c>
      <c r="L1661" s="36" t="e">
        <f>VLOOKUP(Table2[[#This Row],[Node]],Sheet6!B:C,2,0)</f>
        <v>#N/A</v>
      </c>
      <c r="M1661" s="36" t="s">
        <v>6110</v>
      </c>
    </row>
    <row r="1662" spans="1:13" x14ac:dyDescent="0.25">
      <c r="A1662" s="46">
        <f t="shared" si="25"/>
        <v>1661</v>
      </c>
      <c r="B1662" s="36" t="s">
        <v>4</v>
      </c>
      <c r="C1662" s="36" t="s">
        <v>7756</v>
      </c>
      <c r="D1662" s="36" t="s">
        <v>7853</v>
      </c>
      <c r="E1662" s="9" t="s">
        <v>7798</v>
      </c>
      <c r="F1662" s="36" t="s">
        <v>2096</v>
      </c>
      <c r="G1662" s="36" t="s">
        <v>14</v>
      </c>
      <c r="H1662" s="36" t="str">
        <f>IFERROR(VLOOKUP(Table2[[#This Row], [Ticket]],Okey!A:B,2,0),"")</f>
        <v/>
      </c>
      <c r="I1662" s="36" t="s">
        <v>6455</v>
      </c>
      <c r="J1662" s="36" t="str">
        <f>VLOOKUP(Table2[[#This Row], [Author]],People!A:B,2,0)</f>
        <v>EL</v>
      </c>
      <c r="K1662" s="36" t="s">
        <v>7860</v>
      </c>
      <c r="L1662" s="36" t="e">
        <f>VLOOKUP(Table2[[#This Row],[Node]],Sheet6!B:C,2,0)</f>
        <v>#N/A</v>
      </c>
      <c r="M1662" s="36" t="s">
        <v>6110</v>
      </c>
    </row>
    <row r="1663" spans="1:13" x14ac:dyDescent="0.25">
      <c r="A1663" s="46">
        <f t="shared" si="25"/>
        <v>1662</v>
      </c>
      <c r="B1663" s="36" t="s">
        <v>4</v>
      </c>
      <c r="C1663" s="36" t="s">
        <v>7756</v>
      </c>
      <c r="D1663" s="36" t="s">
        <v>7854</v>
      </c>
      <c r="E1663" s="9" t="s">
        <v>7799</v>
      </c>
      <c r="F1663" s="36" t="s">
        <v>2096</v>
      </c>
      <c r="G1663" s="36" t="s">
        <v>14</v>
      </c>
      <c r="H1663" s="36" t="str">
        <f>IFERROR(VLOOKUP(Table2[[#This Row], [Ticket]],Okey!A:B,2,0),"")</f>
        <v/>
      </c>
      <c r="I1663" s="36" t="s">
        <v>6455</v>
      </c>
      <c r="J1663" s="36" t="str">
        <f>VLOOKUP(Table2[[#This Row], [Author]],People!A:B,2,0)</f>
        <v>EL</v>
      </c>
      <c r="K1663" s="36" t="s">
        <v>7860</v>
      </c>
      <c r="L1663" s="36" t="e">
        <f>VLOOKUP(Table2[[#This Row],[Node]],Sheet6!B:C,2,0)</f>
        <v>#N/A</v>
      </c>
      <c r="M1663" s="36" t="s">
        <v>6110</v>
      </c>
    </row>
    <row r="1664" spans="1:13" x14ac:dyDescent="0.25">
      <c r="A1664" s="46">
        <f t="shared" si="25"/>
        <v>1663</v>
      </c>
      <c r="B1664" s="36" t="s">
        <v>4</v>
      </c>
      <c r="C1664" s="36" t="s">
        <v>7756</v>
      </c>
      <c r="D1664" s="36" t="s">
        <v>7855</v>
      </c>
      <c r="E1664" s="9" t="s">
        <v>7800</v>
      </c>
      <c r="F1664" s="36" t="s">
        <v>2096</v>
      </c>
      <c r="G1664" s="36" t="s">
        <v>14</v>
      </c>
      <c r="H1664" s="36" t="str">
        <f>IFERROR(VLOOKUP(Table2[[#This Row], [Ticket]],Okey!A:B,2,0),"")</f>
        <v/>
      </c>
      <c r="I1664" s="36" t="s">
        <v>6455</v>
      </c>
      <c r="J1664" s="36" t="str">
        <f>VLOOKUP(Table2[[#This Row], [Author]],People!A:B,2,0)</f>
        <v>EL</v>
      </c>
      <c r="K1664" s="36" t="s">
        <v>7860</v>
      </c>
      <c r="L1664" s="36" t="e">
        <f>VLOOKUP(Table2[[#This Row],[Node]],Sheet6!B:C,2,0)</f>
        <v>#N/A</v>
      </c>
      <c r="M1664" s="36" t="s">
        <v>6110</v>
      </c>
    </row>
    <row r="1665" spans="1:13" x14ac:dyDescent="0.25">
      <c r="A1665" s="46">
        <f t="shared" si="25"/>
        <v>1664</v>
      </c>
      <c r="B1665" s="36" t="s">
        <v>4</v>
      </c>
      <c r="C1665" s="36" t="s">
        <v>7756</v>
      </c>
      <c r="D1665" s="36" t="s">
        <v>7856</v>
      </c>
      <c r="E1665" s="9" t="s">
        <v>7801</v>
      </c>
      <c r="F1665" s="36" t="s">
        <v>2096</v>
      </c>
      <c r="G1665" s="36" t="s">
        <v>14</v>
      </c>
      <c r="H1665" s="36" t="str">
        <f>IFERROR(VLOOKUP(Table2[[#This Row], [Ticket]],Okey!A:B,2,0),"")</f>
        <v/>
      </c>
      <c r="I1665" s="36" t="s">
        <v>6455</v>
      </c>
      <c r="J1665" s="36" t="str">
        <f>VLOOKUP(Table2[[#This Row], [Author]],People!A:B,2,0)</f>
        <v>EL</v>
      </c>
      <c r="K1665" s="36" t="s">
        <v>7860</v>
      </c>
      <c r="L1665" s="36" t="e">
        <f>VLOOKUP(Table2[[#This Row],[Node]],Sheet6!B:C,2,0)</f>
        <v>#N/A</v>
      </c>
      <c r="M1665" s="36" t="s">
        <v>6110</v>
      </c>
    </row>
    <row r="1666" spans="1:13" x14ac:dyDescent="0.25">
      <c r="A1666" s="46">
        <f t="shared" si="25"/>
        <v>1665</v>
      </c>
      <c r="B1666" s="36" t="s">
        <v>4</v>
      </c>
      <c r="C1666" s="36" t="s">
        <v>7756</v>
      </c>
      <c r="D1666" s="36" t="s">
        <v>7857</v>
      </c>
      <c r="E1666" s="9" t="s">
        <v>7802</v>
      </c>
      <c r="F1666" s="36" t="s">
        <v>2433</v>
      </c>
      <c r="G1666" s="36" t="s">
        <v>14</v>
      </c>
      <c r="H1666" s="36" t="str">
        <f>IFERROR(VLOOKUP(Table2[[#This Row], [Ticket]],Okey!A:B,2,0),"")</f>
        <v/>
      </c>
      <c r="I1666" s="36" t="s">
        <v>6455</v>
      </c>
      <c r="J1666" s="36" t="str">
        <f>VLOOKUP(Table2[[#This Row], [Author]],People!A:B,2,0)</f>
        <v>EL</v>
      </c>
      <c r="K1666" s="36" t="s">
        <v>7860</v>
      </c>
      <c r="L1666" s="36" t="e">
        <f>VLOOKUP(Table2[[#This Row],[Node]],Sheet6!B:C,2,0)</f>
        <v>#N/A</v>
      </c>
      <c r="M1666" s="36" t="s">
        <v>6110</v>
      </c>
    </row>
    <row r="1667" spans="1:13" x14ac:dyDescent="0.25">
      <c r="A1667" s="46">
        <f t="shared" ref="A1667:A1712" si="26">1+A1666</f>
        <v>1666</v>
      </c>
      <c r="B1667" s="36" t="s">
        <v>4</v>
      </c>
      <c r="C1667" s="36" t="s">
        <v>7756</v>
      </c>
      <c r="D1667" s="36" t="s">
        <v>7858</v>
      </c>
      <c r="E1667" s="9" t="s">
        <v>7803</v>
      </c>
      <c r="F1667" s="36" t="s">
        <v>2653</v>
      </c>
      <c r="G1667" s="36" t="s">
        <v>14</v>
      </c>
      <c r="H1667" s="36" t="str">
        <f>IFERROR(VLOOKUP(Table2[[#This Row], [Ticket]],Okey!A:B,2,0),"")</f>
        <v/>
      </c>
      <c r="I1667" s="36" t="s">
        <v>6455</v>
      </c>
      <c r="J1667" s="36" t="str">
        <f>VLOOKUP(Table2[[#This Row], [Author]],People!A:B,2,0)</f>
        <v>EL</v>
      </c>
      <c r="K1667" s="36" t="s">
        <v>7860</v>
      </c>
      <c r="L1667" s="36" t="e">
        <f>VLOOKUP(Table2[[#This Row],[Node]],Sheet6!B:C,2,0)</f>
        <v>#N/A</v>
      </c>
      <c r="M1667" s="36" t="s">
        <v>6110</v>
      </c>
    </row>
    <row r="1668" spans="1:13" x14ac:dyDescent="0.25">
      <c r="A1668" s="46">
        <f t="shared" si="26"/>
        <v>1667</v>
      </c>
      <c r="B1668" s="36" t="s">
        <v>4</v>
      </c>
      <c r="C1668" s="36" t="s">
        <v>7756</v>
      </c>
      <c r="D1668" s="9" t="s">
        <v>7804</v>
      </c>
      <c r="F1668" s="9" t="s">
        <v>2740</v>
      </c>
      <c r="G1668" s="9" t="s">
        <v>13</v>
      </c>
      <c r="H1668" s="36" t="str">
        <f>IFERROR(VLOOKUP(Table2[[#This Row], [Ticket]],Okey!A:B,2,0),"")</f>
        <v/>
      </c>
      <c r="I1668" s="36" t="s">
        <v>6455</v>
      </c>
      <c r="J1668" s="36" t="str">
        <f>VLOOKUP(Table2[[#This Row], [Author]],People!A:B,2,0)</f>
        <v>EL</v>
      </c>
      <c r="K1668" s="36" t="s">
        <v>7861</v>
      </c>
      <c r="L1668" s="36" t="str">
        <f>VLOOKUP(Table2[[#This Row],[Node]],Sheet6!B:C,2,0)</f>
        <v>P000000748</v>
      </c>
      <c r="M1668" s="36" t="s">
        <v>6110</v>
      </c>
    </row>
    <row r="1669" spans="1:13" x14ac:dyDescent="0.25">
      <c r="A1669" s="46">
        <f t="shared" si="26"/>
        <v>1668</v>
      </c>
      <c r="B1669" s="36" t="s">
        <v>4</v>
      </c>
      <c r="C1669" s="36" t="s">
        <v>7756</v>
      </c>
      <c r="D1669" s="9" t="s">
        <v>7805</v>
      </c>
      <c r="F1669" s="9" t="s">
        <v>2684</v>
      </c>
      <c r="G1669" s="36" t="s">
        <v>13</v>
      </c>
      <c r="H1669" s="36" t="str">
        <f>IFERROR(VLOOKUP(Table2[[#This Row], [Ticket]],Okey!A:B,2,0),"")</f>
        <v/>
      </c>
      <c r="I1669" s="36" t="s">
        <v>6455</v>
      </c>
      <c r="J1669" s="36" t="str">
        <f>VLOOKUP(Table2[[#This Row], [Author]],People!A:B,2,0)</f>
        <v>EL</v>
      </c>
      <c r="K1669" s="36" t="s">
        <v>7861</v>
      </c>
      <c r="L1669" s="36" t="str">
        <f>VLOOKUP(Table2[[#This Row],[Node]],Sheet6!B:C,2,0)</f>
        <v>P000000500</v>
      </c>
      <c r="M1669" s="36" t="s">
        <v>6110</v>
      </c>
    </row>
    <row r="1670" spans="1:13" x14ac:dyDescent="0.25">
      <c r="A1670" s="46">
        <f t="shared" si="26"/>
        <v>1669</v>
      </c>
      <c r="B1670" s="36" t="s">
        <v>4</v>
      </c>
      <c r="C1670" s="36" t="s">
        <v>7756</v>
      </c>
      <c r="D1670" s="9" t="s">
        <v>4606</v>
      </c>
      <c r="F1670" s="9" t="s">
        <v>7763</v>
      </c>
      <c r="G1670" s="36" t="s">
        <v>13</v>
      </c>
      <c r="H1670" s="36" t="str">
        <f>IFERROR(VLOOKUP(Table2[[#This Row], [Ticket]],Okey!A:B,2,0),"")</f>
        <v/>
      </c>
      <c r="I1670" s="36" t="s">
        <v>6455</v>
      </c>
      <c r="J1670" s="36" t="str">
        <f>VLOOKUP(Table2[[#This Row], [Author]],People!A:B,2,0)</f>
        <v>EL</v>
      </c>
      <c r="K1670" s="36" t="s">
        <v>7861</v>
      </c>
      <c r="L1670" s="36" t="str">
        <f>VLOOKUP(Table2[[#This Row],[Node]],Sheet6!B:C,2,0)</f>
        <v>P000000758</v>
      </c>
      <c r="M1670" s="36" t="s">
        <v>6110</v>
      </c>
    </row>
    <row r="1671" spans="1:13" x14ac:dyDescent="0.25">
      <c r="A1671" s="46">
        <f t="shared" si="26"/>
        <v>1670</v>
      </c>
      <c r="B1671" s="36" t="s">
        <v>4</v>
      </c>
      <c r="C1671" s="36" t="s">
        <v>7756</v>
      </c>
      <c r="D1671" s="9" t="s">
        <v>4620</v>
      </c>
      <c r="F1671" s="9" t="s">
        <v>7763</v>
      </c>
      <c r="G1671" s="36" t="s">
        <v>13</v>
      </c>
      <c r="H1671" s="36" t="str">
        <f>IFERROR(VLOOKUP(Table2[[#This Row], [Ticket]],Okey!A:B,2,0),"")</f>
        <v/>
      </c>
      <c r="I1671" s="36" t="s">
        <v>6455</v>
      </c>
      <c r="J1671" s="36" t="str">
        <f>VLOOKUP(Table2[[#This Row], [Author]],People!A:B,2,0)</f>
        <v>EL</v>
      </c>
      <c r="K1671" s="36" t="s">
        <v>7861</v>
      </c>
      <c r="L1671" s="36" t="str">
        <f>VLOOKUP(Table2[[#This Row],[Node]],Sheet6!B:C,2,0)</f>
        <v>P000000758</v>
      </c>
      <c r="M1671" s="36" t="s">
        <v>6110</v>
      </c>
    </row>
    <row r="1672" spans="1:13" x14ac:dyDescent="0.25">
      <c r="A1672" s="46">
        <f t="shared" si="26"/>
        <v>1671</v>
      </c>
      <c r="B1672" s="36" t="s">
        <v>4</v>
      </c>
      <c r="C1672" s="36" t="s">
        <v>7756</v>
      </c>
      <c r="D1672" s="9" t="s">
        <v>4622</v>
      </c>
      <c r="F1672" s="9" t="s">
        <v>7763</v>
      </c>
      <c r="G1672" s="36" t="s">
        <v>13</v>
      </c>
      <c r="H1672" s="36" t="str">
        <f>IFERROR(VLOOKUP(Table2[[#This Row], [Ticket]],Okey!A:B,2,0),"")</f>
        <v/>
      </c>
      <c r="I1672" s="36" t="s">
        <v>6455</v>
      </c>
      <c r="J1672" s="36" t="str">
        <f>VLOOKUP(Table2[[#This Row], [Author]],People!A:B,2,0)</f>
        <v>EL</v>
      </c>
      <c r="K1672" s="36" t="s">
        <v>7861</v>
      </c>
      <c r="L1672" s="36" t="str">
        <f>VLOOKUP(Table2[[#This Row],[Node]],Sheet6!B:C,2,0)</f>
        <v>P000000758</v>
      </c>
      <c r="M1672" s="36" t="s">
        <v>6110</v>
      </c>
    </row>
    <row r="1673" spans="1:13" x14ac:dyDescent="0.25">
      <c r="A1673" s="46">
        <f t="shared" si="26"/>
        <v>1672</v>
      </c>
      <c r="B1673" s="36" t="s">
        <v>4</v>
      </c>
      <c r="C1673" s="36" t="s">
        <v>7756</v>
      </c>
      <c r="D1673" s="9" t="s">
        <v>4624</v>
      </c>
      <c r="F1673" s="9" t="s">
        <v>7763</v>
      </c>
      <c r="G1673" s="36" t="s">
        <v>13</v>
      </c>
      <c r="H1673" s="36" t="str">
        <f>IFERROR(VLOOKUP(Table2[[#This Row], [Ticket]],Okey!A:B,2,0),"")</f>
        <v/>
      </c>
      <c r="I1673" s="36" t="s">
        <v>6455</v>
      </c>
      <c r="J1673" s="36" t="str">
        <f>VLOOKUP(Table2[[#This Row], [Author]],People!A:B,2,0)</f>
        <v>EL</v>
      </c>
      <c r="K1673" s="36" t="s">
        <v>7861</v>
      </c>
      <c r="L1673" s="36" t="str">
        <f>VLOOKUP(Table2[[#This Row],[Node]],Sheet6!B:C,2,0)</f>
        <v>P000000758</v>
      </c>
      <c r="M1673" s="36" t="s">
        <v>6110</v>
      </c>
    </row>
    <row r="1674" spans="1:13" x14ac:dyDescent="0.25">
      <c r="A1674" s="46">
        <f t="shared" si="26"/>
        <v>1673</v>
      </c>
      <c r="B1674" s="36" t="s">
        <v>4</v>
      </c>
      <c r="C1674" s="36" t="s">
        <v>7756</v>
      </c>
      <c r="D1674" s="9" t="s">
        <v>4608</v>
      </c>
      <c r="F1674" s="9" t="s">
        <v>7763</v>
      </c>
      <c r="G1674" s="36" t="s">
        <v>13</v>
      </c>
      <c r="H1674" s="36" t="str">
        <f>IFERROR(VLOOKUP(Table2[[#This Row], [Ticket]],Okey!A:B,2,0),"")</f>
        <v/>
      </c>
      <c r="I1674" s="36" t="s">
        <v>6455</v>
      </c>
      <c r="J1674" s="36" t="str">
        <f>VLOOKUP(Table2[[#This Row], [Author]],People!A:B,2,0)</f>
        <v>EL</v>
      </c>
      <c r="K1674" s="36" t="s">
        <v>7861</v>
      </c>
      <c r="L1674" s="36" t="str">
        <f>VLOOKUP(Table2[[#This Row],[Node]],Sheet6!B:C,2,0)</f>
        <v>P000000758</v>
      </c>
      <c r="M1674" s="36" t="s">
        <v>6110</v>
      </c>
    </row>
    <row r="1675" spans="1:13" x14ac:dyDescent="0.25">
      <c r="A1675" s="46">
        <f t="shared" si="26"/>
        <v>1674</v>
      </c>
      <c r="B1675" s="36" t="s">
        <v>4</v>
      </c>
      <c r="C1675" s="36" t="s">
        <v>7756</v>
      </c>
      <c r="D1675" s="9" t="s">
        <v>4612</v>
      </c>
      <c r="F1675" s="9" t="s">
        <v>7763</v>
      </c>
      <c r="G1675" s="36" t="s">
        <v>13</v>
      </c>
      <c r="H1675" s="36" t="str">
        <f>IFERROR(VLOOKUP(Table2[[#This Row], [Ticket]],Okey!A:B,2,0),"")</f>
        <v/>
      </c>
      <c r="I1675" s="36" t="s">
        <v>6455</v>
      </c>
      <c r="J1675" s="36" t="str">
        <f>VLOOKUP(Table2[[#This Row], [Author]],People!A:B,2,0)</f>
        <v>EL</v>
      </c>
      <c r="K1675" s="36" t="s">
        <v>7861</v>
      </c>
      <c r="L1675" s="36" t="str">
        <f>VLOOKUP(Table2[[#This Row],[Node]],Sheet6!B:C,2,0)</f>
        <v>P000000758</v>
      </c>
      <c r="M1675" s="36" t="s">
        <v>6110</v>
      </c>
    </row>
    <row r="1676" spans="1:13" x14ac:dyDescent="0.25">
      <c r="A1676" s="46">
        <f t="shared" si="26"/>
        <v>1675</v>
      </c>
      <c r="B1676" s="36" t="s">
        <v>4</v>
      </c>
      <c r="C1676" s="36" t="s">
        <v>7756</v>
      </c>
      <c r="D1676" s="9" t="s">
        <v>4618</v>
      </c>
      <c r="F1676" s="9" t="s">
        <v>7763</v>
      </c>
      <c r="G1676" s="36" t="s">
        <v>13</v>
      </c>
      <c r="H1676" s="36" t="str">
        <f>IFERROR(VLOOKUP(Table2[[#This Row], [Ticket]],Okey!A:B,2,0),"")</f>
        <v/>
      </c>
      <c r="I1676" s="36" t="s">
        <v>6455</v>
      </c>
      <c r="J1676" s="36" t="str">
        <f>VLOOKUP(Table2[[#This Row], [Author]],People!A:B,2,0)</f>
        <v>EL</v>
      </c>
      <c r="K1676" s="36" t="s">
        <v>7861</v>
      </c>
      <c r="L1676" s="36" t="str">
        <f>VLOOKUP(Table2[[#This Row],[Node]],Sheet6!B:C,2,0)</f>
        <v>P000000758</v>
      </c>
      <c r="M1676" s="36" t="s">
        <v>6110</v>
      </c>
    </row>
    <row r="1677" spans="1:13" x14ac:dyDescent="0.25">
      <c r="A1677" s="46">
        <f t="shared" si="26"/>
        <v>1676</v>
      </c>
      <c r="B1677" s="36" t="s">
        <v>4</v>
      </c>
      <c r="C1677" s="36" t="s">
        <v>7756</v>
      </c>
      <c r="D1677" s="9" t="s">
        <v>3157</v>
      </c>
      <c r="F1677" s="9" t="s">
        <v>2433</v>
      </c>
      <c r="G1677" s="36" t="s">
        <v>13</v>
      </c>
      <c r="H1677" s="36" t="str">
        <f>IFERROR(VLOOKUP(Table2[[#This Row], [Ticket]],Okey!A:B,2,0),"")</f>
        <v/>
      </c>
      <c r="I1677" s="36" t="s">
        <v>6455</v>
      </c>
      <c r="J1677" s="36" t="str">
        <f>VLOOKUP(Table2[[#This Row], [Author]],People!A:B,2,0)</f>
        <v>EL</v>
      </c>
      <c r="K1677" s="36" t="s">
        <v>7861</v>
      </c>
      <c r="L1677" s="36" t="str">
        <f>VLOOKUP(Table2[[#This Row],[Node]],Sheet6!B:C,2,0)</f>
        <v>P000001159</v>
      </c>
      <c r="M1677" s="36" t="s">
        <v>6110</v>
      </c>
    </row>
    <row r="1678" spans="1:13" x14ac:dyDescent="0.25">
      <c r="A1678" s="46">
        <f t="shared" si="26"/>
        <v>1677</v>
      </c>
      <c r="B1678" s="36" t="s">
        <v>4</v>
      </c>
      <c r="C1678" s="36" t="s">
        <v>7756</v>
      </c>
      <c r="D1678" s="9" t="s">
        <v>7806</v>
      </c>
      <c r="F1678" s="9" t="s">
        <v>275</v>
      </c>
      <c r="G1678" s="9" t="s">
        <v>12</v>
      </c>
      <c r="H1678" s="36" t="str">
        <f>IFERROR(VLOOKUP(Table2[[#This Row], [Ticket]],Okey!A:B,2,0),"")</f>
        <v/>
      </c>
      <c r="I1678" s="36" t="s">
        <v>6455</v>
      </c>
      <c r="J1678" s="36" t="str">
        <f>VLOOKUP(Table2[[#This Row], [Author]],People!A:B,2,0)</f>
        <v>EL</v>
      </c>
      <c r="K1678" s="36" t="s">
        <v>7861</v>
      </c>
      <c r="M1678" s="36" t="s">
        <v>6110</v>
      </c>
    </row>
    <row r="1679" spans="1:13" x14ac:dyDescent="0.25">
      <c r="A1679" s="46">
        <f t="shared" si="26"/>
        <v>1678</v>
      </c>
      <c r="B1679" s="36" t="s">
        <v>4</v>
      </c>
      <c r="C1679" s="36" t="s">
        <v>7756</v>
      </c>
      <c r="D1679" s="9" t="s">
        <v>7807</v>
      </c>
      <c r="F1679" s="36" t="s">
        <v>275</v>
      </c>
      <c r="G1679" s="36" t="s">
        <v>12</v>
      </c>
      <c r="H1679" s="36" t="str">
        <f>IFERROR(VLOOKUP(Table2[[#This Row], [Ticket]],Okey!A:B,2,0),"")</f>
        <v/>
      </c>
      <c r="I1679" s="36" t="s">
        <v>6455</v>
      </c>
      <c r="J1679" s="36" t="str">
        <f>VLOOKUP(Table2[[#This Row], [Author]],People!A:B,2,0)</f>
        <v>EL</v>
      </c>
      <c r="K1679" s="36" t="s">
        <v>7861</v>
      </c>
      <c r="M1679" s="36" t="s">
        <v>6110</v>
      </c>
    </row>
    <row r="1680" spans="1:13" x14ac:dyDescent="0.25">
      <c r="A1680" s="46">
        <f t="shared" si="26"/>
        <v>1679</v>
      </c>
      <c r="B1680" s="36" t="s">
        <v>4</v>
      </c>
      <c r="C1680" s="36" t="s">
        <v>7756</v>
      </c>
      <c r="D1680" s="9" t="s">
        <v>4608</v>
      </c>
      <c r="E1680" s="9" t="s">
        <v>7808</v>
      </c>
      <c r="G1680" s="9" t="s">
        <v>15</v>
      </c>
      <c r="H1680" s="36" t="str">
        <f>IFERROR(VLOOKUP(Table2[[#This Row], [Ticket]],Okey!A:B,2,0),"")</f>
        <v/>
      </c>
      <c r="I1680" s="36" t="s">
        <v>6455</v>
      </c>
      <c r="J1680" s="36" t="str">
        <f>VLOOKUP(Table2[[#This Row], [Author]],People!A:B,2,0)</f>
        <v>EL</v>
      </c>
      <c r="K1680" s="36" t="s">
        <v>7859</v>
      </c>
      <c r="M1680" s="36" t="s">
        <v>6110</v>
      </c>
    </row>
    <row r="1681" spans="1:13" x14ac:dyDescent="0.25">
      <c r="A1681" s="46">
        <f t="shared" si="26"/>
        <v>1680</v>
      </c>
      <c r="B1681" s="36" t="s">
        <v>4</v>
      </c>
      <c r="C1681" s="36" t="s">
        <v>7756</v>
      </c>
      <c r="D1681" s="9" t="s">
        <v>4612</v>
      </c>
      <c r="E1681" s="9" t="s">
        <v>7809</v>
      </c>
      <c r="G1681" s="36" t="s">
        <v>15</v>
      </c>
      <c r="H1681" s="36" t="str">
        <f>IFERROR(VLOOKUP(Table2[[#This Row], [Ticket]],Okey!A:B,2,0),"")</f>
        <v/>
      </c>
      <c r="I1681" s="36" t="s">
        <v>6455</v>
      </c>
      <c r="J1681" s="36" t="str">
        <f>VLOOKUP(Table2[[#This Row], [Author]],People!A:B,2,0)</f>
        <v>EL</v>
      </c>
      <c r="K1681" s="36" t="s">
        <v>7859</v>
      </c>
      <c r="M1681" s="36" t="s">
        <v>6110</v>
      </c>
    </row>
    <row r="1682" spans="1:13" x14ac:dyDescent="0.25">
      <c r="A1682" s="46">
        <f t="shared" si="26"/>
        <v>1681</v>
      </c>
      <c r="B1682" s="36" t="s">
        <v>4</v>
      </c>
      <c r="C1682" s="36" t="s">
        <v>7756</v>
      </c>
      <c r="D1682" s="9" t="s">
        <v>4618</v>
      </c>
      <c r="E1682" s="9" t="s">
        <v>7810</v>
      </c>
      <c r="G1682" s="36" t="s">
        <v>15</v>
      </c>
      <c r="H1682" s="36" t="str">
        <f>IFERROR(VLOOKUP(Table2[[#This Row], [Ticket]],Okey!A:B,2,0),"")</f>
        <v/>
      </c>
      <c r="I1682" s="36" t="s">
        <v>6455</v>
      </c>
      <c r="J1682" s="36" t="str">
        <f>VLOOKUP(Table2[[#This Row], [Author]],People!A:B,2,0)</f>
        <v>EL</v>
      </c>
      <c r="K1682" s="36" t="s">
        <v>7859</v>
      </c>
      <c r="M1682" s="36" t="s">
        <v>6110</v>
      </c>
    </row>
    <row r="1683" spans="1:13" x14ac:dyDescent="0.25">
      <c r="A1683" s="46">
        <f t="shared" si="26"/>
        <v>1682</v>
      </c>
      <c r="B1683" s="36" t="s">
        <v>4</v>
      </c>
      <c r="C1683" s="36" t="s">
        <v>7756</v>
      </c>
      <c r="D1683" s="9" t="s">
        <v>4614</v>
      </c>
      <c r="E1683" s="9" t="s">
        <v>7811</v>
      </c>
      <c r="G1683" s="36" t="s">
        <v>15</v>
      </c>
      <c r="H1683" s="36" t="str">
        <f>IFERROR(VLOOKUP(Table2[[#This Row], [Ticket]],Okey!A:B,2,0),"")</f>
        <v/>
      </c>
      <c r="I1683" s="36" t="s">
        <v>6455</v>
      </c>
      <c r="J1683" s="36" t="str">
        <f>VLOOKUP(Table2[[#This Row], [Author]],People!A:B,2,0)</f>
        <v>EL</v>
      </c>
      <c r="K1683" s="36" t="s">
        <v>7859</v>
      </c>
      <c r="M1683" s="36" t="s">
        <v>6110</v>
      </c>
    </row>
    <row r="1684" spans="1:13" x14ac:dyDescent="0.25">
      <c r="A1684" s="46">
        <f t="shared" si="26"/>
        <v>1683</v>
      </c>
      <c r="B1684" s="36" t="s">
        <v>4</v>
      </c>
      <c r="C1684" s="9" t="s">
        <v>8839</v>
      </c>
      <c r="D1684" s="9" t="s">
        <v>6264</v>
      </c>
      <c r="E1684" s="40" t="s">
        <v>8840</v>
      </c>
      <c r="F1684" s="9" t="s">
        <v>5272</v>
      </c>
      <c r="G1684" s="36" t="s">
        <v>16</v>
      </c>
      <c r="H1684" s="36" t="str">
        <f>IFERROR(VLOOKUP(Table2[[#This Row], [Ticket]],Okey!A:B,2,0),"")</f>
        <v/>
      </c>
      <c r="J1684" s="9" t="s">
        <v>17</v>
      </c>
      <c r="K1684" s="9" t="s">
        <v>8841</v>
      </c>
      <c r="M1684" s="9" t="s">
        <v>6354</v>
      </c>
    </row>
    <row r="1685" spans="1:13" x14ac:dyDescent="0.25">
      <c r="A1685" s="46">
        <f t="shared" si="26"/>
        <v>1684</v>
      </c>
      <c r="B1685" s="36" t="s">
        <v>4</v>
      </c>
      <c r="C1685" s="9" t="s">
        <v>8842</v>
      </c>
      <c r="D1685" s="36" t="s">
        <v>8860</v>
      </c>
      <c r="E1685" s="9" t="s">
        <v>8843</v>
      </c>
      <c r="F1685" s="9" t="s">
        <v>6387</v>
      </c>
      <c r="G1685" s="36" t="s">
        <v>14</v>
      </c>
      <c r="H1685" s="36" t="str">
        <f>IFERROR(VLOOKUP(Table2[[#This Row], [Ticket]],Okey!A:B,2,0),"")</f>
        <v/>
      </c>
      <c r="J1685" s="36" t="s">
        <v>17</v>
      </c>
      <c r="K1685" s="36" t="s">
        <v>8841</v>
      </c>
      <c r="M1685" s="36" t="s">
        <v>6354</v>
      </c>
    </row>
    <row r="1686" spans="1:13" x14ac:dyDescent="0.25">
      <c r="A1686" s="46">
        <f t="shared" si="26"/>
        <v>1685</v>
      </c>
      <c r="B1686" s="36" t="s">
        <v>4</v>
      </c>
      <c r="C1686" s="36" t="s">
        <v>8842</v>
      </c>
      <c r="D1686" s="9" t="s">
        <v>8844</v>
      </c>
      <c r="E1686" s="9" t="s">
        <v>8843</v>
      </c>
      <c r="F1686" s="36" t="s">
        <v>8860</v>
      </c>
      <c r="G1686" s="36" t="s">
        <v>16</v>
      </c>
      <c r="H1686" s="36" t="str">
        <f>IFERROR(VLOOKUP(Table2[[#This Row], [Ticket]],Okey!A:B,2,0),"")</f>
        <v/>
      </c>
      <c r="J1686" s="36" t="s">
        <v>17</v>
      </c>
      <c r="K1686" s="36" t="s">
        <v>8841</v>
      </c>
      <c r="M1686" s="36" t="s">
        <v>6354</v>
      </c>
    </row>
    <row r="1687" spans="1:13" x14ac:dyDescent="0.25">
      <c r="A1687" s="46">
        <f t="shared" si="26"/>
        <v>1686</v>
      </c>
      <c r="B1687" s="36" t="s">
        <v>4</v>
      </c>
      <c r="C1687" s="36" t="s">
        <v>8842</v>
      </c>
      <c r="D1687" s="36" t="s">
        <v>8861</v>
      </c>
      <c r="E1687" s="9" t="s">
        <v>8845</v>
      </c>
      <c r="F1687" s="9" t="s">
        <v>6387</v>
      </c>
      <c r="G1687" s="36" t="s">
        <v>14</v>
      </c>
      <c r="H1687" s="36" t="str">
        <f>IFERROR(VLOOKUP(Table2[[#This Row], [Ticket]],Okey!A:B,2,0),"")</f>
        <v/>
      </c>
      <c r="J1687" s="36" t="s">
        <v>17</v>
      </c>
      <c r="K1687" s="36" t="s">
        <v>8841</v>
      </c>
      <c r="M1687" s="36" t="s">
        <v>6354</v>
      </c>
    </row>
    <row r="1688" spans="1:13" x14ac:dyDescent="0.25">
      <c r="A1688" s="46">
        <f t="shared" si="26"/>
        <v>1687</v>
      </c>
      <c r="B1688" s="36" t="s">
        <v>4</v>
      </c>
      <c r="C1688" s="36" t="s">
        <v>8842</v>
      </c>
      <c r="D1688" s="9" t="s">
        <v>8846</v>
      </c>
      <c r="E1688" s="9" t="s">
        <v>8845</v>
      </c>
      <c r="F1688" s="36" t="s">
        <v>8861</v>
      </c>
      <c r="G1688" s="36" t="s">
        <v>16</v>
      </c>
      <c r="H1688" s="36" t="str">
        <f>IFERROR(VLOOKUP(Table2[[#This Row], [Ticket]],Okey!A:B,2,0),"")</f>
        <v/>
      </c>
      <c r="J1688" s="36" t="s">
        <v>17</v>
      </c>
      <c r="K1688" s="36" t="s">
        <v>8841</v>
      </c>
      <c r="M1688" s="36" t="s">
        <v>6354</v>
      </c>
    </row>
    <row r="1689" spans="1:13" x14ac:dyDescent="0.25">
      <c r="A1689" s="46">
        <f t="shared" si="26"/>
        <v>1688</v>
      </c>
      <c r="B1689" s="36" t="s">
        <v>4</v>
      </c>
      <c r="C1689" s="36" t="s">
        <v>8842</v>
      </c>
      <c r="D1689" s="36" t="s">
        <v>8862</v>
      </c>
      <c r="E1689" s="9" t="s">
        <v>8847</v>
      </c>
      <c r="F1689" s="9" t="s">
        <v>6387</v>
      </c>
      <c r="G1689" s="36" t="s">
        <v>14</v>
      </c>
      <c r="H1689" s="36" t="str">
        <f>IFERROR(VLOOKUP(Table2[[#This Row], [Ticket]],Okey!A:B,2,0),"")</f>
        <v/>
      </c>
      <c r="J1689" s="36" t="s">
        <v>17</v>
      </c>
      <c r="K1689" s="36" t="s">
        <v>8841</v>
      </c>
      <c r="M1689" s="36" t="s">
        <v>6354</v>
      </c>
    </row>
    <row r="1690" spans="1:13" x14ac:dyDescent="0.25">
      <c r="A1690" s="46">
        <f t="shared" si="26"/>
        <v>1689</v>
      </c>
      <c r="B1690" s="36" t="s">
        <v>4</v>
      </c>
      <c r="C1690" s="36" t="s">
        <v>8842</v>
      </c>
      <c r="D1690" s="9" t="s">
        <v>8848</v>
      </c>
      <c r="E1690" s="9" t="s">
        <v>8847</v>
      </c>
      <c r="F1690" s="36" t="s">
        <v>8862</v>
      </c>
      <c r="G1690" s="36" t="s">
        <v>16</v>
      </c>
      <c r="H1690" s="36" t="str">
        <f>IFERROR(VLOOKUP(Table2[[#This Row], [Ticket]],Okey!A:B,2,0),"")</f>
        <v/>
      </c>
      <c r="J1690" s="36" t="s">
        <v>17</v>
      </c>
      <c r="K1690" s="36" t="s">
        <v>8841</v>
      </c>
      <c r="M1690" s="36" t="s">
        <v>6354</v>
      </c>
    </row>
    <row r="1691" spans="1:13" x14ac:dyDescent="0.25">
      <c r="A1691" s="46">
        <f t="shared" si="26"/>
        <v>1690</v>
      </c>
      <c r="B1691" s="36" t="s">
        <v>4</v>
      </c>
      <c r="C1691" s="36" t="s">
        <v>8842</v>
      </c>
      <c r="D1691" s="36" t="s">
        <v>8863</v>
      </c>
      <c r="E1691" s="9" t="s">
        <v>8849</v>
      </c>
      <c r="F1691" s="9" t="s">
        <v>1238</v>
      </c>
      <c r="G1691" s="36" t="s">
        <v>14</v>
      </c>
      <c r="H1691" s="36" t="str">
        <f>IFERROR(VLOOKUP(Table2[[#This Row], [Ticket]],Okey!A:B,2,0),"")</f>
        <v/>
      </c>
      <c r="J1691" s="36" t="s">
        <v>17</v>
      </c>
      <c r="K1691" s="36" t="s">
        <v>8841</v>
      </c>
      <c r="M1691" s="36" t="s">
        <v>6354</v>
      </c>
    </row>
    <row r="1692" spans="1:13" x14ac:dyDescent="0.25">
      <c r="A1692" s="46">
        <f t="shared" si="26"/>
        <v>1691</v>
      </c>
      <c r="B1692" s="36" t="s">
        <v>4</v>
      </c>
      <c r="C1692" s="36" t="s">
        <v>8842</v>
      </c>
      <c r="D1692" s="9" t="s">
        <v>8850</v>
      </c>
      <c r="E1692" s="9" t="s">
        <v>8849</v>
      </c>
      <c r="F1692" s="36" t="s">
        <v>8863</v>
      </c>
      <c r="G1692" s="9" t="s">
        <v>16</v>
      </c>
      <c r="H1692" s="36" t="str">
        <f>IFERROR(VLOOKUP(Table2[[#This Row], [Ticket]],Okey!A:B,2,0),"")</f>
        <v/>
      </c>
      <c r="J1692" s="36" t="s">
        <v>17</v>
      </c>
      <c r="K1692" s="36" t="s">
        <v>8841</v>
      </c>
      <c r="M1692" s="36" t="s">
        <v>6354</v>
      </c>
    </row>
    <row r="1693" spans="1:13" x14ac:dyDescent="0.25">
      <c r="A1693" s="46">
        <f t="shared" si="26"/>
        <v>1692</v>
      </c>
      <c r="B1693" s="36" t="s">
        <v>4</v>
      </c>
      <c r="C1693" s="36" t="s">
        <v>8842</v>
      </c>
      <c r="D1693" s="9" t="s">
        <v>6266</v>
      </c>
      <c r="E1693" s="9" t="s">
        <v>8840</v>
      </c>
      <c r="G1693" s="9" t="s">
        <v>15</v>
      </c>
      <c r="H1693" s="36" t="str">
        <f>IFERROR(VLOOKUP(Table2[[#This Row], [Ticket]],Okey!A:B,2,0),"")</f>
        <v/>
      </c>
      <c r="J1693" s="36" t="s">
        <v>17</v>
      </c>
      <c r="K1693" s="36" t="s">
        <v>8841</v>
      </c>
      <c r="M1693" s="36" t="s">
        <v>6354</v>
      </c>
    </row>
    <row r="1694" spans="1:13" x14ac:dyDescent="0.25">
      <c r="A1694" s="46">
        <f t="shared" si="26"/>
        <v>1693</v>
      </c>
      <c r="B1694" s="36" t="s">
        <v>4</v>
      </c>
      <c r="C1694" s="36" t="s">
        <v>8842</v>
      </c>
      <c r="D1694" s="9" t="s">
        <v>6268</v>
      </c>
      <c r="E1694" s="9" t="s">
        <v>8851</v>
      </c>
      <c r="G1694" s="36" t="s">
        <v>15</v>
      </c>
      <c r="H1694" s="36" t="str">
        <f>IFERROR(VLOOKUP(Table2[[#This Row], [Ticket]],Okey!A:B,2,0),"")</f>
        <v/>
      </c>
      <c r="J1694" s="36" t="s">
        <v>17</v>
      </c>
      <c r="K1694" s="36" t="s">
        <v>8841</v>
      </c>
      <c r="M1694" s="36" t="s">
        <v>6354</v>
      </c>
    </row>
    <row r="1695" spans="1:13" x14ac:dyDescent="0.25">
      <c r="A1695" s="46">
        <f t="shared" si="26"/>
        <v>1694</v>
      </c>
      <c r="B1695" s="36" t="s">
        <v>4</v>
      </c>
      <c r="C1695" s="36" t="s">
        <v>8842</v>
      </c>
      <c r="D1695" s="9" t="s">
        <v>6271</v>
      </c>
      <c r="E1695" s="9" t="s">
        <v>8852</v>
      </c>
      <c r="G1695" s="36" t="s">
        <v>15</v>
      </c>
      <c r="H1695" s="36" t="str">
        <f>IFERROR(VLOOKUP(Table2[[#This Row], [Ticket]],Okey!A:B,2,0),"")</f>
        <v/>
      </c>
      <c r="J1695" s="36" t="s">
        <v>17</v>
      </c>
      <c r="K1695" s="36" t="s">
        <v>8841</v>
      </c>
      <c r="M1695" s="36" t="s">
        <v>6354</v>
      </c>
    </row>
    <row r="1696" spans="1:13" x14ac:dyDescent="0.25">
      <c r="A1696" s="46">
        <f t="shared" si="26"/>
        <v>1695</v>
      </c>
      <c r="B1696" s="36" t="s">
        <v>4</v>
      </c>
      <c r="C1696" s="36" t="s">
        <v>8842</v>
      </c>
      <c r="D1696" s="9" t="s">
        <v>6274</v>
      </c>
      <c r="E1696" s="9" t="s">
        <v>8853</v>
      </c>
      <c r="G1696" s="36" t="s">
        <v>15</v>
      </c>
      <c r="H1696" s="36" t="str">
        <f>IFERROR(VLOOKUP(Table2[[#This Row], [Ticket]],Okey!A:B,2,0),"")</f>
        <v/>
      </c>
      <c r="J1696" s="36" t="s">
        <v>17</v>
      </c>
      <c r="K1696" s="36" t="s">
        <v>8841</v>
      </c>
      <c r="M1696" s="36" t="s">
        <v>6354</v>
      </c>
    </row>
    <row r="1697" spans="1:13" x14ac:dyDescent="0.25">
      <c r="A1697" s="46">
        <f t="shared" si="26"/>
        <v>1696</v>
      </c>
      <c r="B1697" s="36" t="s">
        <v>4</v>
      </c>
      <c r="C1697" s="36" t="s">
        <v>8842</v>
      </c>
      <c r="D1697" s="9" t="s">
        <v>6277</v>
      </c>
      <c r="E1697" s="9" t="s">
        <v>8854</v>
      </c>
      <c r="G1697" s="36" t="s">
        <v>15</v>
      </c>
      <c r="H1697" s="36" t="str">
        <f>IFERROR(VLOOKUP(Table2[[#This Row], [Ticket]],Okey!A:B,2,0),"")</f>
        <v/>
      </c>
      <c r="J1697" s="36" t="s">
        <v>17</v>
      </c>
      <c r="K1697" s="36" t="s">
        <v>8841</v>
      </c>
      <c r="M1697" s="36" t="s">
        <v>6354</v>
      </c>
    </row>
    <row r="1698" spans="1:13" x14ac:dyDescent="0.25">
      <c r="A1698" s="46">
        <f t="shared" si="26"/>
        <v>1697</v>
      </c>
      <c r="B1698" s="36" t="s">
        <v>4</v>
      </c>
      <c r="C1698" s="36" t="s">
        <v>8842</v>
      </c>
      <c r="D1698" s="9" t="s">
        <v>6280</v>
      </c>
      <c r="E1698" s="9" t="s">
        <v>8855</v>
      </c>
      <c r="G1698" s="36" t="s">
        <v>15</v>
      </c>
      <c r="H1698" s="36" t="str">
        <f>IFERROR(VLOOKUP(Table2[[#This Row], [Ticket]],Okey!A:B,2,0),"")</f>
        <v/>
      </c>
      <c r="J1698" s="36" t="s">
        <v>17</v>
      </c>
      <c r="K1698" s="36" t="s">
        <v>8841</v>
      </c>
      <c r="M1698" s="36" t="s">
        <v>6354</v>
      </c>
    </row>
    <row r="1699" spans="1:13" x14ac:dyDescent="0.25">
      <c r="A1699" s="46">
        <f t="shared" si="26"/>
        <v>1698</v>
      </c>
      <c r="B1699" s="36" t="s">
        <v>4</v>
      </c>
      <c r="C1699" s="36" t="s">
        <v>8842</v>
      </c>
      <c r="D1699" s="9" t="s">
        <v>6283</v>
      </c>
      <c r="E1699" s="9" t="s">
        <v>8856</v>
      </c>
      <c r="G1699" s="36" t="s">
        <v>15</v>
      </c>
      <c r="H1699" s="36" t="str">
        <f>IFERROR(VLOOKUP(Table2[[#This Row], [Ticket]],Okey!A:B,2,0),"")</f>
        <v/>
      </c>
      <c r="J1699" s="36" t="s">
        <v>17</v>
      </c>
      <c r="K1699" s="36" t="s">
        <v>8841</v>
      </c>
      <c r="M1699" s="36" t="s">
        <v>6354</v>
      </c>
    </row>
    <row r="1700" spans="1:13" x14ac:dyDescent="0.25">
      <c r="A1700" s="46">
        <f t="shared" si="26"/>
        <v>1699</v>
      </c>
      <c r="B1700" s="36" t="s">
        <v>4</v>
      </c>
      <c r="C1700" s="36" t="s">
        <v>8842</v>
      </c>
      <c r="D1700" s="9" t="s">
        <v>6286</v>
      </c>
      <c r="E1700" s="9" t="s">
        <v>8857</v>
      </c>
      <c r="G1700" s="36" t="s">
        <v>15</v>
      </c>
      <c r="H1700" s="36" t="str">
        <f>IFERROR(VLOOKUP(Table2[[#This Row], [Ticket]],Okey!A:B,2,0),"")</f>
        <v/>
      </c>
      <c r="J1700" s="36" t="s">
        <v>17</v>
      </c>
      <c r="K1700" s="36" t="s">
        <v>8841</v>
      </c>
      <c r="M1700" s="36" t="s">
        <v>6354</v>
      </c>
    </row>
    <row r="1701" spans="1:13" x14ac:dyDescent="0.25">
      <c r="A1701" s="46">
        <f t="shared" si="26"/>
        <v>1700</v>
      </c>
      <c r="B1701" s="36" t="s">
        <v>4</v>
      </c>
      <c r="C1701" s="36" t="s">
        <v>8842</v>
      </c>
      <c r="D1701" s="9" t="s">
        <v>6289</v>
      </c>
      <c r="E1701" s="9" t="s">
        <v>8858</v>
      </c>
      <c r="G1701" s="36" t="s">
        <v>15</v>
      </c>
      <c r="H1701" s="36" t="str">
        <f>IFERROR(VLOOKUP(Table2[[#This Row], [Ticket]],Okey!A:B,2,0),"")</f>
        <v/>
      </c>
      <c r="J1701" s="36" t="s">
        <v>17</v>
      </c>
      <c r="K1701" s="36" t="s">
        <v>8841</v>
      </c>
      <c r="M1701" s="36" t="s">
        <v>6354</v>
      </c>
    </row>
    <row r="1702" spans="1:13" x14ac:dyDescent="0.25">
      <c r="A1702" s="46">
        <f t="shared" si="26"/>
        <v>1701</v>
      </c>
      <c r="B1702" s="36" t="s">
        <v>4</v>
      </c>
      <c r="C1702" s="36" t="s">
        <v>8842</v>
      </c>
      <c r="D1702" s="9" t="s">
        <v>6292</v>
      </c>
      <c r="E1702" s="9" t="s">
        <v>8859</v>
      </c>
      <c r="G1702" s="36" t="s">
        <v>15</v>
      </c>
      <c r="H1702" s="36" t="str">
        <f>IFERROR(VLOOKUP(Table2[[#This Row], [Ticket]],Okey!A:B,2,0),"")</f>
        <v/>
      </c>
      <c r="J1702" s="36" t="s">
        <v>17</v>
      </c>
      <c r="K1702" s="36" t="s">
        <v>8841</v>
      </c>
      <c r="M1702" s="36" t="s">
        <v>6354</v>
      </c>
    </row>
    <row r="1703" spans="1:13" x14ac:dyDescent="0.25">
      <c r="A1703" s="46">
        <f t="shared" si="26"/>
        <v>1702</v>
      </c>
      <c r="B1703" s="36" t="s">
        <v>4</v>
      </c>
      <c r="C1703" s="36" t="s">
        <v>8842</v>
      </c>
      <c r="D1703" s="9" t="s">
        <v>6267</v>
      </c>
      <c r="E1703" s="9" t="s">
        <v>8840</v>
      </c>
      <c r="G1703" s="36" t="s">
        <v>15</v>
      </c>
      <c r="H1703" s="36" t="str">
        <f>IFERROR(VLOOKUP(Table2[[#This Row], [Ticket]],Okey!A:B,2,0),"")</f>
        <v/>
      </c>
      <c r="J1703" s="36" t="s">
        <v>17</v>
      </c>
      <c r="K1703" s="36" t="s">
        <v>8841</v>
      </c>
      <c r="M1703" s="36" t="s">
        <v>6354</v>
      </c>
    </row>
    <row r="1704" spans="1:13" x14ac:dyDescent="0.25">
      <c r="A1704" s="46">
        <f t="shared" si="26"/>
        <v>1703</v>
      </c>
      <c r="B1704" s="36" t="s">
        <v>4</v>
      </c>
      <c r="C1704" s="36" t="s">
        <v>8842</v>
      </c>
      <c r="D1704" s="9" t="s">
        <v>6270</v>
      </c>
      <c r="E1704" s="9" t="s">
        <v>8851</v>
      </c>
      <c r="G1704" s="36" t="s">
        <v>15</v>
      </c>
      <c r="H1704" s="36" t="str">
        <f>IFERROR(VLOOKUP(Table2[[#This Row], [Ticket]],Okey!A:B,2,0),"")</f>
        <v/>
      </c>
      <c r="J1704" s="36" t="s">
        <v>17</v>
      </c>
      <c r="K1704" s="36" t="s">
        <v>8841</v>
      </c>
      <c r="M1704" s="36" t="s">
        <v>6354</v>
      </c>
    </row>
    <row r="1705" spans="1:13" x14ac:dyDescent="0.25">
      <c r="A1705" s="46">
        <f t="shared" si="26"/>
        <v>1704</v>
      </c>
      <c r="B1705" s="36" t="s">
        <v>4</v>
      </c>
      <c r="C1705" s="36" t="s">
        <v>8842</v>
      </c>
      <c r="D1705" s="9" t="s">
        <v>6273</v>
      </c>
      <c r="E1705" s="9" t="s">
        <v>8852</v>
      </c>
      <c r="G1705" s="36" t="s">
        <v>15</v>
      </c>
      <c r="H1705" s="36" t="str">
        <f>IFERROR(VLOOKUP(Table2[[#This Row], [Ticket]],Okey!A:B,2,0),"")</f>
        <v/>
      </c>
      <c r="J1705" s="36" t="s">
        <v>17</v>
      </c>
      <c r="K1705" s="36" t="s">
        <v>8841</v>
      </c>
      <c r="M1705" s="36" t="s">
        <v>6354</v>
      </c>
    </row>
    <row r="1706" spans="1:13" x14ac:dyDescent="0.25">
      <c r="A1706" s="46">
        <f t="shared" si="26"/>
        <v>1705</v>
      </c>
      <c r="B1706" s="36" t="s">
        <v>4</v>
      </c>
      <c r="C1706" s="36" t="s">
        <v>8842</v>
      </c>
      <c r="D1706" s="9" t="s">
        <v>6276</v>
      </c>
      <c r="E1706" s="9" t="s">
        <v>8853</v>
      </c>
      <c r="G1706" s="36" t="s">
        <v>15</v>
      </c>
      <c r="H1706" s="36" t="str">
        <f>IFERROR(VLOOKUP(Table2[[#This Row], [Ticket]],Okey!A:B,2,0),"")</f>
        <v/>
      </c>
      <c r="J1706" s="36" t="s">
        <v>17</v>
      </c>
      <c r="K1706" s="36" t="s">
        <v>8841</v>
      </c>
      <c r="M1706" s="36" t="s">
        <v>6354</v>
      </c>
    </row>
    <row r="1707" spans="1:13" x14ac:dyDescent="0.25">
      <c r="A1707" s="46">
        <f t="shared" si="26"/>
        <v>1706</v>
      </c>
      <c r="B1707" s="36" t="s">
        <v>4</v>
      </c>
      <c r="C1707" s="36" t="s">
        <v>8842</v>
      </c>
      <c r="D1707" s="9" t="s">
        <v>6279</v>
      </c>
      <c r="E1707" s="9" t="s">
        <v>8854</v>
      </c>
      <c r="G1707" s="36" t="s">
        <v>15</v>
      </c>
      <c r="H1707" s="36" t="str">
        <f>IFERROR(VLOOKUP(Table2[[#This Row], [Ticket]],Okey!A:B,2,0),"")</f>
        <v/>
      </c>
      <c r="J1707" s="36" t="s">
        <v>17</v>
      </c>
      <c r="K1707" s="36" t="s">
        <v>8841</v>
      </c>
      <c r="M1707" s="36" t="s">
        <v>6354</v>
      </c>
    </row>
    <row r="1708" spans="1:13" x14ac:dyDescent="0.25">
      <c r="A1708" s="46">
        <f t="shared" si="26"/>
        <v>1707</v>
      </c>
      <c r="B1708" s="36" t="s">
        <v>4</v>
      </c>
      <c r="C1708" s="36" t="s">
        <v>8842</v>
      </c>
      <c r="D1708" s="9" t="s">
        <v>6282</v>
      </c>
      <c r="E1708" s="9" t="s">
        <v>8855</v>
      </c>
      <c r="G1708" s="36" t="s">
        <v>15</v>
      </c>
      <c r="H1708" s="36" t="str">
        <f>IFERROR(VLOOKUP(Table2[[#This Row], [Ticket]],Okey!A:B,2,0),"")</f>
        <v/>
      </c>
      <c r="J1708" s="36" t="s">
        <v>17</v>
      </c>
      <c r="K1708" s="36" t="s">
        <v>8841</v>
      </c>
      <c r="M1708" s="36" t="s">
        <v>6354</v>
      </c>
    </row>
    <row r="1709" spans="1:13" x14ac:dyDescent="0.25">
      <c r="A1709" s="46">
        <f t="shared" si="26"/>
        <v>1708</v>
      </c>
      <c r="B1709" s="36" t="s">
        <v>4</v>
      </c>
      <c r="C1709" s="36" t="s">
        <v>8842</v>
      </c>
      <c r="D1709" s="9" t="s">
        <v>6285</v>
      </c>
      <c r="E1709" s="9" t="s">
        <v>8856</v>
      </c>
      <c r="G1709" s="36" t="s">
        <v>15</v>
      </c>
      <c r="H1709" s="36" t="str">
        <f>IFERROR(VLOOKUP(Table2[[#This Row], [Ticket]],Okey!A:B,2,0),"")</f>
        <v/>
      </c>
      <c r="J1709" s="36" t="s">
        <v>17</v>
      </c>
      <c r="K1709" s="36" t="s">
        <v>8841</v>
      </c>
      <c r="M1709" s="36" t="s">
        <v>6354</v>
      </c>
    </row>
    <row r="1710" spans="1:13" x14ac:dyDescent="0.25">
      <c r="A1710" s="46">
        <f t="shared" si="26"/>
        <v>1709</v>
      </c>
      <c r="B1710" s="36" t="s">
        <v>4</v>
      </c>
      <c r="C1710" s="36" t="s">
        <v>8842</v>
      </c>
      <c r="D1710" s="9" t="s">
        <v>6288</v>
      </c>
      <c r="E1710" s="9" t="s">
        <v>8857</v>
      </c>
      <c r="G1710" s="36" t="s">
        <v>15</v>
      </c>
      <c r="H1710" s="36" t="str">
        <f>IFERROR(VLOOKUP(Table2[[#This Row], [Ticket]],Okey!A:B,2,0),"")</f>
        <v/>
      </c>
      <c r="J1710" s="36" t="s">
        <v>17</v>
      </c>
      <c r="K1710" s="36" t="s">
        <v>8841</v>
      </c>
      <c r="M1710" s="36" t="s">
        <v>6354</v>
      </c>
    </row>
    <row r="1711" spans="1:13" x14ac:dyDescent="0.25">
      <c r="A1711" s="46">
        <f t="shared" si="26"/>
        <v>1710</v>
      </c>
      <c r="B1711" s="36" t="s">
        <v>4</v>
      </c>
      <c r="C1711" s="36" t="s">
        <v>8842</v>
      </c>
      <c r="D1711" s="9" t="s">
        <v>6291</v>
      </c>
      <c r="E1711" s="9" t="s">
        <v>8858</v>
      </c>
      <c r="G1711" s="36" t="s">
        <v>15</v>
      </c>
      <c r="H1711" s="36" t="str">
        <f>IFERROR(VLOOKUP(Table2[[#This Row], [Ticket]],Okey!A:B,2,0),"")</f>
        <v/>
      </c>
      <c r="J1711" s="36" t="s">
        <v>17</v>
      </c>
      <c r="K1711" s="36" t="s">
        <v>8841</v>
      </c>
      <c r="M1711" s="36" t="s">
        <v>6354</v>
      </c>
    </row>
    <row r="1712" spans="1:13" x14ac:dyDescent="0.25">
      <c r="A1712" s="46">
        <f t="shared" si="26"/>
        <v>1711</v>
      </c>
      <c r="B1712" s="36" t="s">
        <v>4</v>
      </c>
      <c r="C1712" s="36" t="s">
        <v>8842</v>
      </c>
      <c r="D1712" s="9" t="s">
        <v>6294</v>
      </c>
      <c r="E1712" s="9" t="s">
        <v>8859</v>
      </c>
      <c r="G1712" s="36" t="s">
        <v>15</v>
      </c>
      <c r="H1712" s="36" t="str">
        <f>IFERROR(VLOOKUP(Table2[[#This Row], [Ticket]],Okey!A:B,2,0),"")</f>
        <v/>
      </c>
      <c r="J1712" s="36" t="s">
        <v>17</v>
      </c>
      <c r="K1712" s="36" t="s">
        <v>8841</v>
      </c>
      <c r="M1712" s="36" t="s">
        <v>6354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39C7-2455-48DF-A95C-DD62B1E0A00A}">
  <dimension ref="B1:C274"/>
  <sheetViews>
    <sheetView workbookViewId="0">
      <selection activeCell="E6" sqref="E6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7864</v>
      </c>
      <c r="C1" t="s">
        <v>7863</v>
      </c>
    </row>
    <row r="2" spans="2:3" x14ac:dyDescent="0.25">
      <c r="B2" t="s">
        <v>7866</v>
      </c>
      <c r="C2" t="s">
        <v>7865</v>
      </c>
    </row>
    <row r="3" spans="2:3" x14ac:dyDescent="0.25">
      <c r="B3" t="s">
        <v>7867</v>
      </c>
      <c r="C3" t="s">
        <v>7865</v>
      </c>
    </row>
    <row r="4" spans="2:3" x14ac:dyDescent="0.25">
      <c r="B4" t="s">
        <v>7868</v>
      </c>
      <c r="C4" t="s">
        <v>3646</v>
      </c>
    </row>
    <row r="5" spans="2:3" x14ac:dyDescent="0.25">
      <c r="B5" t="s">
        <v>7870</v>
      </c>
      <c r="C5" t="s">
        <v>7869</v>
      </c>
    </row>
    <row r="6" spans="2:3" x14ac:dyDescent="0.25">
      <c r="B6" t="s">
        <v>7871</v>
      </c>
      <c r="C6" t="s">
        <v>3669</v>
      </c>
    </row>
    <row r="7" spans="2:3" x14ac:dyDescent="0.25">
      <c r="B7" t="s">
        <v>7873</v>
      </c>
      <c r="C7" t="s">
        <v>7872</v>
      </c>
    </row>
    <row r="8" spans="2:3" x14ac:dyDescent="0.25">
      <c r="B8" t="s">
        <v>7875</v>
      </c>
      <c r="C8" t="s">
        <v>7874</v>
      </c>
    </row>
    <row r="9" spans="2:3" x14ac:dyDescent="0.25">
      <c r="B9" t="s">
        <v>7876</v>
      </c>
      <c r="C9" t="s">
        <v>7874</v>
      </c>
    </row>
    <row r="10" spans="2:3" x14ac:dyDescent="0.25">
      <c r="B10" t="s">
        <v>7877</v>
      </c>
      <c r="C10" t="s">
        <v>7874</v>
      </c>
    </row>
    <row r="11" spans="2:3" x14ac:dyDescent="0.25">
      <c r="B11" t="s">
        <v>7878</v>
      </c>
      <c r="C11" t="s">
        <v>7874</v>
      </c>
    </row>
    <row r="12" spans="2:3" x14ac:dyDescent="0.25">
      <c r="B12" t="s">
        <v>7879</v>
      </c>
      <c r="C12" t="s">
        <v>3653</v>
      </c>
    </row>
    <row r="13" spans="2:3" x14ac:dyDescent="0.25">
      <c r="B13" t="s">
        <v>7881</v>
      </c>
      <c r="C13" t="s">
        <v>7880</v>
      </c>
    </row>
    <row r="14" spans="2:3" x14ac:dyDescent="0.25">
      <c r="B14" t="s">
        <v>7883</v>
      </c>
      <c r="C14" t="s">
        <v>7882</v>
      </c>
    </row>
    <row r="15" spans="2:3" x14ac:dyDescent="0.25">
      <c r="B15" t="s">
        <v>7884</v>
      </c>
      <c r="C15" t="s">
        <v>3707</v>
      </c>
    </row>
    <row r="16" spans="2:3" x14ac:dyDescent="0.25">
      <c r="B16" t="s">
        <v>7885</v>
      </c>
      <c r="C16" t="s">
        <v>3707</v>
      </c>
    </row>
    <row r="17" spans="2:3" x14ac:dyDescent="0.25">
      <c r="B17" t="s">
        <v>7886</v>
      </c>
      <c r="C17" t="s">
        <v>3707</v>
      </c>
    </row>
    <row r="18" spans="2:3" x14ac:dyDescent="0.25">
      <c r="B18" t="s">
        <v>7887</v>
      </c>
      <c r="C18" t="s">
        <v>3707</v>
      </c>
    </row>
    <row r="19" spans="2:3" x14ac:dyDescent="0.25">
      <c r="B19" t="s">
        <v>7888</v>
      </c>
      <c r="C19" t="s">
        <v>3707</v>
      </c>
    </row>
    <row r="20" spans="2:3" x14ac:dyDescent="0.25">
      <c r="B20" t="s">
        <v>7889</v>
      </c>
      <c r="C20" t="s">
        <v>3707</v>
      </c>
    </row>
    <row r="21" spans="2:3" x14ac:dyDescent="0.25">
      <c r="B21" t="s">
        <v>7890</v>
      </c>
      <c r="C21" t="s">
        <v>3707</v>
      </c>
    </row>
    <row r="22" spans="2:3" x14ac:dyDescent="0.25">
      <c r="B22" t="s">
        <v>7891</v>
      </c>
      <c r="C22" t="s">
        <v>3707</v>
      </c>
    </row>
    <row r="23" spans="2:3" x14ac:dyDescent="0.25">
      <c r="B23" t="s">
        <v>7892</v>
      </c>
      <c r="C23" t="s">
        <v>3707</v>
      </c>
    </row>
    <row r="24" spans="2:3" x14ac:dyDescent="0.25">
      <c r="B24" t="s">
        <v>7893</v>
      </c>
      <c r="C24" t="s">
        <v>3707</v>
      </c>
    </row>
    <row r="25" spans="2:3" x14ac:dyDescent="0.25">
      <c r="B25" t="s">
        <v>7894</v>
      </c>
      <c r="C25" t="s">
        <v>3707</v>
      </c>
    </row>
    <row r="26" spans="2:3" x14ac:dyDescent="0.25">
      <c r="B26" t="s">
        <v>7895</v>
      </c>
      <c r="C26" t="s">
        <v>3707</v>
      </c>
    </row>
    <row r="27" spans="2:3" x14ac:dyDescent="0.25">
      <c r="B27" t="s">
        <v>7896</v>
      </c>
      <c r="C27" t="s">
        <v>3707</v>
      </c>
    </row>
    <row r="28" spans="2:3" x14ac:dyDescent="0.25">
      <c r="B28" t="s">
        <v>7897</v>
      </c>
      <c r="C28" t="s">
        <v>3707</v>
      </c>
    </row>
    <row r="29" spans="2:3" x14ac:dyDescent="0.25">
      <c r="B29" t="s">
        <v>7898</v>
      </c>
      <c r="C29" t="s">
        <v>3707</v>
      </c>
    </row>
    <row r="30" spans="2:3" x14ac:dyDescent="0.25">
      <c r="B30" t="s">
        <v>7899</v>
      </c>
      <c r="C30" t="s">
        <v>3707</v>
      </c>
    </row>
    <row r="31" spans="2:3" x14ac:dyDescent="0.25">
      <c r="B31" t="s">
        <v>7900</v>
      </c>
      <c r="C31" t="s">
        <v>6226</v>
      </c>
    </row>
    <row r="32" spans="2:3" x14ac:dyDescent="0.25">
      <c r="B32" t="s">
        <v>7901</v>
      </c>
      <c r="C32" t="s">
        <v>6251</v>
      </c>
    </row>
    <row r="33" spans="2:3" x14ac:dyDescent="0.25">
      <c r="B33" t="s">
        <v>7902</v>
      </c>
      <c r="C33" t="s">
        <v>6251</v>
      </c>
    </row>
    <row r="34" spans="2:3" x14ac:dyDescent="0.25">
      <c r="B34" t="s">
        <v>7903</v>
      </c>
      <c r="C34" t="s">
        <v>6251</v>
      </c>
    </row>
    <row r="35" spans="2:3" x14ac:dyDescent="0.25">
      <c r="B35" t="s">
        <v>7904</v>
      </c>
      <c r="C35" t="s">
        <v>6254</v>
      </c>
    </row>
    <row r="36" spans="2:3" x14ac:dyDescent="0.25">
      <c r="B36" t="s">
        <v>7905</v>
      </c>
      <c r="C36" t="s">
        <v>6257</v>
      </c>
    </row>
    <row r="37" spans="2:3" x14ac:dyDescent="0.25">
      <c r="B37" t="s">
        <v>7907</v>
      </c>
      <c r="C37" t="s">
        <v>7906</v>
      </c>
    </row>
    <row r="38" spans="2:3" x14ac:dyDescent="0.25">
      <c r="B38" t="s">
        <v>7908</v>
      </c>
      <c r="C38" t="s">
        <v>6260</v>
      </c>
    </row>
    <row r="39" spans="2:3" x14ac:dyDescent="0.25">
      <c r="B39" t="s">
        <v>7910</v>
      </c>
      <c r="C39" t="s">
        <v>7909</v>
      </c>
    </row>
    <row r="40" spans="2:3" x14ac:dyDescent="0.25">
      <c r="B40" t="s">
        <v>7912</v>
      </c>
      <c r="C40" t="s">
        <v>7911</v>
      </c>
    </row>
    <row r="41" spans="2:3" x14ac:dyDescent="0.25">
      <c r="B41" t="s">
        <v>7913</v>
      </c>
      <c r="C41" t="s">
        <v>7911</v>
      </c>
    </row>
    <row r="42" spans="2:3" x14ac:dyDescent="0.25">
      <c r="B42" t="s">
        <v>7914</v>
      </c>
      <c r="C42" t="s">
        <v>7911</v>
      </c>
    </row>
    <row r="43" spans="2:3" x14ac:dyDescent="0.25">
      <c r="B43" t="s">
        <v>7916</v>
      </c>
      <c r="C43" t="s">
        <v>7915</v>
      </c>
    </row>
    <row r="44" spans="2:3" x14ac:dyDescent="0.25">
      <c r="B44" t="s">
        <v>7917</v>
      </c>
      <c r="C44" t="s">
        <v>7915</v>
      </c>
    </row>
    <row r="45" spans="2:3" x14ac:dyDescent="0.25">
      <c r="B45" t="s">
        <v>7919</v>
      </c>
      <c r="C45" t="s">
        <v>7918</v>
      </c>
    </row>
    <row r="46" spans="2:3" x14ac:dyDescent="0.25">
      <c r="B46" t="s">
        <v>7921</v>
      </c>
      <c r="C46" t="s">
        <v>7920</v>
      </c>
    </row>
    <row r="47" spans="2:3" x14ac:dyDescent="0.25">
      <c r="B47" t="s">
        <v>7922</v>
      </c>
      <c r="C47" t="s">
        <v>7920</v>
      </c>
    </row>
    <row r="48" spans="2:3" x14ac:dyDescent="0.25">
      <c r="B48" t="s">
        <v>7923</v>
      </c>
      <c r="C48" t="s">
        <v>7920</v>
      </c>
    </row>
    <row r="49" spans="2:3" x14ac:dyDescent="0.25">
      <c r="B49" t="s">
        <v>7925</v>
      </c>
      <c r="C49" t="s">
        <v>7924</v>
      </c>
    </row>
    <row r="50" spans="2:3" x14ac:dyDescent="0.25">
      <c r="B50" t="s">
        <v>7927</v>
      </c>
      <c r="C50" t="s">
        <v>7926</v>
      </c>
    </row>
    <row r="51" spans="2:3" x14ac:dyDescent="0.25">
      <c r="B51" t="s">
        <v>7928</v>
      </c>
      <c r="C51" t="s">
        <v>7926</v>
      </c>
    </row>
    <row r="52" spans="2:3" x14ac:dyDescent="0.25">
      <c r="B52" t="s">
        <v>7930</v>
      </c>
      <c r="C52" t="s">
        <v>7929</v>
      </c>
    </row>
    <row r="53" spans="2:3" x14ac:dyDescent="0.25">
      <c r="B53" t="s">
        <v>7932</v>
      </c>
      <c r="C53" t="s">
        <v>7931</v>
      </c>
    </row>
    <row r="54" spans="2:3" x14ac:dyDescent="0.25">
      <c r="B54" t="s">
        <v>7933</v>
      </c>
      <c r="C54" t="s">
        <v>3643</v>
      </c>
    </row>
    <row r="55" spans="2:3" x14ac:dyDescent="0.25">
      <c r="B55" t="s">
        <v>7935</v>
      </c>
      <c r="C55" t="s">
        <v>7934</v>
      </c>
    </row>
    <row r="56" spans="2:3" x14ac:dyDescent="0.25">
      <c r="B56" t="s">
        <v>7936</v>
      </c>
      <c r="C56" t="s">
        <v>7934</v>
      </c>
    </row>
    <row r="57" spans="2:3" x14ac:dyDescent="0.25">
      <c r="B57" t="s">
        <v>7937</v>
      </c>
      <c r="C57" t="s">
        <v>3099</v>
      </c>
    </row>
    <row r="58" spans="2:3" x14ac:dyDescent="0.25">
      <c r="B58" t="s">
        <v>7938</v>
      </c>
      <c r="C58" t="s">
        <v>2190</v>
      </c>
    </row>
    <row r="59" spans="2:3" x14ac:dyDescent="0.25">
      <c r="B59" t="s">
        <v>7940</v>
      </c>
      <c r="C59" t="s">
        <v>7939</v>
      </c>
    </row>
    <row r="60" spans="2:3" x14ac:dyDescent="0.25">
      <c r="B60" t="s">
        <v>7941</v>
      </c>
      <c r="C60" t="s">
        <v>2192</v>
      </c>
    </row>
    <row r="61" spans="2:3" x14ac:dyDescent="0.25">
      <c r="B61" t="s">
        <v>7942</v>
      </c>
      <c r="C61" t="s">
        <v>2192</v>
      </c>
    </row>
    <row r="62" spans="2:3" x14ac:dyDescent="0.25">
      <c r="B62" t="s">
        <v>7943</v>
      </c>
      <c r="C62" t="s">
        <v>2848</v>
      </c>
    </row>
    <row r="63" spans="2:3" x14ac:dyDescent="0.25">
      <c r="B63" t="s">
        <v>7944</v>
      </c>
      <c r="C63" t="s">
        <v>2848</v>
      </c>
    </row>
    <row r="64" spans="2:3" x14ac:dyDescent="0.25">
      <c r="B64" t="s">
        <v>7945</v>
      </c>
      <c r="C64" t="s">
        <v>2848</v>
      </c>
    </row>
    <row r="65" spans="2:3" x14ac:dyDescent="0.25">
      <c r="B65" t="s">
        <v>7946</v>
      </c>
      <c r="C65" t="s">
        <v>2848</v>
      </c>
    </row>
    <row r="66" spans="2:3" x14ac:dyDescent="0.25">
      <c r="B66" t="s">
        <v>7947</v>
      </c>
      <c r="C66" t="s">
        <v>2848</v>
      </c>
    </row>
    <row r="67" spans="2:3" x14ac:dyDescent="0.25">
      <c r="B67" t="s">
        <v>7948</v>
      </c>
      <c r="C67" t="s">
        <v>2848</v>
      </c>
    </row>
    <row r="68" spans="2:3" x14ac:dyDescent="0.25">
      <c r="B68" t="s">
        <v>7949</v>
      </c>
      <c r="C68" t="s">
        <v>2848</v>
      </c>
    </row>
    <row r="69" spans="2:3" x14ac:dyDescent="0.25">
      <c r="B69" t="s">
        <v>7950</v>
      </c>
      <c r="C69" t="s">
        <v>2848</v>
      </c>
    </row>
    <row r="70" spans="2:3" x14ac:dyDescent="0.25">
      <c r="B70" t="s">
        <v>7951</v>
      </c>
      <c r="C70" t="s">
        <v>2848</v>
      </c>
    </row>
    <row r="71" spans="2:3" x14ac:dyDescent="0.25">
      <c r="B71" t="s">
        <v>7952</v>
      </c>
      <c r="C71" t="s">
        <v>2848</v>
      </c>
    </row>
    <row r="72" spans="2:3" x14ac:dyDescent="0.25">
      <c r="B72" t="s">
        <v>7953</v>
      </c>
      <c r="C72" t="s">
        <v>2848</v>
      </c>
    </row>
    <row r="73" spans="2:3" x14ac:dyDescent="0.25">
      <c r="B73" t="s">
        <v>7954</v>
      </c>
      <c r="C73" t="s">
        <v>2848</v>
      </c>
    </row>
    <row r="74" spans="2:3" x14ac:dyDescent="0.25">
      <c r="B74" t="s">
        <v>7955</v>
      </c>
      <c r="C74" t="s">
        <v>2848</v>
      </c>
    </row>
    <row r="75" spans="2:3" x14ac:dyDescent="0.25">
      <c r="B75" t="s">
        <v>7956</v>
      </c>
      <c r="C75" t="s">
        <v>2848</v>
      </c>
    </row>
    <row r="76" spans="2:3" x14ac:dyDescent="0.25">
      <c r="B76" t="s">
        <v>7957</v>
      </c>
      <c r="C76" t="s">
        <v>2848</v>
      </c>
    </row>
    <row r="77" spans="2:3" x14ac:dyDescent="0.25">
      <c r="B77" t="s">
        <v>7958</v>
      </c>
      <c r="C77" t="s">
        <v>2848</v>
      </c>
    </row>
    <row r="78" spans="2:3" x14ac:dyDescent="0.25">
      <c r="B78" t="s">
        <v>7959</v>
      </c>
      <c r="C78" t="s">
        <v>2852</v>
      </c>
    </row>
    <row r="79" spans="2:3" x14ac:dyDescent="0.25">
      <c r="B79" t="s">
        <v>7960</v>
      </c>
      <c r="C79" t="s">
        <v>2852</v>
      </c>
    </row>
    <row r="80" spans="2:3" x14ac:dyDescent="0.25">
      <c r="B80" t="s">
        <v>7961</v>
      </c>
      <c r="C80" t="s">
        <v>2854</v>
      </c>
    </row>
    <row r="81" spans="2:3" x14ac:dyDescent="0.25">
      <c r="B81" t="s">
        <v>7962</v>
      </c>
      <c r="C81" t="s">
        <v>2856</v>
      </c>
    </row>
    <row r="82" spans="2:3" x14ac:dyDescent="0.25">
      <c r="B82" t="s">
        <v>7963</v>
      </c>
      <c r="C82" t="s">
        <v>2858</v>
      </c>
    </row>
    <row r="83" spans="2:3" x14ac:dyDescent="0.25">
      <c r="B83" t="s">
        <v>7964</v>
      </c>
      <c r="C83" t="s">
        <v>2858</v>
      </c>
    </row>
    <row r="84" spans="2:3" x14ac:dyDescent="0.25">
      <c r="B84" t="s">
        <v>7965</v>
      </c>
      <c r="C84" t="s">
        <v>2858</v>
      </c>
    </row>
    <row r="85" spans="2:3" x14ac:dyDescent="0.25">
      <c r="B85" t="s">
        <v>7966</v>
      </c>
      <c r="C85" t="s">
        <v>2862</v>
      </c>
    </row>
    <row r="86" spans="2:3" x14ac:dyDescent="0.25">
      <c r="B86" t="s">
        <v>7967</v>
      </c>
      <c r="C86" t="s">
        <v>2862</v>
      </c>
    </row>
    <row r="87" spans="2:3" x14ac:dyDescent="0.25">
      <c r="B87" t="s">
        <v>7968</v>
      </c>
      <c r="C87" t="s">
        <v>2864</v>
      </c>
    </row>
    <row r="88" spans="2:3" x14ac:dyDescent="0.25">
      <c r="B88" t="s">
        <v>7969</v>
      </c>
      <c r="C88" t="s">
        <v>2864</v>
      </c>
    </row>
    <row r="89" spans="2:3" x14ac:dyDescent="0.25">
      <c r="B89" t="s">
        <v>7970</v>
      </c>
      <c r="C89" t="s">
        <v>2864</v>
      </c>
    </row>
    <row r="90" spans="2:3" x14ac:dyDescent="0.25">
      <c r="B90" t="s">
        <v>7971</v>
      </c>
      <c r="C90" t="s">
        <v>4353</v>
      </c>
    </row>
    <row r="91" spans="2:3" x14ac:dyDescent="0.25">
      <c r="B91" t="s">
        <v>7972</v>
      </c>
      <c r="C91" t="s">
        <v>4353</v>
      </c>
    </row>
    <row r="92" spans="2:3" x14ac:dyDescent="0.25">
      <c r="B92" t="s">
        <v>7973</v>
      </c>
      <c r="C92" t="s">
        <v>4353</v>
      </c>
    </row>
    <row r="93" spans="2:3" x14ac:dyDescent="0.25">
      <c r="B93" t="s">
        <v>7974</v>
      </c>
      <c r="C93" t="s">
        <v>4353</v>
      </c>
    </row>
    <row r="94" spans="2:3" x14ac:dyDescent="0.25">
      <c r="B94" t="s">
        <v>7975</v>
      </c>
      <c r="C94" t="s">
        <v>4353</v>
      </c>
    </row>
    <row r="95" spans="2:3" x14ac:dyDescent="0.25">
      <c r="B95" t="s">
        <v>7976</v>
      </c>
      <c r="C95" t="s">
        <v>4359</v>
      </c>
    </row>
    <row r="96" spans="2:3" x14ac:dyDescent="0.25">
      <c r="B96" t="s">
        <v>7977</v>
      </c>
      <c r="C96" t="s">
        <v>5844</v>
      </c>
    </row>
    <row r="97" spans="2:3" x14ac:dyDescent="0.25">
      <c r="B97" t="s">
        <v>7978</v>
      </c>
      <c r="C97" t="s">
        <v>5327</v>
      </c>
    </row>
    <row r="98" spans="2:3" x14ac:dyDescent="0.25">
      <c r="B98" t="s">
        <v>7979</v>
      </c>
      <c r="C98" t="s">
        <v>5858</v>
      </c>
    </row>
    <row r="99" spans="2:3" x14ac:dyDescent="0.25">
      <c r="B99" t="s">
        <v>7980</v>
      </c>
      <c r="C99" t="s">
        <v>5858</v>
      </c>
    </row>
    <row r="100" spans="2:3" x14ac:dyDescent="0.25">
      <c r="B100" t="s">
        <v>7981</v>
      </c>
      <c r="C100" t="s">
        <v>5869</v>
      </c>
    </row>
    <row r="101" spans="2:3" x14ac:dyDescent="0.25">
      <c r="B101" t="s">
        <v>7982</v>
      </c>
      <c r="C101" t="s">
        <v>4242</v>
      </c>
    </row>
    <row r="102" spans="2:3" x14ac:dyDescent="0.25">
      <c r="B102" t="s">
        <v>7983</v>
      </c>
      <c r="C102" t="s">
        <v>4242</v>
      </c>
    </row>
    <row r="103" spans="2:3" x14ac:dyDescent="0.25">
      <c r="B103" t="s">
        <v>7984</v>
      </c>
      <c r="C103" t="s">
        <v>4242</v>
      </c>
    </row>
    <row r="104" spans="2:3" x14ac:dyDescent="0.25">
      <c r="B104" t="s">
        <v>7985</v>
      </c>
      <c r="C104" t="s">
        <v>5351</v>
      </c>
    </row>
    <row r="105" spans="2:3" x14ac:dyDescent="0.25">
      <c r="B105" t="s">
        <v>7986</v>
      </c>
      <c r="C105" t="s">
        <v>5355</v>
      </c>
    </row>
    <row r="106" spans="2:3" x14ac:dyDescent="0.25">
      <c r="B106" t="s">
        <v>7987</v>
      </c>
      <c r="C106" t="s">
        <v>5350</v>
      </c>
    </row>
    <row r="107" spans="2:3" x14ac:dyDescent="0.25">
      <c r="B107" t="s">
        <v>7988</v>
      </c>
      <c r="C107" t="s">
        <v>5877</v>
      </c>
    </row>
    <row r="108" spans="2:3" x14ac:dyDescent="0.25">
      <c r="B108" t="s">
        <v>7989</v>
      </c>
      <c r="C108" t="s">
        <v>5890</v>
      </c>
    </row>
    <row r="109" spans="2:3" x14ac:dyDescent="0.25">
      <c r="B109" t="s">
        <v>7990</v>
      </c>
      <c r="C109" t="s">
        <v>5894</v>
      </c>
    </row>
    <row r="110" spans="2:3" x14ac:dyDescent="0.25">
      <c r="B110" t="s">
        <v>7991</v>
      </c>
      <c r="C110" t="s">
        <v>5222</v>
      </c>
    </row>
    <row r="111" spans="2:3" x14ac:dyDescent="0.25">
      <c r="B111" t="s">
        <v>7992</v>
      </c>
      <c r="C111" t="s">
        <v>5222</v>
      </c>
    </row>
    <row r="112" spans="2:3" x14ac:dyDescent="0.25">
      <c r="B112" t="s">
        <v>7993</v>
      </c>
      <c r="C112" t="s">
        <v>4762</v>
      </c>
    </row>
    <row r="113" spans="2:3" x14ac:dyDescent="0.25">
      <c r="B113" t="s">
        <v>7994</v>
      </c>
      <c r="C113" t="s">
        <v>4762</v>
      </c>
    </row>
    <row r="114" spans="2:3" x14ac:dyDescent="0.25">
      <c r="B114" t="s">
        <v>7995</v>
      </c>
      <c r="C114" t="s">
        <v>4762</v>
      </c>
    </row>
    <row r="115" spans="2:3" x14ac:dyDescent="0.25">
      <c r="B115" t="s">
        <v>7996</v>
      </c>
      <c r="C115" t="s">
        <v>4762</v>
      </c>
    </row>
    <row r="116" spans="2:3" x14ac:dyDescent="0.25">
      <c r="B116" t="s">
        <v>7998</v>
      </c>
      <c r="C116" t="s">
        <v>7997</v>
      </c>
    </row>
    <row r="117" spans="2:3" x14ac:dyDescent="0.25">
      <c r="B117" t="s">
        <v>7999</v>
      </c>
      <c r="C117" t="s">
        <v>7997</v>
      </c>
    </row>
    <row r="118" spans="2:3" x14ac:dyDescent="0.25">
      <c r="B118" t="s">
        <v>8000</v>
      </c>
      <c r="C118" t="s">
        <v>3215</v>
      </c>
    </row>
    <row r="119" spans="2:3" x14ac:dyDescent="0.25">
      <c r="B119" t="s">
        <v>8001</v>
      </c>
      <c r="C119" t="s">
        <v>4769</v>
      </c>
    </row>
    <row r="120" spans="2:3" x14ac:dyDescent="0.25">
      <c r="B120" t="s">
        <v>8002</v>
      </c>
      <c r="C120" t="s">
        <v>4531</v>
      </c>
    </row>
    <row r="121" spans="2:3" x14ac:dyDescent="0.25">
      <c r="B121" t="s">
        <v>8003</v>
      </c>
      <c r="C121" t="s">
        <v>4531</v>
      </c>
    </row>
    <row r="122" spans="2:3" x14ac:dyDescent="0.25">
      <c r="B122" t="s">
        <v>8004</v>
      </c>
      <c r="C122" t="s">
        <v>4547</v>
      </c>
    </row>
    <row r="123" spans="2:3" x14ac:dyDescent="0.25">
      <c r="B123" t="s">
        <v>8006</v>
      </c>
      <c r="C123" t="s">
        <v>8005</v>
      </c>
    </row>
    <row r="124" spans="2:3" x14ac:dyDescent="0.25">
      <c r="B124" t="s">
        <v>8008</v>
      </c>
      <c r="C124" t="s">
        <v>8007</v>
      </c>
    </row>
    <row r="125" spans="2:3" x14ac:dyDescent="0.25">
      <c r="B125" t="s">
        <v>8010</v>
      </c>
      <c r="C125" t="s">
        <v>8009</v>
      </c>
    </row>
    <row r="126" spans="2:3" x14ac:dyDescent="0.25">
      <c r="B126" t="s">
        <v>8012</v>
      </c>
      <c r="C126" t="s">
        <v>8011</v>
      </c>
    </row>
    <row r="127" spans="2:3" x14ac:dyDescent="0.25">
      <c r="B127" t="s">
        <v>8013</v>
      </c>
      <c r="C127" t="s">
        <v>3163</v>
      </c>
    </row>
    <row r="128" spans="2:3" x14ac:dyDescent="0.25">
      <c r="B128" t="s">
        <v>8014</v>
      </c>
      <c r="C128" t="s">
        <v>3163</v>
      </c>
    </row>
    <row r="129" spans="2:3" x14ac:dyDescent="0.25">
      <c r="B129" t="s">
        <v>8015</v>
      </c>
      <c r="C129" t="s">
        <v>3163</v>
      </c>
    </row>
    <row r="130" spans="2:3" x14ac:dyDescent="0.25">
      <c r="B130" t="s">
        <v>8016</v>
      </c>
      <c r="C130" t="s">
        <v>3163</v>
      </c>
    </row>
    <row r="131" spans="2:3" x14ac:dyDescent="0.25">
      <c r="B131" t="s">
        <v>8017</v>
      </c>
      <c r="C131" t="s">
        <v>5912</v>
      </c>
    </row>
    <row r="132" spans="2:3" x14ac:dyDescent="0.25">
      <c r="B132" t="s">
        <v>8018</v>
      </c>
      <c r="C132" t="s">
        <v>2736</v>
      </c>
    </row>
    <row r="133" spans="2:3" x14ac:dyDescent="0.25">
      <c r="B133" t="s">
        <v>8019</v>
      </c>
      <c r="C133" t="s">
        <v>2740</v>
      </c>
    </row>
    <row r="134" spans="2:3" x14ac:dyDescent="0.25">
      <c r="B134" t="s">
        <v>8020</v>
      </c>
      <c r="C134" t="s">
        <v>2740</v>
      </c>
    </row>
    <row r="135" spans="2:3" x14ac:dyDescent="0.25">
      <c r="B135" t="s">
        <v>8021</v>
      </c>
      <c r="C135" t="s">
        <v>2740</v>
      </c>
    </row>
    <row r="136" spans="2:3" x14ac:dyDescent="0.25">
      <c r="B136" t="s">
        <v>8022</v>
      </c>
      <c r="C136" t="s">
        <v>4618</v>
      </c>
    </row>
    <row r="137" spans="2:3" x14ac:dyDescent="0.25">
      <c r="B137" t="s">
        <v>8023</v>
      </c>
      <c r="C137" t="s">
        <v>4932</v>
      </c>
    </row>
    <row r="138" spans="2:3" x14ac:dyDescent="0.25">
      <c r="B138" t="s">
        <v>8025</v>
      </c>
      <c r="C138" t="s">
        <v>8024</v>
      </c>
    </row>
    <row r="139" spans="2:3" x14ac:dyDescent="0.25">
      <c r="B139" t="s">
        <v>8026</v>
      </c>
      <c r="C139" t="s">
        <v>2738</v>
      </c>
    </row>
    <row r="140" spans="2:3" x14ac:dyDescent="0.25">
      <c r="B140" t="s">
        <v>8027</v>
      </c>
      <c r="C140" t="s">
        <v>2518</v>
      </c>
    </row>
    <row r="141" spans="2:3" x14ac:dyDescent="0.25">
      <c r="B141" t="s">
        <v>8028</v>
      </c>
      <c r="C141" t="s">
        <v>2732</v>
      </c>
    </row>
    <row r="142" spans="2:3" x14ac:dyDescent="0.25">
      <c r="B142" t="s">
        <v>8029</v>
      </c>
      <c r="C142" t="s">
        <v>2423</v>
      </c>
    </row>
    <row r="143" spans="2:3" x14ac:dyDescent="0.25">
      <c r="B143" t="s">
        <v>8030</v>
      </c>
      <c r="C143" t="s">
        <v>2427</v>
      </c>
    </row>
    <row r="144" spans="2:3" x14ac:dyDescent="0.25">
      <c r="B144" t="s">
        <v>8031</v>
      </c>
      <c r="C144" t="s">
        <v>3157</v>
      </c>
    </row>
    <row r="145" spans="2:3" x14ac:dyDescent="0.25">
      <c r="B145" t="s">
        <v>8032</v>
      </c>
      <c r="C145" t="s">
        <v>1639</v>
      </c>
    </row>
    <row r="146" spans="2:3" x14ac:dyDescent="0.25">
      <c r="B146" t="s">
        <v>8033</v>
      </c>
      <c r="C146" t="s">
        <v>3210</v>
      </c>
    </row>
    <row r="147" spans="2:3" x14ac:dyDescent="0.25">
      <c r="B147" t="s">
        <v>8034</v>
      </c>
      <c r="C147" t="s">
        <v>3210</v>
      </c>
    </row>
    <row r="148" spans="2:3" x14ac:dyDescent="0.25">
      <c r="B148" t="s">
        <v>8035</v>
      </c>
      <c r="C148" t="s">
        <v>3210</v>
      </c>
    </row>
    <row r="149" spans="2:3" x14ac:dyDescent="0.25">
      <c r="B149" t="s">
        <v>8036</v>
      </c>
      <c r="C149" t="s">
        <v>3210</v>
      </c>
    </row>
    <row r="150" spans="2:3" x14ac:dyDescent="0.25">
      <c r="B150" t="s">
        <v>8037</v>
      </c>
      <c r="C150" t="s">
        <v>3210</v>
      </c>
    </row>
    <row r="151" spans="2:3" x14ac:dyDescent="0.25">
      <c r="B151" t="s">
        <v>8038</v>
      </c>
      <c r="C151" t="s">
        <v>3210</v>
      </c>
    </row>
    <row r="152" spans="2:3" x14ac:dyDescent="0.25">
      <c r="B152" t="s">
        <v>8039</v>
      </c>
      <c r="C152" t="s">
        <v>3210</v>
      </c>
    </row>
    <row r="153" spans="2:3" x14ac:dyDescent="0.25">
      <c r="B153" t="s">
        <v>8040</v>
      </c>
      <c r="C153" t="s">
        <v>3210</v>
      </c>
    </row>
    <row r="154" spans="2:3" x14ac:dyDescent="0.25">
      <c r="B154" t="s">
        <v>8041</v>
      </c>
      <c r="C154" t="s">
        <v>3210</v>
      </c>
    </row>
    <row r="155" spans="2:3" x14ac:dyDescent="0.25">
      <c r="B155" t="s">
        <v>8042</v>
      </c>
      <c r="C155" t="s">
        <v>3210</v>
      </c>
    </row>
    <row r="156" spans="2:3" x14ac:dyDescent="0.25">
      <c r="B156" t="s">
        <v>8043</v>
      </c>
      <c r="C156" t="s">
        <v>3210</v>
      </c>
    </row>
    <row r="157" spans="2:3" x14ac:dyDescent="0.25">
      <c r="B157" t="s">
        <v>8044</v>
      </c>
      <c r="C157" t="s">
        <v>3210</v>
      </c>
    </row>
    <row r="158" spans="2:3" x14ac:dyDescent="0.25">
      <c r="B158" t="s">
        <v>8045</v>
      </c>
      <c r="C158" t="s">
        <v>3210</v>
      </c>
    </row>
    <row r="159" spans="2:3" x14ac:dyDescent="0.25">
      <c r="B159" t="s">
        <v>8046</v>
      </c>
      <c r="C159" t="s">
        <v>3165</v>
      </c>
    </row>
    <row r="160" spans="2:3" x14ac:dyDescent="0.25">
      <c r="B160" t="s">
        <v>8048</v>
      </c>
      <c r="C160" t="s">
        <v>8047</v>
      </c>
    </row>
    <row r="161" spans="2:3" x14ac:dyDescent="0.25">
      <c r="B161" t="s">
        <v>8049</v>
      </c>
      <c r="C161" t="s">
        <v>8047</v>
      </c>
    </row>
    <row r="162" spans="2:3" x14ac:dyDescent="0.25">
      <c r="B162" t="s">
        <v>8050</v>
      </c>
      <c r="C162" t="s">
        <v>8047</v>
      </c>
    </row>
    <row r="163" spans="2:3" x14ac:dyDescent="0.25">
      <c r="B163" t="s">
        <v>8052</v>
      </c>
      <c r="C163" t="s">
        <v>8051</v>
      </c>
    </row>
    <row r="164" spans="2:3" x14ac:dyDescent="0.25">
      <c r="B164" t="s">
        <v>8053</v>
      </c>
      <c r="C164" t="s">
        <v>5309</v>
      </c>
    </row>
    <row r="165" spans="2:3" x14ac:dyDescent="0.25">
      <c r="B165" t="s">
        <v>8054</v>
      </c>
      <c r="C165" t="s">
        <v>5313</v>
      </c>
    </row>
    <row r="166" spans="2:3" x14ac:dyDescent="0.25">
      <c r="B166" t="s">
        <v>8055</v>
      </c>
      <c r="C166" t="s">
        <v>4851</v>
      </c>
    </row>
    <row r="167" spans="2:3" x14ac:dyDescent="0.25">
      <c r="B167" t="s">
        <v>8056</v>
      </c>
      <c r="C167" t="s">
        <v>3211</v>
      </c>
    </row>
    <row r="168" spans="2:3" x14ac:dyDescent="0.25">
      <c r="B168" t="s">
        <v>8057</v>
      </c>
      <c r="C168" t="s">
        <v>3211</v>
      </c>
    </row>
    <row r="169" spans="2:3" x14ac:dyDescent="0.25">
      <c r="B169" t="s">
        <v>8058</v>
      </c>
      <c r="C169" t="s">
        <v>2439</v>
      </c>
    </row>
    <row r="170" spans="2:3" x14ac:dyDescent="0.25">
      <c r="B170" t="s">
        <v>8059</v>
      </c>
      <c r="C170" t="s">
        <v>2439</v>
      </c>
    </row>
    <row r="171" spans="2:3" x14ac:dyDescent="0.25">
      <c r="B171" t="s">
        <v>8060</v>
      </c>
      <c r="C171" t="s">
        <v>2439</v>
      </c>
    </row>
    <row r="172" spans="2:3" x14ac:dyDescent="0.25">
      <c r="B172" t="s">
        <v>8061</v>
      </c>
      <c r="C172" t="s">
        <v>2439</v>
      </c>
    </row>
    <row r="173" spans="2:3" x14ac:dyDescent="0.25">
      <c r="B173" t="s">
        <v>8062</v>
      </c>
      <c r="C173" t="s">
        <v>2439</v>
      </c>
    </row>
    <row r="174" spans="2:3" x14ac:dyDescent="0.25">
      <c r="B174" t="s">
        <v>8063</v>
      </c>
      <c r="C174" t="s">
        <v>2439</v>
      </c>
    </row>
    <row r="175" spans="2:3" x14ac:dyDescent="0.25">
      <c r="B175" t="s">
        <v>8064</v>
      </c>
      <c r="C175" t="s">
        <v>2439</v>
      </c>
    </row>
    <row r="176" spans="2:3" x14ac:dyDescent="0.25">
      <c r="B176" t="s">
        <v>8065</v>
      </c>
      <c r="C176" t="s">
        <v>2439</v>
      </c>
    </row>
    <row r="177" spans="2:3" x14ac:dyDescent="0.25">
      <c r="B177" t="s">
        <v>8066</v>
      </c>
      <c r="C177" t="s">
        <v>2439</v>
      </c>
    </row>
    <row r="178" spans="2:3" x14ac:dyDescent="0.25">
      <c r="B178" t="s">
        <v>8067</v>
      </c>
      <c r="C178" t="s">
        <v>2439</v>
      </c>
    </row>
    <row r="179" spans="2:3" x14ac:dyDescent="0.25">
      <c r="B179" t="s">
        <v>8068</v>
      </c>
      <c r="C179" t="s">
        <v>2439</v>
      </c>
    </row>
    <row r="180" spans="2:3" x14ac:dyDescent="0.25">
      <c r="B180" t="s">
        <v>8069</v>
      </c>
      <c r="C180" t="s">
        <v>2439</v>
      </c>
    </row>
    <row r="181" spans="2:3" x14ac:dyDescent="0.25">
      <c r="B181" t="s">
        <v>8070</v>
      </c>
      <c r="C181" t="s">
        <v>2439</v>
      </c>
    </row>
    <row r="182" spans="2:3" x14ac:dyDescent="0.25">
      <c r="B182" t="s">
        <v>8071</v>
      </c>
      <c r="C182" t="s">
        <v>2439</v>
      </c>
    </row>
    <row r="183" spans="2:3" x14ac:dyDescent="0.25">
      <c r="B183" t="s">
        <v>8072</v>
      </c>
      <c r="C183" t="s">
        <v>2439</v>
      </c>
    </row>
    <row r="184" spans="2:3" x14ac:dyDescent="0.25">
      <c r="B184" t="s">
        <v>8073</v>
      </c>
      <c r="C184" t="s">
        <v>2439</v>
      </c>
    </row>
    <row r="185" spans="2:3" x14ac:dyDescent="0.25">
      <c r="B185" t="s">
        <v>8074</v>
      </c>
      <c r="C185" t="s">
        <v>2439</v>
      </c>
    </row>
    <row r="186" spans="2:3" x14ac:dyDescent="0.25">
      <c r="B186" t="s">
        <v>8075</v>
      </c>
      <c r="C186" t="s">
        <v>2439</v>
      </c>
    </row>
    <row r="187" spans="2:3" x14ac:dyDescent="0.25">
      <c r="B187" t="s">
        <v>8076</v>
      </c>
      <c r="C187" t="s">
        <v>2439</v>
      </c>
    </row>
    <row r="188" spans="2:3" x14ac:dyDescent="0.25">
      <c r="B188" t="s">
        <v>8077</v>
      </c>
      <c r="C188" t="s">
        <v>2439</v>
      </c>
    </row>
    <row r="189" spans="2:3" x14ac:dyDescent="0.25">
      <c r="B189" t="s">
        <v>8078</v>
      </c>
      <c r="C189" t="s">
        <v>2439</v>
      </c>
    </row>
    <row r="190" spans="2:3" x14ac:dyDescent="0.25">
      <c r="B190" t="s">
        <v>8079</v>
      </c>
      <c r="C190" t="s">
        <v>2439</v>
      </c>
    </row>
    <row r="191" spans="2:3" x14ac:dyDescent="0.25">
      <c r="B191" t="s">
        <v>8080</v>
      </c>
      <c r="C191" t="s">
        <v>2439</v>
      </c>
    </row>
    <row r="192" spans="2:3" x14ac:dyDescent="0.25">
      <c r="B192" t="s">
        <v>8081</v>
      </c>
      <c r="C192" t="s">
        <v>2439</v>
      </c>
    </row>
    <row r="193" spans="2:3" x14ac:dyDescent="0.25">
      <c r="B193" t="s">
        <v>8082</v>
      </c>
      <c r="C193" t="s">
        <v>2609</v>
      </c>
    </row>
    <row r="194" spans="2:3" x14ac:dyDescent="0.25">
      <c r="B194" t="s">
        <v>8083</v>
      </c>
      <c r="C194" t="s">
        <v>2613</v>
      </c>
    </row>
    <row r="195" spans="2:3" x14ac:dyDescent="0.25">
      <c r="B195" t="s">
        <v>8084</v>
      </c>
      <c r="C195" t="s">
        <v>2613</v>
      </c>
    </row>
    <row r="196" spans="2:3" x14ac:dyDescent="0.25">
      <c r="B196" t="s">
        <v>8085</v>
      </c>
      <c r="C196" t="s">
        <v>2613</v>
      </c>
    </row>
    <row r="197" spans="2:3" x14ac:dyDescent="0.25">
      <c r="B197" t="s">
        <v>8086</v>
      </c>
      <c r="C197" t="s">
        <v>2613</v>
      </c>
    </row>
    <row r="198" spans="2:3" x14ac:dyDescent="0.25">
      <c r="B198" t="s">
        <v>8087</v>
      </c>
      <c r="C198" t="s">
        <v>2613</v>
      </c>
    </row>
    <row r="199" spans="2:3" x14ac:dyDescent="0.25">
      <c r="B199" t="s">
        <v>8088</v>
      </c>
      <c r="C199" t="s">
        <v>2613</v>
      </c>
    </row>
    <row r="200" spans="2:3" x14ac:dyDescent="0.25">
      <c r="B200" t="s">
        <v>8089</v>
      </c>
      <c r="C200" t="s">
        <v>2613</v>
      </c>
    </row>
    <row r="201" spans="2:3" x14ac:dyDescent="0.25">
      <c r="B201" t="s">
        <v>8090</v>
      </c>
      <c r="C201" t="s">
        <v>2613</v>
      </c>
    </row>
    <row r="202" spans="2:3" x14ac:dyDescent="0.25">
      <c r="B202" t="s">
        <v>8091</v>
      </c>
      <c r="C202" t="s">
        <v>2613</v>
      </c>
    </row>
    <row r="203" spans="2:3" x14ac:dyDescent="0.25">
      <c r="B203" t="s">
        <v>8092</v>
      </c>
      <c r="C203" t="s">
        <v>2613</v>
      </c>
    </row>
    <row r="204" spans="2:3" x14ac:dyDescent="0.25">
      <c r="B204" t="s">
        <v>8093</v>
      </c>
      <c r="C204" t="s">
        <v>2613</v>
      </c>
    </row>
    <row r="205" spans="2:3" x14ac:dyDescent="0.25">
      <c r="B205" t="s">
        <v>8094</v>
      </c>
      <c r="C205" t="s">
        <v>2615</v>
      </c>
    </row>
    <row r="206" spans="2:3" x14ac:dyDescent="0.25">
      <c r="B206" t="s">
        <v>8095</v>
      </c>
      <c r="C206" t="s">
        <v>2615</v>
      </c>
    </row>
    <row r="207" spans="2:3" x14ac:dyDescent="0.25">
      <c r="B207" t="s">
        <v>8096</v>
      </c>
      <c r="C207" t="s">
        <v>2615</v>
      </c>
    </row>
    <row r="208" spans="2:3" x14ac:dyDescent="0.25">
      <c r="B208" t="s">
        <v>8097</v>
      </c>
      <c r="C208" t="s">
        <v>2615</v>
      </c>
    </row>
    <row r="209" spans="2:3" x14ac:dyDescent="0.25">
      <c r="B209" t="s">
        <v>8098</v>
      </c>
      <c r="C209" t="s">
        <v>2615</v>
      </c>
    </row>
    <row r="210" spans="2:3" x14ac:dyDescent="0.25">
      <c r="B210" t="s">
        <v>8099</v>
      </c>
      <c r="C210" t="s">
        <v>2615</v>
      </c>
    </row>
    <row r="211" spans="2:3" x14ac:dyDescent="0.25">
      <c r="B211" t="s">
        <v>8100</v>
      </c>
      <c r="C211" t="s">
        <v>2615</v>
      </c>
    </row>
    <row r="212" spans="2:3" x14ac:dyDescent="0.25">
      <c r="B212" t="s">
        <v>8101</v>
      </c>
      <c r="C212" t="s">
        <v>2615</v>
      </c>
    </row>
    <row r="213" spans="2:3" x14ac:dyDescent="0.25">
      <c r="B213" t="s">
        <v>8102</v>
      </c>
      <c r="C213" t="s">
        <v>2615</v>
      </c>
    </row>
    <row r="214" spans="2:3" x14ac:dyDescent="0.25">
      <c r="B214" t="s">
        <v>8103</v>
      </c>
      <c r="C214" t="s">
        <v>2615</v>
      </c>
    </row>
    <row r="215" spans="2:3" x14ac:dyDescent="0.25">
      <c r="B215" t="s">
        <v>8104</v>
      </c>
      <c r="C215" t="s">
        <v>2615</v>
      </c>
    </row>
    <row r="216" spans="2:3" x14ac:dyDescent="0.25">
      <c r="B216" t="s">
        <v>8105</v>
      </c>
      <c r="C216" t="s">
        <v>2615</v>
      </c>
    </row>
    <row r="217" spans="2:3" x14ac:dyDescent="0.25">
      <c r="B217" t="s">
        <v>8106</v>
      </c>
      <c r="C217" t="s">
        <v>2615</v>
      </c>
    </row>
    <row r="218" spans="2:3" x14ac:dyDescent="0.25">
      <c r="B218" t="s">
        <v>8107</v>
      </c>
      <c r="C218" t="s">
        <v>2615</v>
      </c>
    </row>
    <row r="219" spans="2:3" x14ac:dyDescent="0.25">
      <c r="B219" t="s">
        <v>8108</v>
      </c>
      <c r="C219" t="s">
        <v>2615</v>
      </c>
    </row>
    <row r="220" spans="2:3" x14ac:dyDescent="0.25">
      <c r="B220" t="s">
        <v>8109</v>
      </c>
      <c r="C220" t="s">
        <v>2615</v>
      </c>
    </row>
    <row r="221" spans="2:3" x14ac:dyDescent="0.25">
      <c r="B221" t="s">
        <v>8110</v>
      </c>
      <c r="C221" t="s">
        <v>2615</v>
      </c>
    </row>
    <row r="222" spans="2:3" x14ac:dyDescent="0.25">
      <c r="B222" t="s">
        <v>8111</v>
      </c>
      <c r="C222" t="s">
        <v>2615</v>
      </c>
    </row>
    <row r="223" spans="2:3" x14ac:dyDescent="0.25">
      <c r="B223" t="s">
        <v>8112</v>
      </c>
      <c r="C223" t="s">
        <v>2615</v>
      </c>
    </row>
    <row r="224" spans="2:3" x14ac:dyDescent="0.25">
      <c r="B224" t="s">
        <v>8113</v>
      </c>
      <c r="C224" t="s">
        <v>2615</v>
      </c>
    </row>
    <row r="225" spans="2:3" x14ac:dyDescent="0.25">
      <c r="B225" t="s">
        <v>8114</v>
      </c>
      <c r="C225" t="s">
        <v>2617</v>
      </c>
    </row>
    <row r="226" spans="2:3" x14ac:dyDescent="0.25">
      <c r="B226" t="s">
        <v>8115</v>
      </c>
      <c r="C226" t="s">
        <v>2617</v>
      </c>
    </row>
    <row r="227" spans="2:3" x14ac:dyDescent="0.25">
      <c r="B227" t="s">
        <v>8116</v>
      </c>
      <c r="C227" t="s">
        <v>2617</v>
      </c>
    </row>
    <row r="228" spans="2:3" x14ac:dyDescent="0.25">
      <c r="B228" t="s">
        <v>8117</v>
      </c>
      <c r="C228" t="s">
        <v>2617</v>
      </c>
    </row>
    <row r="229" spans="2:3" x14ac:dyDescent="0.25">
      <c r="B229" t="s">
        <v>8118</v>
      </c>
      <c r="C229" t="s">
        <v>2617</v>
      </c>
    </row>
    <row r="230" spans="2:3" x14ac:dyDescent="0.25">
      <c r="B230" t="s">
        <v>8119</v>
      </c>
      <c r="C230" t="s">
        <v>2617</v>
      </c>
    </row>
    <row r="231" spans="2:3" x14ac:dyDescent="0.25">
      <c r="B231" t="s">
        <v>8120</v>
      </c>
      <c r="C231" t="s">
        <v>2617</v>
      </c>
    </row>
    <row r="232" spans="2:3" x14ac:dyDescent="0.25">
      <c r="B232" t="s">
        <v>8121</v>
      </c>
      <c r="C232" t="s">
        <v>2617</v>
      </c>
    </row>
    <row r="233" spans="2:3" x14ac:dyDescent="0.25">
      <c r="B233" t="s">
        <v>8122</v>
      </c>
      <c r="C233" t="s">
        <v>2621</v>
      </c>
    </row>
    <row r="234" spans="2:3" x14ac:dyDescent="0.25">
      <c r="B234" t="s">
        <v>8123</v>
      </c>
      <c r="C234" t="s">
        <v>2621</v>
      </c>
    </row>
    <row r="235" spans="2:3" x14ac:dyDescent="0.25">
      <c r="B235" t="s">
        <v>8124</v>
      </c>
      <c r="C235" t="s">
        <v>2621</v>
      </c>
    </row>
    <row r="236" spans="2:3" x14ac:dyDescent="0.25">
      <c r="B236" t="s">
        <v>8125</v>
      </c>
      <c r="C236" t="s">
        <v>2621</v>
      </c>
    </row>
    <row r="237" spans="2:3" x14ac:dyDescent="0.25">
      <c r="B237" t="s">
        <v>8126</v>
      </c>
      <c r="C237" t="s">
        <v>2621</v>
      </c>
    </row>
    <row r="238" spans="2:3" x14ac:dyDescent="0.25">
      <c r="B238" t="s">
        <v>8127</v>
      </c>
      <c r="C238" t="s">
        <v>2621</v>
      </c>
    </row>
    <row r="239" spans="2:3" x14ac:dyDescent="0.25">
      <c r="B239" t="s">
        <v>8128</v>
      </c>
      <c r="C239" t="s">
        <v>2621</v>
      </c>
    </row>
    <row r="240" spans="2:3" x14ac:dyDescent="0.25">
      <c r="B240" t="s">
        <v>8129</v>
      </c>
      <c r="C240" t="s">
        <v>4630</v>
      </c>
    </row>
    <row r="241" spans="2:3" x14ac:dyDescent="0.25">
      <c r="B241" t="s">
        <v>8130</v>
      </c>
      <c r="C241" t="s">
        <v>4630</v>
      </c>
    </row>
    <row r="242" spans="2:3" x14ac:dyDescent="0.25">
      <c r="B242" t="s">
        <v>8131</v>
      </c>
      <c r="C242" t="s">
        <v>4630</v>
      </c>
    </row>
    <row r="243" spans="2:3" x14ac:dyDescent="0.25">
      <c r="B243" t="s">
        <v>8132</v>
      </c>
      <c r="C243" t="s">
        <v>4630</v>
      </c>
    </row>
    <row r="244" spans="2:3" x14ac:dyDescent="0.25">
      <c r="B244" t="s">
        <v>8133</v>
      </c>
      <c r="C244" t="s">
        <v>4630</v>
      </c>
    </row>
    <row r="245" spans="2:3" x14ac:dyDescent="0.25">
      <c r="B245" t="s">
        <v>8134</v>
      </c>
      <c r="C245" t="s">
        <v>4630</v>
      </c>
    </row>
    <row r="246" spans="2:3" x14ac:dyDescent="0.25">
      <c r="B246" t="s">
        <v>8135</v>
      </c>
      <c r="C246" t="s">
        <v>4630</v>
      </c>
    </row>
    <row r="247" spans="2:3" x14ac:dyDescent="0.25">
      <c r="B247" t="s">
        <v>8136</v>
      </c>
      <c r="C247" t="s">
        <v>4630</v>
      </c>
    </row>
    <row r="248" spans="2:3" x14ac:dyDescent="0.25">
      <c r="B248" t="s">
        <v>8137</v>
      </c>
      <c r="C248" t="s">
        <v>4630</v>
      </c>
    </row>
    <row r="249" spans="2:3" x14ac:dyDescent="0.25">
      <c r="B249" t="s">
        <v>8138</v>
      </c>
      <c r="C249" t="s">
        <v>4630</v>
      </c>
    </row>
    <row r="250" spans="2:3" x14ac:dyDescent="0.25">
      <c r="B250" t="s">
        <v>8139</v>
      </c>
      <c r="C250" t="s">
        <v>2676</v>
      </c>
    </row>
    <row r="251" spans="2:3" x14ac:dyDescent="0.25">
      <c r="B251" t="s">
        <v>8140</v>
      </c>
      <c r="C251" t="s">
        <v>3245</v>
      </c>
    </row>
    <row r="252" spans="2:3" x14ac:dyDescent="0.25">
      <c r="B252" t="s">
        <v>8141</v>
      </c>
      <c r="C252" t="s">
        <v>3245</v>
      </c>
    </row>
    <row r="253" spans="2:3" x14ac:dyDescent="0.25">
      <c r="B253" t="s">
        <v>8142</v>
      </c>
      <c r="C253" t="s">
        <v>3245</v>
      </c>
    </row>
    <row r="254" spans="2:3" x14ac:dyDescent="0.25">
      <c r="B254" t="s">
        <v>8143</v>
      </c>
      <c r="C254" t="s">
        <v>3245</v>
      </c>
    </row>
    <row r="255" spans="2:3" x14ac:dyDescent="0.25">
      <c r="B255" t="s">
        <v>8144</v>
      </c>
      <c r="C255" t="s">
        <v>3245</v>
      </c>
    </row>
    <row r="256" spans="2:3" x14ac:dyDescent="0.25">
      <c r="B256" t="s">
        <v>8145</v>
      </c>
      <c r="C256" t="s">
        <v>3245</v>
      </c>
    </row>
    <row r="257" spans="2:3" x14ac:dyDescent="0.25">
      <c r="B257" t="s">
        <v>8146</v>
      </c>
      <c r="C257" t="s">
        <v>2682</v>
      </c>
    </row>
    <row r="258" spans="2:3" x14ac:dyDescent="0.25">
      <c r="B258" t="s">
        <v>8147</v>
      </c>
      <c r="C258" t="s">
        <v>4650</v>
      </c>
    </row>
    <row r="259" spans="2:3" x14ac:dyDescent="0.25">
      <c r="B259" t="s">
        <v>8148</v>
      </c>
      <c r="C259" t="s">
        <v>5931</v>
      </c>
    </row>
    <row r="260" spans="2:3" x14ac:dyDescent="0.25">
      <c r="B260" t="s">
        <v>8149</v>
      </c>
      <c r="C260" t="s">
        <v>2084</v>
      </c>
    </row>
    <row r="261" spans="2:3" x14ac:dyDescent="0.25">
      <c r="B261" t="s">
        <v>8150</v>
      </c>
      <c r="C261" t="s">
        <v>2086</v>
      </c>
    </row>
    <row r="262" spans="2:3" x14ac:dyDescent="0.25">
      <c r="B262" t="s">
        <v>8151</v>
      </c>
      <c r="C262" t="s">
        <v>2081</v>
      </c>
    </row>
    <row r="263" spans="2:3" x14ac:dyDescent="0.25">
      <c r="B263" t="s">
        <v>8152</v>
      </c>
      <c r="C263" t="s">
        <v>2142</v>
      </c>
    </row>
    <row r="264" spans="2:3" x14ac:dyDescent="0.25">
      <c r="B264" t="s">
        <v>8153</v>
      </c>
      <c r="C264" t="s">
        <v>2144</v>
      </c>
    </row>
    <row r="265" spans="2:3" x14ac:dyDescent="0.25">
      <c r="B265" t="s">
        <v>8154</v>
      </c>
      <c r="C265" t="s">
        <v>2145</v>
      </c>
    </row>
    <row r="266" spans="2:3" x14ac:dyDescent="0.25">
      <c r="B266" t="s">
        <v>8155</v>
      </c>
      <c r="C266" t="s">
        <v>2153</v>
      </c>
    </row>
    <row r="267" spans="2:3" x14ac:dyDescent="0.25">
      <c r="B267" t="s">
        <v>8156</v>
      </c>
      <c r="C267" t="s">
        <v>2315</v>
      </c>
    </row>
    <row r="268" spans="2:3" x14ac:dyDescent="0.25">
      <c r="B268" t="s">
        <v>8157</v>
      </c>
      <c r="C268" t="s">
        <v>2315</v>
      </c>
    </row>
    <row r="269" spans="2:3" x14ac:dyDescent="0.25">
      <c r="B269" t="s">
        <v>8158</v>
      </c>
      <c r="C269" t="s">
        <v>2418</v>
      </c>
    </row>
    <row r="270" spans="2:3" x14ac:dyDescent="0.25">
      <c r="B270" t="s">
        <v>8160</v>
      </c>
      <c r="C270" t="s">
        <v>8159</v>
      </c>
    </row>
    <row r="271" spans="2:3" x14ac:dyDescent="0.25">
      <c r="B271" t="s">
        <v>8162</v>
      </c>
      <c r="C271" t="s">
        <v>8161</v>
      </c>
    </row>
    <row r="272" spans="2:3" x14ac:dyDescent="0.25">
      <c r="B272" t="s">
        <v>8163</v>
      </c>
      <c r="C272" t="s">
        <v>8161</v>
      </c>
    </row>
    <row r="273" spans="2:3" x14ac:dyDescent="0.25">
      <c r="B273" t="s">
        <v>8164</v>
      </c>
      <c r="C273" t="s">
        <v>8161</v>
      </c>
    </row>
    <row r="274" spans="2:3" x14ac:dyDescent="0.25">
      <c r="B274" t="s">
        <v>8165</v>
      </c>
      <c r="C274" t="s">
        <v>8161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22A7-3F8B-4D51-BBD3-80C68E50729E}">
  <dimension ref="B1:C2378"/>
  <sheetViews>
    <sheetView workbookViewId="0">
      <selection activeCell="G11" sqref="G11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3679</v>
      </c>
      <c r="C1" t="s">
        <v>3681</v>
      </c>
    </row>
    <row r="2" spans="2:3" x14ac:dyDescent="0.25">
      <c r="B2" t="s">
        <v>5045</v>
      </c>
      <c r="C2" t="s">
        <v>3679</v>
      </c>
    </row>
    <row r="3" spans="2:3" x14ac:dyDescent="0.25">
      <c r="B3" t="s">
        <v>8166</v>
      </c>
      <c r="C3" t="s">
        <v>5045</v>
      </c>
    </row>
    <row r="4" spans="2:3" x14ac:dyDescent="0.25">
      <c r="B4" t="s">
        <v>5047</v>
      </c>
      <c r="C4" t="s">
        <v>8166</v>
      </c>
    </row>
    <row r="5" spans="2:3" x14ac:dyDescent="0.25">
      <c r="B5" t="s">
        <v>8167</v>
      </c>
      <c r="C5" t="s">
        <v>5045</v>
      </c>
    </row>
    <row r="6" spans="2:3" x14ac:dyDescent="0.25">
      <c r="B6" t="s">
        <v>8168</v>
      </c>
      <c r="C6" t="s">
        <v>8167</v>
      </c>
    </row>
    <row r="7" spans="2:3" x14ac:dyDescent="0.25">
      <c r="B7" t="s">
        <v>8169</v>
      </c>
      <c r="C7" t="s">
        <v>8167</v>
      </c>
    </row>
    <row r="8" spans="2:3" x14ac:dyDescent="0.25">
      <c r="B8" t="s">
        <v>7645</v>
      </c>
      <c r="C8" t="s">
        <v>3679</v>
      </c>
    </row>
    <row r="9" spans="2:3" x14ac:dyDescent="0.25">
      <c r="B9" t="s">
        <v>7647</v>
      </c>
      <c r="C9" t="s">
        <v>7645</v>
      </c>
    </row>
    <row r="10" spans="2:3" x14ac:dyDescent="0.25">
      <c r="B10" t="s">
        <v>7651</v>
      </c>
      <c r="C10" t="s">
        <v>7647</v>
      </c>
    </row>
    <row r="11" spans="2:3" x14ac:dyDescent="0.25">
      <c r="B11" t="s">
        <v>7657</v>
      </c>
      <c r="C11" t="s">
        <v>7647</v>
      </c>
    </row>
    <row r="12" spans="2:3" x14ac:dyDescent="0.25">
      <c r="B12" t="s">
        <v>7649</v>
      </c>
      <c r="C12" t="s">
        <v>7645</v>
      </c>
    </row>
    <row r="13" spans="2:3" x14ac:dyDescent="0.25">
      <c r="B13" t="s">
        <v>7653</v>
      </c>
      <c r="C13" t="s">
        <v>7649</v>
      </c>
    </row>
    <row r="14" spans="2:3" x14ac:dyDescent="0.25">
      <c r="B14" t="s">
        <v>7655</v>
      </c>
      <c r="C14" t="s">
        <v>7649</v>
      </c>
    </row>
    <row r="15" spans="2:3" x14ac:dyDescent="0.25">
      <c r="B15" t="s">
        <v>8170</v>
      </c>
      <c r="C15" t="s">
        <v>3679</v>
      </c>
    </row>
    <row r="16" spans="2:3" x14ac:dyDescent="0.25">
      <c r="B16" t="s">
        <v>3696</v>
      </c>
      <c r="C16" t="s">
        <v>8170</v>
      </c>
    </row>
    <row r="17" spans="2:3" x14ac:dyDescent="0.25">
      <c r="B17" t="s">
        <v>8171</v>
      </c>
      <c r="C17" t="s">
        <v>3696</v>
      </c>
    </row>
    <row r="18" spans="2:3" x14ac:dyDescent="0.25">
      <c r="B18" t="s">
        <v>3683</v>
      </c>
      <c r="C18" t="s">
        <v>3696</v>
      </c>
    </row>
    <row r="19" spans="2:3" x14ac:dyDescent="0.25">
      <c r="B19" t="s">
        <v>7863</v>
      </c>
      <c r="C19" t="s">
        <v>3683</v>
      </c>
    </row>
    <row r="20" spans="2:3" x14ac:dyDescent="0.25">
      <c r="B20" t="s">
        <v>8172</v>
      </c>
      <c r="C20" t="s">
        <v>3683</v>
      </c>
    </row>
    <row r="21" spans="2:3" x14ac:dyDescent="0.25">
      <c r="B21" t="s">
        <v>8173</v>
      </c>
      <c r="C21" t="s">
        <v>3696</v>
      </c>
    </row>
    <row r="22" spans="2:3" x14ac:dyDescent="0.25">
      <c r="B22" t="s">
        <v>8174</v>
      </c>
      <c r="C22" t="s">
        <v>3696</v>
      </c>
    </row>
    <row r="23" spans="2:3" x14ac:dyDescent="0.25">
      <c r="B23" t="s">
        <v>8175</v>
      </c>
      <c r="C23" t="s">
        <v>3696</v>
      </c>
    </row>
    <row r="24" spans="2:3" x14ac:dyDescent="0.25">
      <c r="B24" t="s">
        <v>8176</v>
      </c>
      <c r="C24" t="s">
        <v>8170</v>
      </c>
    </row>
    <row r="25" spans="2:3" x14ac:dyDescent="0.25">
      <c r="B25" t="s">
        <v>8177</v>
      </c>
      <c r="C25" t="s">
        <v>8176</v>
      </c>
    </row>
    <row r="26" spans="2:3" x14ac:dyDescent="0.25">
      <c r="B26" t="s">
        <v>8178</v>
      </c>
      <c r="C26" t="s">
        <v>8176</v>
      </c>
    </row>
    <row r="27" spans="2:3" x14ac:dyDescent="0.25">
      <c r="B27" t="s">
        <v>8179</v>
      </c>
      <c r="C27" t="s">
        <v>8176</v>
      </c>
    </row>
    <row r="28" spans="2:3" x14ac:dyDescent="0.25">
      <c r="B28" t="s">
        <v>8180</v>
      </c>
      <c r="C28" t="s">
        <v>8176</v>
      </c>
    </row>
    <row r="29" spans="2:3" x14ac:dyDescent="0.25">
      <c r="B29" t="s">
        <v>8181</v>
      </c>
      <c r="C29" t="s">
        <v>3679</v>
      </c>
    </row>
    <row r="30" spans="2:3" x14ac:dyDescent="0.25">
      <c r="B30" t="s">
        <v>8182</v>
      </c>
      <c r="C30" t="s">
        <v>8181</v>
      </c>
    </row>
    <row r="31" spans="2:3" x14ac:dyDescent="0.25">
      <c r="B31" t="s">
        <v>8183</v>
      </c>
      <c r="C31" t="s">
        <v>8182</v>
      </c>
    </row>
    <row r="32" spans="2:3" x14ac:dyDescent="0.25">
      <c r="B32" t="s">
        <v>8184</v>
      </c>
      <c r="C32" t="s">
        <v>8182</v>
      </c>
    </row>
    <row r="33" spans="2:3" x14ac:dyDescent="0.25">
      <c r="B33" t="s">
        <v>8185</v>
      </c>
      <c r="C33" t="s">
        <v>8181</v>
      </c>
    </row>
    <row r="34" spans="2:3" x14ac:dyDescent="0.25">
      <c r="B34" t="s">
        <v>8186</v>
      </c>
      <c r="C34" t="s">
        <v>8185</v>
      </c>
    </row>
    <row r="35" spans="2:3" x14ac:dyDescent="0.25">
      <c r="B35" t="s">
        <v>8187</v>
      </c>
      <c r="C35" t="s">
        <v>8185</v>
      </c>
    </row>
    <row r="36" spans="2:3" x14ac:dyDescent="0.25">
      <c r="B36" t="s">
        <v>8188</v>
      </c>
      <c r="C36" t="s">
        <v>8185</v>
      </c>
    </row>
    <row r="37" spans="2:3" x14ac:dyDescent="0.25">
      <c r="B37" t="s">
        <v>8189</v>
      </c>
      <c r="C37" t="s">
        <v>3679</v>
      </c>
    </row>
    <row r="38" spans="2:3" x14ac:dyDescent="0.25">
      <c r="B38" t="s">
        <v>8190</v>
      </c>
      <c r="C38" t="s">
        <v>8189</v>
      </c>
    </row>
    <row r="39" spans="2:3" x14ac:dyDescent="0.25">
      <c r="B39" t="s">
        <v>8191</v>
      </c>
      <c r="C39" t="s">
        <v>8190</v>
      </c>
    </row>
    <row r="40" spans="2:3" x14ac:dyDescent="0.25">
      <c r="B40" t="s">
        <v>8192</v>
      </c>
      <c r="C40" t="s">
        <v>8190</v>
      </c>
    </row>
    <row r="41" spans="2:3" x14ac:dyDescent="0.25">
      <c r="B41" t="s">
        <v>8193</v>
      </c>
      <c r="C41" t="s">
        <v>8190</v>
      </c>
    </row>
    <row r="42" spans="2:3" x14ac:dyDescent="0.25">
      <c r="B42" t="s">
        <v>8194</v>
      </c>
      <c r="C42" t="s">
        <v>8190</v>
      </c>
    </row>
    <row r="43" spans="2:3" x14ac:dyDescent="0.25">
      <c r="B43" t="s">
        <v>8195</v>
      </c>
      <c r="C43" t="s">
        <v>8190</v>
      </c>
    </row>
    <row r="44" spans="2:3" x14ac:dyDescent="0.25">
      <c r="B44" t="s">
        <v>8196</v>
      </c>
      <c r="C44" t="s">
        <v>8190</v>
      </c>
    </row>
    <row r="45" spans="2:3" x14ac:dyDescent="0.25">
      <c r="B45" t="s">
        <v>8197</v>
      </c>
      <c r="C45" t="s">
        <v>8189</v>
      </c>
    </row>
    <row r="46" spans="2:3" x14ac:dyDescent="0.25">
      <c r="B46" t="s">
        <v>8198</v>
      </c>
      <c r="C46" t="s">
        <v>8197</v>
      </c>
    </row>
    <row r="47" spans="2:3" x14ac:dyDescent="0.25">
      <c r="B47" t="s">
        <v>8199</v>
      </c>
      <c r="C47" t="s">
        <v>8197</v>
      </c>
    </row>
    <row r="48" spans="2:3" x14ac:dyDescent="0.25">
      <c r="B48" t="s">
        <v>8200</v>
      </c>
      <c r="C48" t="s">
        <v>8197</v>
      </c>
    </row>
    <row r="49" spans="2:3" x14ac:dyDescent="0.25">
      <c r="B49" t="s">
        <v>8201</v>
      </c>
      <c r="C49" t="s">
        <v>3679</v>
      </c>
    </row>
    <row r="50" spans="2:3" x14ac:dyDescent="0.25">
      <c r="B50" t="s">
        <v>3648</v>
      </c>
      <c r="C50" t="s">
        <v>8201</v>
      </c>
    </row>
    <row r="51" spans="2:3" x14ac:dyDescent="0.25">
      <c r="B51" t="s">
        <v>8202</v>
      </c>
      <c r="C51" t="s">
        <v>3648</v>
      </c>
    </row>
    <row r="52" spans="2:3" x14ac:dyDescent="0.25">
      <c r="B52" t="s">
        <v>8203</v>
      </c>
      <c r="C52" t="s">
        <v>3648</v>
      </c>
    </row>
    <row r="53" spans="2:3" x14ac:dyDescent="0.25">
      <c r="B53" t="s">
        <v>7865</v>
      </c>
      <c r="C53" t="s">
        <v>3648</v>
      </c>
    </row>
    <row r="54" spans="2:3" x14ac:dyDescent="0.25">
      <c r="B54" t="s">
        <v>8204</v>
      </c>
      <c r="C54" t="s">
        <v>3648</v>
      </c>
    </row>
    <row r="55" spans="2:3" x14ac:dyDescent="0.25">
      <c r="B55" t="s">
        <v>8205</v>
      </c>
      <c r="C55" t="s">
        <v>3648</v>
      </c>
    </row>
    <row r="56" spans="2:3" x14ac:dyDescent="0.25">
      <c r="B56" t="s">
        <v>8206</v>
      </c>
      <c r="C56" t="s">
        <v>3648</v>
      </c>
    </row>
    <row r="57" spans="2:3" x14ac:dyDescent="0.25">
      <c r="B57" t="s">
        <v>8207</v>
      </c>
      <c r="C57" t="s">
        <v>3648</v>
      </c>
    </row>
    <row r="58" spans="2:3" x14ac:dyDescent="0.25">
      <c r="B58" t="s">
        <v>8208</v>
      </c>
      <c r="C58" t="s">
        <v>3648</v>
      </c>
    </row>
    <row r="59" spans="2:3" x14ac:dyDescent="0.25">
      <c r="B59" t="s">
        <v>3646</v>
      </c>
      <c r="C59" t="s">
        <v>3648</v>
      </c>
    </row>
    <row r="60" spans="2:3" x14ac:dyDescent="0.25">
      <c r="B60" t="s">
        <v>3649</v>
      </c>
      <c r="C60" t="s">
        <v>3648</v>
      </c>
    </row>
    <row r="61" spans="2:3" x14ac:dyDescent="0.25">
      <c r="B61" t="s">
        <v>3651</v>
      </c>
      <c r="C61" t="s">
        <v>3648</v>
      </c>
    </row>
    <row r="62" spans="2:3" x14ac:dyDescent="0.25">
      <c r="B62" t="s">
        <v>8209</v>
      </c>
      <c r="C62" t="s">
        <v>3648</v>
      </c>
    </row>
    <row r="63" spans="2:3" x14ac:dyDescent="0.25">
      <c r="B63" t="s">
        <v>8210</v>
      </c>
      <c r="C63" t="s">
        <v>8201</v>
      </c>
    </row>
    <row r="64" spans="2:3" x14ac:dyDescent="0.25">
      <c r="B64" t="s">
        <v>8211</v>
      </c>
      <c r="C64" t="s">
        <v>8210</v>
      </c>
    </row>
    <row r="65" spans="2:3" x14ac:dyDescent="0.25">
      <c r="B65" t="s">
        <v>8212</v>
      </c>
      <c r="C65" t="s">
        <v>8210</v>
      </c>
    </row>
    <row r="66" spans="2:3" x14ac:dyDescent="0.25">
      <c r="B66" t="s">
        <v>8213</v>
      </c>
      <c r="C66" t="s">
        <v>8210</v>
      </c>
    </row>
    <row r="67" spans="2:3" x14ac:dyDescent="0.25">
      <c r="B67" t="s">
        <v>8214</v>
      </c>
      <c r="C67" t="s">
        <v>8210</v>
      </c>
    </row>
    <row r="68" spans="2:3" x14ac:dyDescent="0.25">
      <c r="B68" t="s">
        <v>8215</v>
      </c>
      <c r="C68" t="s">
        <v>8210</v>
      </c>
    </row>
    <row r="69" spans="2:3" x14ac:dyDescent="0.25">
      <c r="B69" t="s">
        <v>8216</v>
      </c>
      <c r="C69" t="s">
        <v>8210</v>
      </c>
    </row>
    <row r="70" spans="2:3" x14ac:dyDescent="0.25">
      <c r="B70" t="s">
        <v>8217</v>
      </c>
      <c r="C70" t="s">
        <v>8210</v>
      </c>
    </row>
    <row r="71" spans="2:3" x14ac:dyDescent="0.25">
      <c r="B71" t="s">
        <v>8218</v>
      </c>
      <c r="C71" t="s">
        <v>3679</v>
      </c>
    </row>
    <row r="72" spans="2:3" x14ac:dyDescent="0.25">
      <c r="B72" t="s">
        <v>5475</v>
      </c>
      <c r="C72" t="s">
        <v>8218</v>
      </c>
    </row>
    <row r="73" spans="2:3" x14ac:dyDescent="0.25">
      <c r="B73" t="s">
        <v>8219</v>
      </c>
      <c r="C73" t="s">
        <v>5475</v>
      </c>
    </row>
    <row r="74" spans="2:3" x14ac:dyDescent="0.25">
      <c r="B74" t="s">
        <v>8220</v>
      </c>
      <c r="C74" t="s">
        <v>5475</v>
      </c>
    </row>
    <row r="75" spans="2:3" x14ac:dyDescent="0.25">
      <c r="B75" t="s">
        <v>8221</v>
      </c>
      <c r="C75" t="s">
        <v>5475</v>
      </c>
    </row>
    <row r="76" spans="2:3" x14ac:dyDescent="0.25">
      <c r="B76" t="s">
        <v>3663</v>
      </c>
      <c r="C76" t="s">
        <v>5475</v>
      </c>
    </row>
    <row r="77" spans="2:3" x14ac:dyDescent="0.25">
      <c r="B77" t="s">
        <v>8222</v>
      </c>
      <c r="C77" t="s">
        <v>5475</v>
      </c>
    </row>
    <row r="78" spans="2:3" x14ac:dyDescent="0.25">
      <c r="B78" t="s">
        <v>8223</v>
      </c>
      <c r="C78" t="s">
        <v>5475</v>
      </c>
    </row>
    <row r="79" spans="2:3" x14ac:dyDescent="0.25">
      <c r="B79" t="s">
        <v>8224</v>
      </c>
      <c r="C79" t="s">
        <v>5475</v>
      </c>
    </row>
    <row r="80" spans="2:3" x14ac:dyDescent="0.25">
      <c r="B80" t="s">
        <v>8225</v>
      </c>
      <c r="C80" t="s">
        <v>5475</v>
      </c>
    </row>
    <row r="81" spans="2:3" x14ac:dyDescent="0.25">
      <c r="B81" t="s">
        <v>8226</v>
      </c>
      <c r="C81" t="s">
        <v>5475</v>
      </c>
    </row>
    <row r="82" spans="2:3" x14ac:dyDescent="0.25">
      <c r="B82" t="s">
        <v>8227</v>
      </c>
      <c r="C82" t="s">
        <v>5475</v>
      </c>
    </row>
    <row r="83" spans="2:3" x14ac:dyDescent="0.25">
      <c r="B83" t="s">
        <v>8228</v>
      </c>
      <c r="C83" t="s">
        <v>8227</v>
      </c>
    </row>
    <row r="84" spans="2:3" x14ac:dyDescent="0.25">
      <c r="B84" t="s">
        <v>8229</v>
      </c>
      <c r="C84" t="s">
        <v>8227</v>
      </c>
    </row>
    <row r="85" spans="2:3" x14ac:dyDescent="0.25">
      <c r="B85" t="s">
        <v>8230</v>
      </c>
      <c r="C85" t="s">
        <v>8227</v>
      </c>
    </row>
    <row r="86" spans="2:3" x14ac:dyDescent="0.25">
      <c r="B86" t="s">
        <v>8231</v>
      </c>
      <c r="C86" t="s">
        <v>8227</v>
      </c>
    </row>
    <row r="87" spans="2:3" x14ac:dyDescent="0.25">
      <c r="B87" t="s">
        <v>8232</v>
      </c>
      <c r="C87" t="s">
        <v>8227</v>
      </c>
    </row>
    <row r="88" spans="2:3" x14ac:dyDescent="0.25">
      <c r="B88" t="s">
        <v>8233</v>
      </c>
      <c r="C88" t="s">
        <v>8227</v>
      </c>
    </row>
    <row r="89" spans="2:3" x14ac:dyDescent="0.25">
      <c r="B89" t="s">
        <v>8234</v>
      </c>
      <c r="C89" t="s">
        <v>8227</v>
      </c>
    </row>
    <row r="90" spans="2:3" x14ac:dyDescent="0.25">
      <c r="B90" t="s">
        <v>8235</v>
      </c>
      <c r="C90" t="s">
        <v>8227</v>
      </c>
    </row>
    <row r="91" spans="2:3" x14ac:dyDescent="0.25">
      <c r="B91" t="s">
        <v>5473</v>
      </c>
      <c r="C91" t="s">
        <v>5475</v>
      </c>
    </row>
    <row r="92" spans="2:3" x14ac:dyDescent="0.25">
      <c r="B92" t="s">
        <v>8236</v>
      </c>
      <c r="C92" t="s">
        <v>8218</v>
      </c>
    </row>
    <row r="93" spans="2:3" x14ac:dyDescent="0.25">
      <c r="B93" t="s">
        <v>7869</v>
      </c>
      <c r="C93" t="s">
        <v>8236</v>
      </c>
    </row>
    <row r="94" spans="2:3" x14ac:dyDescent="0.25">
      <c r="B94" t="s">
        <v>8237</v>
      </c>
      <c r="C94" t="s">
        <v>8236</v>
      </c>
    </row>
    <row r="95" spans="2:3" x14ac:dyDescent="0.25">
      <c r="B95" t="s">
        <v>8238</v>
      </c>
      <c r="C95" t="s">
        <v>8236</v>
      </c>
    </row>
    <row r="96" spans="2:3" x14ac:dyDescent="0.25">
      <c r="B96" t="s">
        <v>8239</v>
      </c>
      <c r="C96" t="s">
        <v>3679</v>
      </c>
    </row>
    <row r="97" spans="2:3" x14ac:dyDescent="0.25">
      <c r="B97" t="s">
        <v>6422</v>
      </c>
      <c r="C97" t="s">
        <v>8239</v>
      </c>
    </row>
    <row r="98" spans="2:3" x14ac:dyDescent="0.25">
      <c r="B98" t="s">
        <v>3669</v>
      </c>
      <c r="C98" t="s">
        <v>6422</v>
      </c>
    </row>
    <row r="99" spans="2:3" x14ac:dyDescent="0.25">
      <c r="B99" t="s">
        <v>3667</v>
      </c>
      <c r="C99" t="s">
        <v>6422</v>
      </c>
    </row>
    <row r="100" spans="2:3" x14ac:dyDescent="0.25">
      <c r="B100" t="s">
        <v>3671</v>
      </c>
      <c r="C100" t="s">
        <v>6422</v>
      </c>
    </row>
    <row r="101" spans="2:3" x14ac:dyDescent="0.25">
      <c r="B101" t="s">
        <v>3673</v>
      </c>
      <c r="C101" t="s">
        <v>6422</v>
      </c>
    </row>
    <row r="102" spans="2:3" x14ac:dyDescent="0.25">
      <c r="B102" t="s">
        <v>3677</v>
      </c>
      <c r="C102" t="s">
        <v>6422</v>
      </c>
    </row>
    <row r="103" spans="2:3" x14ac:dyDescent="0.25">
      <c r="B103" t="s">
        <v>3665</v>
      </c>
      <c r="C103" t="s">
        <v>6422</v>
      </c>
    </row>
    <row r="104" spans="2:3" x14ac:dyDescent="0.25">
      <c r="B104" t="s">
        <v>8240</v>
      </c>
      <c r="C104" t="s">
        <v>6422</v>
      </c>
    </row>
    <row r="105" spans="2:3" x14ac:dyDescent="0.25">
      <c r="B105" t="s">
        <v>3675</v>
      </c>
      <c r="C105" t="s">
        <v>6422</v>
      </c>
    </row>
    <row r="106" spans="2:3" x14ac:dyDescent="0.25">
      <c r="B106" t="s">
        <v>8241</v>
      </c>
      <c r="C106" t="s">
        <v>6422</v>
      </c>
    </row>
    <row r="107" spans="2:3" x14ac:dyDescent="0.25">
      <c r="B107" t="s">
        <v>6415</v>
      </c>
      <c r="C107" t="s">
        <v>6422</v>
      </c>
    </row>
    <row r="108" spans="2:3" x14ac:dyDescent="0.25">
      <c r="B108" t="s">
        <v>5600</v>
      </c>
      <c r="C108" t="s">
        <v>6415</v>
      </c>
    </row>
    <row r="109" spans="2:3" x14ac:dyDescent="0.25">
      <c r="B109" t="s">
        <v>6423</v>
      </c>
      <c r="C109" t="s">
        <v>6415</v>
      </c>
    </row>
    <row r="110" spans="2:3" x14ac:dyDescent="0.25">
      <c r="B110" t="s">
        <v>8242</v>
      </c>
      <c r="C110" t="s">
        <v>8239</v>
      </c>
    </row>
    <row r="111" spans="2:3" x14ac:dyDescent="0.25">
      <c r="B111" t="s">
        <v>7872</v>
      </c>
      <c r="C111" t="s">
        <v>8242</v>
      </c>
    </row>
    <row r="112" spans="2:3" x14ac:dyDescent="0.25">
      <c r="B112" t="s">
        <v>8243</v>
      </c>
      <c r="C112" t="s">
        <v>8242</v>
      </c>
    </row>
    <row r="113" spans="2:3" x14ac:dyDescent="0.25">
      <c r="B113" t="s">
        <v>8244</v>
      </c>
      <c r="C113" t="s">
        <v>8242</v>
      </c>
    </row>
    <row r="114" spans="2:3" x14ac:dyDescent="0.25">
      <c r="B114" t="s">
        <v>8245</v>
      </c>
      <c r="C114" t="s">
        <v>8242</v>
      </c>
    </row>
    <row r="115" spans="2:3" x14ac:dyDescent="0.25">
      <c r="B115" t="s">
        <v>8246</v>
      </c>
      <c r="C115" t="s">
        <v>8242</v>
      </c>
    </row>
    <row r="116" spans="2:3" x14ac:dyDescent="0.25">
      <c r="B116" t="s">
        <v>8247</v>
      </c>
      <c r="C116" t="s">
        <v>8242</v>
      </c>
    </row>
    <row r="117" spans="2:3" x14ac:dyDescent="0.25">
      <c r="B117" t="s">
        <v>8248</v>
      </c>
      <c r="C117" t="s">
        <v>3679</v>
      </c>
    </row>
    <row r="118" spans="2:3" x14ac:dyDescent="0.25">
      <c r="B118" t="s">
        <v>5693</v>
      </c>
      <c r="C118" t="s">
        <v>8248</v>
      </c>
    </row>
    <row r="119" spans="2:3" x14ac:dyDescent="0.25">
      <c r="B119" t="s">
        <v>5463</v>
      </c>
      <c r="C119" t="s">
        <v>5693</v>
      </c>
    </row>
    <row r="120" spans="2:3" x14ac:dyDescent="0.25">
      <c r="B120" t="s">
        <v>5466</v>
      </c>
      <c r="C120" t="s">
        <v>5693</v>
      </c>
    </row>
    <row r="121" spans="2:3" x14ac:dyDescent="0.25">
      <c r="B121" t="s">
        <v>5469</v>
      </c>
      <c r="C121" t="s">
        <v>5693</v>
      </c>
    </row>
    <row r="122" spans="2:3" x14ac:dyDescent="0.25">
      <c r="B122" t="s">
        <v>5472</v>
      </c>
      <c r="C122" t="s">
        <v>5693</v>
      </c>
    </row>
    <row r="123" spans="2:3" x14ac:dyDescent="0.25">
      <c r="B123" t="s">
        <v>8249</v>
      </c>
      <c r="C123" t="s">
        <v>5693</v>
      </c>
    </row>
    <row r="124" spans="2:3" x14ac:dyDescent="0.25">
      <c r="B124" t="s">
        <v>5461</v>
      </c>
      <c r="C124" t="s">
        <v>5693</v>
      </c>
    </row>
    <row r="125" spans="2:3" x14ac:dyDescent="0.25">
      <c r="B125" t="s">
        <v>5464</v>
      </c>
      <c r="C125" t="s">
        <v>5693</v>
      </c>
    </row>
    <row r="126" spans="2:3" x14ac:dyDescent="0.25">
      <c r="B126" t="s">
        <v>5467</v>
      </c>
      <c r="C126" t="s">
        <v>5693</v>
      </c>
    </row>
    <row r="127" spans="2:3" x14ac:dyDescent="0.25">
      <c r="B127" t="s">
        <v>5470</v>
      </c>
      <c r="C127" t="s">
        <v>5693</v>
      </c>
    </row>
    <row r="128" spans="2:3" x14ac:dyDescent="0.25">
      <c r="B128" t="s">
        <v>7642</v>
      </c>
      <c r="C128" t="s">
        <v>8248</v>
      </c>
    </row>
    <row r="129" spans="2:3" x14ac:dyDescent="0.25">
      <c r="B129" t="s">
        <v>8250</v>
      </c>
      <c r="C129" t="s">
        <v>7642</v>
      </c>
    </row>
    <row r="130" spans="2:3" x14ac:dyDescent="0.25">
      <c r="B130" t="s">
        <v>8251</v>
      </c>
      <c r="C130" t="s">
        <v>7642</v>
      </c>
    </row>
    <row r="131" spans="2:3" x14ac:dyDescent="0.25">
      <c r="B131" t="s">
        <v>8252</v>
      </c>
      <c r="C131" t="s">
        <v>7642</v>
      </c>
    </row>
    <row r="132" spans="2:3" x14ac:dyDescent="0.25">
      <c r="B132" t="s">
        <v>8253</v>
      </c>
      <c r="C132" t="s">
        <v>3679</v>
      </c>
    </row>
    <row r="133" spans="2:3" x14ac:dyDescent="0.25">
      <c r="B133" t="s">
        <v>8254</v>
      </c>
      <c r="C133" t="s">
        <v>8253</v>
      </c>
    </row>
    <row r="134" spans="2:3" x14ac:dyDescent="0.25">
      <c r="B134" t="s">
        <v>8255</v>
      </c>
      <c r="C134" t="s">
        <v>8254</v>
      </c>
    </row>
    <row r="135" spans="2:3" x14ac:dyDescent="0.25">
      <c r="B135" t="s">
        <v>8256</v>
      </c>
      <c r="C135" t="s">
        <v>8253</v>
      </c>
    </row>
    <row r="136" spans="2:3" x14ac:dyDescent="0.25">
      <c r="B136" t="s">
        <v>8257</v>
      </c>
      <c r="C136" t="s">
        <v>8256</v>
      </c>
    </row>
    <row r="137" spans="2:3" x14ac:dyDescent="0.25">
      <c r="B137" t="s">
        <v>8258</v>
      </c>
      <c r="C137" t="s">
        <v>8256</v>
      </c>
    </row>
    <row r="138" spans="2:3" x14ac:dyDescent="0.25">
      <c r="B138" t="s">
        <v>8259</v>
      </c>
      <c r="C138" t="s">
        <v>3679</v>
      </c>
    </row>
    <row r="139" spans="2:3" x14ac:dyDescent="0.25">
      <c r="B139" t="s">
        <v>8260</v>
      </c>
      <c r="C139" t="s">
        <v>8259</v>
      </c>
    </row>
    <row r="140" spans="2:3" x14ac:dyDescent="0.25">
      <c r="B140" t="s">
        <v>8261</v>
      </c>
      <c r="C140" t="s">
        <v>8259</v>
      </c>
    </row>
    <row r="141" spans="2:3" x14ac:dyDescent="0.25">
      <c r="B141" t="s">
        <v>8262</v>
      </c>
      <c r="C141" t="s">
        <v>8261</v>
      </c>
    </row>
    <row r="142" spans="2:3" x14ac:dyDescent="0.25">
      <c r="B142" t="s">
        <v>8263</v>
      </c>
      <c r="C142" t="s">
        <v>8261</v>
      </c>
    </row>
    <row r="143" spans="2:3" x14ac:dyDescent="0.25">
      <c r="B143" t="s">
        <v>7874</v>
      </c>
      <c r="C143" t="s">
        <v>8261</v>
      </c>
    </row>
    <row r="144" spans="2:3" x14ac:dyDescent="0.25">
      <c r="B144" t="s">
        <v>8264</v>
      </c>
      <c r="C144" t="s">
        <v>8261</v>
      </c>
    </row>
    <row r="145" spans="2:3" x14ac:dyDescent="0.25">
      <c r="B145" t="s">
        <v>8265</v>
      </c>
      <c r="C145" t="s">
        <v>8261</v>
      </c>
    </row>
    <row r="146" spans="2:3" x14ac:dyDescent="0.25">
      <c r="B146" t="s">
        <v>8266</v>
      </c>
      <c r="C146" t="s">
        <v>3679</v>
      </c>
    </row>
    <row r="147" spans="2:3" x14ac:dyDescent="0.25">
      <c r="B147" t="s">
        <v>3655</v>
      </c>
      <c r="C147" t="s">
        <v>8266</v>
      </c>
    </row>
    <row r="148" spans="2:3" x14ac:dyDescent="0.25">
      <c r="B148" t="s">
        <v>8267</v>
      </c>
      <c r="C148" t="s">
        <v>3655</v>
      </c>
    </row>
    <row r="149" spans="2:3" x14ac:dyDescent="0.25">
      <c r="B149" t="s">
        <v>3324</v>
      </c>
      <c r="C149" t="s">
        <v>3655</v>
      </c>
    </row>
    <row r="150" spans="2:3" x14ac:dyDescent="0.25">
      <c r="B150" t="s">
        <v>3323</v>
      </c>
      <c r="C150" t="s">
        <v>3324</v>
      </c>
    </row>
    <row r="151" spans="2:3" x14ac:dyDescent="0.25">
      <c r="B151" t="s">
        <v>8268</v>
      </c>
      <c r="C151" t="s">
        <v>3655</v>
      </c>
    </row>
    <row r="152" spans="2:3" x14ac:dyDescent="0.25">
      <c r="B152" t="s">
        <v>8269</v>
      </c>
      <c r="C152" t="s">
        <v>3655</v>
      </c>
    </row>
    <row r="153" spans="2:3" x14ac:dyDescent="0.25">
      <c r="B153" t="s">
        <v>8270</v>
      </c>
      <c r="C153" t="s">
        <v>3655</v>
      </c>
    </row>
    <row r="154" spans="2:3" x14ac:dyDescent="0.25">
      <c r="B154" t="s">
        <v>8271</v>
      </c>
      <c r="C154" t="s">
        <v>3655</v>
      </c>
    </row>
    <row r="155" spans="2:3" x14ac:dyDescent="0.25">
      <c r="B155" t="s">
        <v>3653</v>
      </c>
      <c r="C155" t="s">
        <v>3655</v>
      </c>
    </row>
    <row r="156" spans="2:3" x14ac:dyDescent="0.25">
      <c r="B156" t="s">
        <v>3656</v>
      </c>
      <c r="C156" t="s">
        <v>3655</v>
      </c>
    </row>
    <row r="157" spans="2:3" x14ac:dyDescent="0.25">
      <c r="B157" t="s">
        <v>3660</v>
      </c>
      <c r="C157" t="s">
        <v>8266</v>
      </c>
    </row>
    <row r="158" spans="2:3" x14ac:dyDescent="0.25">
      <c r="B158" t="s">
        <v>8272</v>
      </c>
      <c r="C158" t="s">
        <v>3660</v>
      </c>
    </row>
    <row r="159" spans="2:3" x14ac:dyDescent="0.25">
      <c r="B159" t="s">
        <v>8273</v>
      </c>
      <c r="C159" t="s">
        <v>3660</v>
      </c>
    </row>
    <row r="160" spans="2:3" x14ac:dyDescent="0.25">
      <c r="B160" t="s">
        <v>8274</v>
      </c>
      <c r="C160" t="s">
        <v>3660</v>
      </c>
    </row>
    <row r="161" spans="2:3" x14ac:dyDescent="0.25">
      <c r="B161" t="s">
        <v>8275</v>
      </c>
      <c r="C161" t="s">
        <v>8274</v>
      </c>
    </row>
    <row r="162" spans="2:3" x14ac:dyDescent="0.25">
      <c r="B162" t="s">
        <v>8276</v>
      </c>
      <c r="C162" t="s">
        <v>8274</v>
      </c>
    </row>
    <row r="163" spans="2:3" x14ac:dyDescent="0.25">
      <c r="B163" t="s">
        <v>8277</v>
      </c>
      <c r="C163" t="s">
        <v>8274</v>
      </c>
    </row>
    <row r="164" spans="2:3" x14ac:dyDescent="0.25">
      <c r="B164" t="s">
        <v>8278</v>
      </c>
      <c r="C164" t="s">
        <v>8274</v>
      </c>
    </row>
    <row r="165" spans="2:3" x14ac:dyDescent="0.25">
      <c r="B165" t="s">
        <v>8279</v>
      </c>
      <c r="C165" t="s">
        <v>3660</v>
      </c>
    </row>
    <row r="166" spans="2:3" x14ac:dyDescent="0.25">
      <c r="B166" t="s">
        <v>3658</v>
      </c>
      <c r="C166" t="s">
        <v>3660</v>
      </c>
    </row>
    <row r="167" spans="2:3" x14ac:dyDescent="0.25">
      <c r="B167" t="s">
        <v>3661</v>
      </c>
      <c r="C167" t="s">
        <v>3660</v>
      </c>
    </row>
    <row r="168" spans="2:3" x14ac:dyDescent="0.25">
      <c r="B168" t="s">
        <v>8280</v>
      </c>
      <c r="C168" t="s">
        <v>3660</v>
      </c>
    </row>
    <row r="169" spans="2:3" x14ac:dyDescent="0.25">
      <c r="B169" t="s">
        <v>8281</v>
      </c>
      <c r="C169" t="s">
        <v>3679</v>
      </c>
    </row>
    <row r="170" spans="2:3" x14ac:dyDescent="0.25">
      <c r="B170" t="s">
        <v>8282</v>
      </c>
      <c r="C170" t="s">
        <v>8281</v>
      </c>
    </row>
    <row r="171" spans="2:3" x14ac:dyDescent="0.25">
      <c r="B171" t="s">
        <v>8283</v>
      </c>
      <c r="C171" t="s">
        <v>8282</v>
      </c>
    </row>
    <row r="172" spans="2:3" x14ac:dyDescent="0.25">
      <c r="B172" t="s">
        <v>8284</v>
      </c>
      <c r="C172" t="s">
        <v>8281</v>
      </c>
    </row>
    <row r="173" spans="2:3" x14ac:dyDescent="0.25">
      <c r="B173" t="s">
        <v>8285</v>
      </c>
      <c r="C173" t="s">
        <v>8284</v>
      </c>
    </row>
    <row r="174" spans="2:3" x14ac:dyDescent="0.25">
      <c r="B174" t="s">
        <v>8286</v>
      </c>
      <c r="C174" t="s">
        <v>8284</v>
      </c>
    </row>
    <row r="175" spans="2:3" x14ac:dyDescent="0.25">
      <c r="B175" t="s">
        <v>8287</v>
      </c>
      <c r="C175" t="s">
        <v>3679</v>
      </c>
    </row>
    <row r="176" spans="2:3" x14ac:dyDescent="0.25">
      <c r="B176" t="s">
        <v>8288</v>
      </c>
      <c r="C176" t="s">
        <v>8287</v>
      </c>
    </row>
    <row r="177" spans="2:3" x14ac:dyDescent="0.25">
      <c r="B177" t="s">
        <v>8289</v>
      </c>
      <c r="C177" t="s">
        <v>8288</v>
      </c>
    </row>
    <row r="178" spans="2:3" x14ac:dyDescent="0.25">
      <c r="B178" t="s">
        <v>7880</v>
      </c>
      <c r="C178" t="s">
        <v>8288</v>
      </c>
    </row>
    <row r="179" spans="2:3" x14ac:dyDescent="0.25">
      <c r="B179" t="s">
        <v>8290</v>
      </c>
      <c r="C179" t="s">
        <v>8287</v>
      </c>
    </row>
    <row r="180" spans="2:3" x14ac:dyDescent="0.25">
      <c r="B180" t="s">
        <v>8291</v>
      </c>
      <c r="C180" t="s">
        <v>8290</v>
      </c>
    </row>
    <row r="181" spans="2:3" x14ac:dyDescent="0.25">
      <c r="B181" t="s">
        <v>8292</v>
      </c>
      <c r="C181" t="s">
        <v>8290</v>
      </c>
    </row>
    <row r="182" spans="2:3" x14ac:dyDescent="0.25">
      <c r="B182" t="s">
        <v>8293</v>
      </c>
      <c r="C182" t="s">
        <v>3679</v>
      </c>
    </row>
    <row r="183" spans="2:3" x14ac:dyDescent="0.25">
      <c r="B183" t="s">
        <v>8294</v>
      </c>
      <c r="C183" t="s">
        <v>8293</v>
      </c>
    </row>
    <row r="184" spans="2:3" x14ac:dyDescent="0.25">
      <c r="B184" t="s">
        <v>8295</v>
      </c>
      <c r="C184" t="s">
        <v>8294</v>
      </c>
    </row>
    <row r="185" spans="2:3" x14ac:dyDescent="0.25">
      <c r="B185" t="s">
        <v>8296</v>
      </c>
      <c r="C185" t="s">
        <v>8294</v>
      </c>
    </row>
    <row r="186" spans="2:3" x14ac:dyDescent="0.25">
      <c r="B186" t="s">
        <v>8297</v>
      </c>
      <c r="C186" t="s">
        <v>8294</v>
      </c>
    </row>
    <row r="187" spans="2:3" x14ac:dyDescent="0.25">
      <c r="B187" t="s">
        <v>8298</v>
      </c>
      <c r="C187" t="s">
        <v>8293</v>
      </c>
    </row>
    <row r="188" spans="2:3" x14ac:dyDescent="0.25">
      <c r="B188" t="s">
        <v>8299</v>
      </c>
      <c r="C188" t="s">
        <v>8298</v>
      </c>
    </row>
    <row r="189" spans="2:3" x14ac:dyDescent="0.25">
      <c r="B189" t="s">
        <v>8300</v>
      </c>
      <c r="C189" t="s">
        <v>8298</v>
      </c>
    </row>
    <row r="190" spans="2:3" x14ac:dyDescent="0.25">
      <c r="B190" t="s">
        <v>8301</v>
      </c>
      <c r="C190" t="s">
        <v>3679</v>
      </c>
    </row>
    <row r="191" spans="2:3" x14ac:dyDescent="0.25">
      <c r="B191" t="s">
        <v>8302</v>
      </c>
      <c r="C191" t="s">
        <v>8301</v>
      </c>
    </row>
    <row r="192" spans="2:3" x14ac:dyDescent="0.25">
      <c r="B192" t="s">
        <v>8303</v>
      </c>
      <c r="C192" t="s">
        <v>8302</v>
      </c>
    </row>
    <row r="193" spans="2:3" x14ac:dyDescent="0.25">
      <c r="B193" t="s">
        <v>8304</v>
      </c>
      <c r="C193" t="s">
        <v>8302</v>
      </c>
    </row>
    <row r="194" spans="2:3" x14ac:dyDescent="0.25">
      <c r="B194" t="s">
        <v>8305</v>
      </c>
      <c r="C194" t="s">
        <v>8302</v>
      </c>
    </row>
    <row r="195" spans="2:3" x14ac:dyDescent="0.25">
      <c r="B195" t="s">
        <v>8306</v>
      </c>
      <c r="C195" t="s">
        <v>8302</v>
      </c>
    </row>
    <row r="196" spans="2:3" x14ac:dyDescent="0.25">
      <c r="B196" t="s">
        <v>8307</v>
      </c>
      <c r="C196" t="s">
        <v>8301</v>
      </c>
    </row>
    <row r="197" spans="2:3" x14ac:dyDescent="0.25">
      <c r="B197" t="s">
        <v>8308</v>
      </c>
      <c r="C197" t="s">
        <v>8307</v>
      </c>
    </row>
    <row r="198" spans="2:3" x14ac:dyDescent="0.25">
      <c r="B198" t="s">
        <v>8309</v>
      </c>
      <c r="C198" t="s">
        <v>8307</v>
      </c>
    </row>
    <row r="199" spans="2:3" x14ac:dyDescent="0.25">
      <c r="B199" t="s">
        <v>8310</v>
      </c>
      <c r="C199" t="s">
        <v>8307</v>
      </c>
    </row>
    <row r="200" spans="2:3" x14ac:dyDescent="0.25">
      <c r="B200" t="s">
        <v>8311</v>
      </c>
      <c r="C200" t="s">
        <v>3679</v>
      </c>
    </row>
    <row r="201" spans="2:3" x14ac:dyDescent="0.25">
      <c r="B201" t="s">
        <v>8312</v>
      </c>
      <c r="C201" t="s">
        <v>8311</v>
      </c>
    </row>
    <row r="202" spans="2:3" x14ac:dyDescent="0.25">
      <c r="B202" t="s">
        <v>7882</v>
      </c>
      <c r="C202" t="s">
        <v>8312</v>
      </c>
    </row>
    <row r="203" spans="2:3" x14ac:dyDescent="0.25">
      <c r="B203" t="s">
        <v>8313</v>
      </c>
      <c r="C203" t="s">
        <v>8312</v>
      </c>
    </row>
    <row r="204" spans="2:3" x14ac:dyDescent="0.25">
      <c r="B204" t="s">
        <v>8314</v>
      </c>
      <c r="C204" t="s">
        <v>8312</v>
      </c>
    </row>
    <row r="205" spans="2:3" x14ac:dyDescent="0.25">
      <c r="B205" t="s">
        <v>8315</v>
      </c>
      <c r="C205" t="s">
        <v>8312</v>
      </c>
    </row>
    <row r="206" spans="2:3" x14ac:dyDescent="0.25">
      <c r="B206" t="s">
        <v>8316</v>
      </c>
      <c r="C206" t="s">
        <v>8311</v>
      </c>
    </row>
    <row r="207" spans="2:3" x14ac:dyDescent="0.25">
      <c r="B207" t="s">
        <v>8317</v>
      </c>
      <c r="C207" t="s">
        <v>8316</v>
      </c>
    </row>
    <row r="208" spans="2:3" x14ac:dyDescent="0.25">
      <c r="B208" t="s">
        <v>8318</v>
      </c>
      <c r="C208" t="s">
        <v>8316</v>
      </c>
    </row>
    <row r="209" spans="2:3" x14ac:dyDescent="0.25">
      <c r="B209" t="s">
        <v>8319</v>
      </c>
      <c r="C209" t="s">
        <v>8316</v>
      </c>
    </row>
    <row r="210" spans="2:3" x14ac:dyDescent="0.25">
      <c r="B210" t="s">
        <v>8320</v>
      </c>
      <c r="C210" t="s">
        <v>3679</v>
      </c>
    </row>
    <row r="211" spans="2:3" x14ac:dyDescent="0.25">
      <c r="B211" t="s">
        <v>8321</v>
      </c>
      <c r="C211" t="s">
        <v>8320</v>
      </c>
    </row>
    <row r="212" spans="2:3" x14ac:dyDescent="0.25">
      <c r="B212" t="s">
        <v>8322</v>
      </c>
      <c r="C212" t="s">
        <v>8321</v>
      </c>
    </row>
    <row r="213" spans="2:3" x14ac:dyDescent="0.25">
      <c r="B213" t="s">
        <v>8323</v>
      </c>
      <c r="C213" t="s">
        <v>8320</v>
      </c>
    </row>
    <row r="214" spans="2:3" x14ac:dyDescent="0.25">
      <c r="B214" t="s">
        <v>8324</v>
      </c>
      <c r="C214" t="s">
        <v>8323</v>
      </c>
    </row>
    <row r="215" spans="2:3" x14ac:dyDescent="0.25">
      <c r="B215" t="s">
        <v>8325</v>
      </c>
      <c r="C215" t="s">
        <v>8323</v>
      </c>
    </row>
    <row r="216" spans="2:3" x14ac:dyDescent="0.25">
      <c r="B216" t="s">
        <v>8326</v>
      </c>
      <c r="C216" t="s">
        <v>3679</v>
      </c>
    </row>
    <row r="217" spans="2:3" x14ac:dyDescent="0.25">
      <c r="B217" t="s">
        <v>4806</v>
      </c>
      <c r="C217" t="s">
        <v>8326</v>
      </c>
    </row>
    <row r="218" spans="2:3" x14ac:dyDescent="0.25">
      <c r="B218" t="s">
        <v>8327</v>
      </c>
      <c r="C218" t="s">
        <v>4806</v>
      </c>
    </row>
    <row r="219" spans="2:3" x14ac:dyDescent="0.25">
      <c r="B219" t="s">
        <v>4807</v>
      </c>
      <c r="C219" t="s">
        <v>4806</v>
      </c>
    </row>
    <row r="220" spans="2:3" x14ac:dyDescent="0.25">
      <c r="B220" t="s">
        <v>4809</v>
      </c>
      <c r="C220" t="s">
        <v>4806</v>
      </c>
    </row>
    <row r="221" spans="2:3" x14ac:dyDescent="0.25">
      <c r="B221" t="s">
        <v>4811</v>
      </c>
      <c r="C221" t="s">
        <v>4806</v>
      </c>
    </row>
    <row r="222" spans="2:3" x14ac:dyDescent="0.25">
      <c r="B222" t="s">
        <v>4813</v>
      </c>
      <c r="C222" t="s">
        <v>4806</v>
      </c>
    </row>
    <row r="223" spans="2:3" x14ac:dyDescent="0.25">
      <c r="B223" t="s">
        <v>4816</v>
      </c>
      <c r="C223" t="s">
        <v>4806</v>
      </c>
    </row>
    <row r="224" spans="2:3" x14ac:dyDescent="0.25">
      <c r="B224" t="s">
        <v>4818</v>
      </c>
      <c r="C224" t="s">
        <v>4806</v>
      </c>
    </row>
    <row r="225" spans="2:3" x14ac:dyDescent="0.25">
      <c r="B225" t="s">
        <v>4820</v>
      </c>
      <c r="C225" t="s">
        <v>4806</v>
      </c>
    </row>
    <row r="226" spans="2:3" x14ac:dyDescent="0.25">
      <c r="B226" t="s">
        <v>8328</v>
      </c>
      <c r="C226" t="s">
        <v>8326</v>
      </c>
    </row>
    <row r="227" spans="2:3" x14ac:dyDescent="0.25">
      <c r="B227" t="s">
        <v>8329</v>
      </c>
      <c r="C227" t="s">
        <v>8328</v>
      </c>
    </row>
    <row r="228" spans="2:3" x14ac:dyDescent="0.25">
      <c r="B228" t="s">
        <v>8330</v>
      </c>
      <c r="C228" t="s">
        <v>8328</v>
      </c>
    </row>
    <row r="229" spans="2:3" x14ac:dyDescent="0.25">
      <c r="B229" t="s">
        <v>8331</v>
      </c>
      <c r="C229" t="s">
        <v>3679</v>
      </c>
    </row>
    <row r="230" spans="2:3" x14ac:dyDescent="0.25">
      <c r="B230" t="s">
        <v>8332</v>
      </c>
      <c r="C230" t="s">
        <v>8331</v>
      </c>
    </row>
    <row r="231" spans="2:3" x14ac:dyDescent="0.25">
      <c r="B231" t="s">
        <v>8333</v>
      </c>
      <c r="C231" t="s">
        <v>8332</v>
      </c>
    </row>
    <row r="232" spans="2:3" x14ac:dyDescent="0.25">
      <c r="B232" t="s">
        <v>8334</v>
      </c>
      <c r="C232" t="s">
        <v>8333</v>
      </c>
    </row>
    <row r="233" spans="2:3" x14ac:dyDescent="0.25">
      <c r="B233" t="s">
        <v>8335</v>
      </c>
      <c r="C233" t="s">
        <v>8333</v>
      </c>
    </row>
    <row r="234" spans="2:3" x14ac:dyDescent="0.25">
      <c r="B234" t="s">
        <v>1219</v>
      </c>
      <c r="C234" t="s">
        <v>8335</v>
      </c>
    </row>
    <row r="235" spans="2:3" x14ac:dyDescent="0.25">
      <c r="B235" t="s">
        <v>1221</v>
      </c>
      <c r="C235" t="s">
        <v>8335</v>
      </c>
    </row>
    <row r="236" spans="2:3" x14ac:dyDescent="0.25">
      <c r="B236" t="s">
        <v>1223</v>
      </c>
      <c r="C236" t="s">
        <v>8335</v>
      </c>
    </row>
    <row r="237" spans="2:3" x14ac:dyDescent="0.25">
      <c r="B237" t="s">
        <v>1225</v>
      </c>
      <c r="C237" t="s">
        <v>8335</v>
      </c>
    </row>
    <row r="238" spans="2:3" x14ac:dyDescent="0.25">
      <c r="B238" t="s">
        <v>631</v>
      </c>
      <c r="C238" t="s">
        <v>8335</v>
      </c>
    </row>
    <row r="239" spans="2:3" x14ac:dyDescent="0.25">
      <c r="B239" t="s">
        <v>342</v>
      </c>
      <c r="C239" t="s">
        <v>8332</v>
      </c>
    </row>
    <row r="240" spans="2:3" x14ac:dyDescent="0.25">
      <c r="B240" t="s">
        <v>345</v>
      </c>
      <c r="C240" t="s">
        <v>342</v>
      </c>
    </row>
    <row r="241" spans="2:3" x14ac:dyDescent="0.25">
      <c r="B241" t="s">
        <v>361</v>
      </c>
      <c r="C241" t="s">
        <v>345</v>
      </c>
    </row>
    <row r="242" spans="2:3" x14ac:dyDescent="0.25">
      <c r="B242" t="s">
        <v>421</v>
      </c>
      <c r="C242" t="s">
        <v>361</v>
      </c>
    </row>
    <row r="243" spans="2:3" x14ac:dyDescent="0.25">
      <c r="B243" t="s">
        <v>423</v>
      </c>
      <c r="C243" t="s">
        <v>361</v>
      </c>
    </row>
    <row r="244" spans="2:3" x14ac:dyDescent="0.25">
      <c r="B244" t="s">
        <v>365</v>
      </c>
      <c r="C244" t="s">
        <v>345</v>
      </c>
    </row>
    <row r="245" spans="2:3" x14ac:dyDescent="0.25">
      <c r="B245" t="s">
        <v>8336</v>
      </c>
      <c r="C245" t="s">
        <v>345</v>
      </c>
    </row>
    <row r="246" spans="2:3" x14ac:dyDescent="0.25">
      <c r="B246" t="s">
        <v>338</v>
      </c>
      <c r="C246" t="s">
        <v>345</v>
      </c>
    </row>
    <row r="247" spans="2:3" x14ac:dyDescent="0.25">
      <c r="B247" t="s">
        <v>1509</v>
      </c>
      <c r="C247" t="s">
        <v>338</v>
      </c>
    </row>
    <row r="248" spans="2:3" x14ac:dyDescent="0.25">
      <c r="B248" t="s">
        <v>1503</v>
      </c>
      <c r="C248" t="s">
        <v>338</v>
      </c>
    </row>
    <row r="249" spans="2:3" x14ac:dyDescent="0.25">
      <c r="B249" t="s">
        <v>800</v>
      </c>
      <c r="C249" t="s">
        <v>338</v>
      </c>
    </row>
    <row r="250" spans="2:3" x14ac:dyDescent="0.25">
      <c r="B250" t="s">
        <v>8337</v>
      </c>
      <c r="C250" t="s">
        <v>345</v>
      </c>
    </row>
    <row r="251" spans="2:3" x14ac:dyDescent="0.25">
      <c r="B251" t="s">
        <v>682</v>
      </c>
      <c r="C251" t="s">
        <v>8337</v>
      </c>
    </row>
    <row r="252" spans="2:3" x14ac:dyDescent="0.25">
      <c r="B252" t="s">
        <v>680</v>
      </c>
      <c r="C252" t="s">
        <v>8337</v>
      </c>
    </row>
    <row r="253" spans="2:3" x14ac:dyDescent="0.25">
      <c r="B253" t="s">
        <v>796</v>
      </c>
      <c r="C253" t="s">
        <v>680</v>
      </c>
    </row>
    <row r="254" spans="2:3" x14ac:dyDescent="0.25">
      <c r="B254" t="s">
        <v>798</v>
      </c>
      <c r="C254" t="s">
        <v>680</v>
      </c>
    </row>
    <row r="255" spans="2:3" x14ac:dyDescent="0.25">
      <c r="B255" t="s">
        <v>347</v>
      </c>
      <c r="C255" t="s">
        <v>342</v>
      </c>
    </row>
    <row r="256" spans="2:3" x14ac:dyDescent="0.25">
      <c r="B256" t="s">
        <v>367</v>
      </c>
      <c r="C256" t="s">
        <v>347</v>
      </c>
    </row>
    <row r="257" spans="2:3" x14ac:dyDescent="0.25">
      <c r="B257" t="s">
        <v>371</v>
      </c>
      <c r="C257" t="s">
        <v>347</v>
      </c>
    </row>
    <row r="258" spans="2:3" x14ac:dyDescent="0.25">
      <c r="B258" t="s">
        <v>373</v>
      </c>
      <c r="C258" t="s">
        <v>347</v>
      </c>
    </row>
    <row r="259" spans="2:3" x14ac:dyDescent="0.25">
      <c r="B259" t="s">
        <v>8338</v>
      </c>
      <c r="C259" t="s">
        <v>347</v>
      </c>
    </row>
    <row r="260" spans="2:3" x14ac:dyDescent="0.25">
      <c r="B260" t="s">
        <v>8339</v>
      </c>
      <c r="C260" t="s">
        <v>347</v>
      </c>
    </row>
    <row r="261" spans="2:3" x14ac:dyDescent="0.25">
      <c r="B261" t="s">
        <v>431</v>
      </c>
      <c r="C261" t="s">
        <v>347</v>
      </c>
    </row>
    <row r="262" spans="2:3" x14ac:dyDescent="0.25">
      <c r="B262" t="s">
        <v>433</v>
      </c>
      <c r="C262" t="s">
        <v>347</v>
      </c>
    </row>
    <row r="263" spans="2:3" x14ac:dyDescent="0.25">
      <c r="B263" t="s">
        <v>1654</v>
      </c>
      <c r="C263" t="s">
        <v>347</v>
      </c>
    </row>
    <row r="264" spans="2:3" x14ac:dyDescent="0.25">
      <c r="B264" t="s">
        <v>439</v>
      </c>
      <c r="C264" t="s">
        <v>347</v>
      </c>
    </row>
    <row r="265" spans="2:3" x14ac:dyDescent="0.25">
      <c r="B265" t="s">
        <v>481</v>
      </c>
      <c r="C265" t="s">
        <v>439</v>
      </c>
    </row>
    <row r="266" spans="2:3" x14ac:dyDescent="0.25">
      <c r="B266" t="s">
        <v>8340</v>
      </c>
      <c r="C266" t="s">
        <v>439</v>
      </c>
    </row>
    <row r="267" spans="2:3" x14ac:dyDescent="0.25">
      <c r="B267" t="s">
        <v>483</v>
      </c>
      <c r="C267" t="s">
        <v>439</v>
      </c>
    </row>
    <row r="268" spans="2:3" x14ac:dyDescent="0.25">
      <c r="B268" t="s">
        <v>427</v>
      </c>
      <c r="C268" t="s">
        <v>439</v>
      </c>
    </row>
    <row r="269" spans="2:3" x14ac:dyDescent="0.25">
      <c r="B269" t="s">
        <v>349</v>
      </c>
      <c r="C269" t="s">
        <v>342</v>
      </c>
    </row>
    <row r="270" spans="2:3" x14ac:dyDescent="0.25">
      <c r="B270" t="s">
        <v>375</v>
      </c>
      <c r="C270" t="s">
        <v>349</v>
      </c>
    </row>
    <row r="271" spans="2:3" x14ac:dyDescent="0.25">
      <c r="B271" t="s">
        <v>441</v>
      </c>
      <c r="C271" t="s">
        <v>375</v>
      </c>
    </row>
    <row r="272" spans="2:3" x14ac:dyDescent="0.25">
      <c r="B272" t="s">
        <v>485</v>
      </c>
      <c r="C272" t="s">
        <v>441</v>
      </c>
    </row>
    <row r="273" spans="2:3" x14ac:dyDescent="0.25">
      <c r="B273" t="s">
        <v>487</v>
      </c>
      <c r="C273" t="s">
        <v>441</v>
      </c>
    </row>
    <row r="274" spans="2:3" x14ac:dyDescent="0.25">
      <c r="B274" t="s">
        <v>489</v>
      </c>
      <c r="C274" t="s">
        <v>441</v>
      </c>
    </row>
    <row r="275" spans="2:3" x14ac:dyDescent="0.25">
      <c r="B275" t="s">
        <v>443</v>
      </c>
      <c r="C275" t="s">
        <v>375</v>
      </c>
    </row>
    <row r="276" spans="2:3" x14ac:dyDescent="0.25">
      <c r="B276" t="s">
        <v>493</v>
      </c>
      <c r="C276" t="s">
        <v>443</v>
      </c>
    </row>
    <row r="277" spans="2:3" x14ac:dyDescent="0.25">
      <c r="B277" t="s">
        <v>495</v>
      </c>
      <c r="C277" t="s">
        <v>443</v>
      </c>
    </row>
    <row r="278" spans="2:3" x14ac:dyDescent="0.25">
      <c r="B278" t="s">
        <v>626</v>
      </c>
      <c r="C278" t="s">
        <v>495</v>
      </c>
    </row>
    <row r="279" spans="2:3" x14ac:dyDescent="0.25">
      <c r="B279" t="s">
        <v>627</v>
      </c>
      <c r="C279" t="s">
        <v>626</v>
      </c>
    </row>
    <row r="280" spans="2:3" x14ac:dyDescent="0.25">
      <c r="B280" t="s">
        <v>629</v>
      </c>
      <c r="C280" t="s">
        <v>626</v>
      </c>
    </row>
    <row r="281" spans="2:3" x14ac:dyDescent="0.25">
      <c r="B281" t="s">
        <v>445</v>
      </c>
      <c r="C281" t="s">
        <v>375</v>
      </c>
    </row>
    <row r="282" spans="2:3" x14ac:dyDescent="0.25">
      <c r="B282" t="s">
        <v>8341</v>
      </c>
      <c r="C282" t="s">
        <v>375</v>
      </c>
    </row>
    <row r="283" spans="2:3" x14ac:dyDescent="0.25">
      <c r="B283" t="s">
        <v>8342</v>
      </c>
      <c r="C283" t="s">
        <v>375</v>
      </c>
    </row>
    <row r="284" spans="2:3" x14ac:dyDescent="0.25">
      <c r="B284" t="s">
        <v>8343</v>
      </c>
      <c r="C284" t="s">
        <v>375</v>
      </c>
    </row>
    <row r="285" spans="2:3" x14ac:dyDescent="0.25">
      <c r="B285" t="s">
        <v>8344</v>
      </c>
      <c r="C285" t="s">
        <v>375</v>
      </c>
    </row>
    <row r="286" spans="2:3" x14ac:dyDescent="0.25">
      <c r="B286" t="s">
        <v>351</v>
      </c>
      <c r="C286" t="s">
        <v>342</v>
      </c>
    </row>
    <row r="287" spans="2:3" x14ac:dyDescent="0.25">
      <c r="B287" t="s">
        <v>539</v>
      </c>
      <c r="C287" t="s">
        <v>351</v>
      </c>
    </row>
    <row r="288" spans="2:3" x14ac:dyDescent="0.25">
      <c r="B288" t="s">
        <v>579</v>
      </c>
      <c r="C288" t="s">
        <v>539</v>
      </c>
    </row>
    <row r="289" spans="2:3" x14ac:dyDescent="0.25">
      <c r="B289" t="s">
        <v>429</v>
      </c>
      <c r="C289" t="s">
        <v>579</v>
      </c>
    </row>
    <row r="290" spans="2:3" x14ac:dyDescent="0.25">
      <c r="B290" t="s">
        <v>577</v>
      </c>
      <c r="C290" t="s">
        <v>539</v>
      </c>
    </row>
    <row r="291" spans="2:3" x14ac:dyDescent="0.25">
      <c r="B291" t="s">
        <v>581</v>
      </c>
      <c r="C291" t="s">
        <v>577</v>
      </c>
    </row>
    <row r="292" spans="2:3" x14ac:dyDescent="0.25">
      <c r="B292" t="s">
        <v>583</v>
      </c>
      <c r="C292" t="s">
        <v>581</v>
      </c>
    </row>
    <row r="293" spans="2:3" x14ac:dyDescent="0.25">
      <c r="B293" t="s">
        <v>585</v>
      </c>
      <c r="C293" t="s">
        <v>583</v>
      </c>
    </row>
    <row r="294" spans="2:3" x14ac:dyDescent="0.25">
      <c r="B294" t="s">
        <v>587</v>
      </c>
      <c r="C294" t="s">
        <v>583</v>
      </c>
    </row>
    <row r="295" spans="2:3" x14ac:dyDescent="0.25">
      <c r="B295" t="s">
        <v>589</v>
      </c>
      <c r="C295" t="s">
        <v>583</v>
      </c>
    </row>
    <row r="296" spans="2:3" x14ac:dyDescent="0.25">
      <c r="B296" t="s">
        <v>591</v>
      </c>
      <c r="C296" t="s">
        <v>583</v>
      </c>
    </row>
    <row r="297" spans="2:3" x14ac:dyDescent="0.25">
      <c r="B297" t="s">
        <v>593</v>
      </c>
      <c r="C297" t="s">
        <v>583</v>
      </c>
    </row>
    <row r="298" spans="2:3" x14ac:dyDescent="0.25">
      <c r="B298" t="s">
        <v>595</v>
      </c>
      <c r="C298" t="s">
        <v>583</v>
      </c>
    </row>
    <row r="299" spans="2:3" x14ac:dyDescent="0.25">
      <c r="B299" t="s">
        <v>597</v>
      </c>
      <c r="C299" t="s">
        <v>583</v>
      </c>
    </row>
    <row r="300" spans="2:3" x14ac:dyDescent="0.25">
      <c r="B300" t="s">
        <v>599</v>
      </c>
      <c r="C300" t="s">
        <v>583</v>
      </c>
    </row>
    <row r="301" spans="2:3" x14ac:dyDescent="0.25">
      <c r="B301" t="s">
        <v>601</v>
      </c>
      <c r="C301" t="s">
        <v>583</v>
      </c>
    </row>
    <row r="302" spans="2:3" x14ac:dyDescent="0.25">
      <c r="B302" t="s">
        <v>603</v>
      </c>
      <c r="C302" t="s">
        <v>583</v>
      </c>
    </row>
    <row r="303" spans="2:3" x14ac:dyDescent="0.25">
      <c r="B303" t="s">
        <v>605</v>
      </c>
      <c r="C303" t="s">
        <v>581</v>
      </c>
    </row>
    <row r="304" spans="2:3" x14ac:dyDescent="0.25">
      <c r="B304" t="s">
        <v>641</v>
      </c>
      <c r="C304" t="s">
        <v>577</v>
      </c>
    </row>
    <row r="305" spans="2:3" x14ac:dyDescent="0.25">
      <c r="B305" t="s">
        <v>643</v>
      </c>
      <c r="C305" t="s">
        <v>577</v>
      </c>
    </row>
    <row r="306" spans="2:3" x14ac:dyDescent="0.25">
      <c r="B306" t="s">
        <v>639</v>
      </c>
      <c r="C306" t="s">
        <v>577</v>
      </c>
    </row>
    <row r="307" spans="2:3" x14ac:dyDescent="0.25">
      <c r="B307" t="s">
        <v>615</v>
      </c>
      <c r="C307" t="s">
        <v>539</v>
      </c>
    </row>
    <row r="308" spans="2:3" x14ac:dyDescent="0.25">
      <c r="B308" t="s">
        <v>617</v>
      </c>
      <c r="C308" t="s">
        <v>615</v>
      </c>
    </row>
    <row r="309" spans="2:3" x14ac:dyDescent="0.25">
      <c r="B309" t="s">
        <v>619</v>
      </c>
      <c r="C309" t="s">
        <v>617</v>
      </c>
    </row>
    <row r="310" spans="2:3" x14ac:dyDescent="0.25">
      <c r="B310" t="s">
        <v>623</v>
      </c>
      <c r="C310" t="s">
        <v>615</v>
      </c>
    </row>
    <row r="311" spans="2:3" x14ac:dyDescent="0.25">
      <c r="B311" t="s">
        <v>624</v>
      </c>
      <c r="C311" t="s">
        <v>623</v>
      </c>
    </row>
    <row r="312" spans="2:3" x14ac:dyDescent="0.25">
      <c r="B312" t="s">
        <v>633</v>
      </c>
      <c r="C312" t="s">
        <v>539</v>
      </c>
    </row>
    <row r="313" spans="2:3" x14ac:dyDescent="0.25">
      <c r="B313" t="s">
        <v>635</v>
      </c>
      <c r="C313" t="s">
        <v>633</v>
      </c>
    </row>
    <row r="314" spans="2:3" x14ac:dyDescent="0.25">
      <c r="B314" t="s">
        <v>555</v>
      </c>
      <c r="C314" t="s">
        <v>635</v>
      </c>
    </row>
    <row r="315" spans="2:3" x14ac:dyDescent="0.25">
      <c r="B315" t="s">
        <v>8345</v>
      </c>
      <c r="C315" t="s">
        <v>635</v>
      </c>
    </row>
    <row r="316" spans="2:3" x14ac:dyDescent="0.25">
      <c r="B316" t="s">
        <v>8346</v>
      </c>
      <c r="C316" t="s">
        <v>635</v>
      </c>
    </row>
    <row r="317" spans="2:3" x14ac:dyDescent="0.25">
      <c r="B317" t="s">
        <v>8347</v>
      </c>
      <c r="C317" t="s">
        <v>635</v>
      </c>
    </row>
    <row r="318" spans="2:3" x14ac:dyDescent="0.25">
      <c r="B318" t="s">
        <v>645</v>
      </c>
      <c r="C318" t="s">
        <v>342</v>
      </c>
    </row>
    <row r="319" spans="2:3" x14ac:dyDescent="0.25">
      <c r="B319" t="s">
        <v>391</v>
      </c>
      <c r="C319" t="s">
        <v>645</v>
      </c>
    </row>
    <row r="320" spans="2:3" x14ac:dyDescent="0.25">
      <c r="B320" t="s">
        <v>393</v>
      </c>
      <c r="C320" t="s">
        <v>645</v>
      </c>
    </row>
    <row r="321" spans="2:3" x14ac:dyDescent="0.25">
      <c r="B321" t="s">
        <v>399</v>
      </c>
      <c r="C321" t="s">
        <v>645</v>
      </c>
    </row>
    <row r="322" spans="2:3" x14ac:dyDescent="0.25">
      <c r="B322" t="s">
        <v>401</v>
      </c>
      <c r="C322" t="s">
        <v>645</v>
      </c>
    </row>
    <row r="323" spans="2:3" x14ac:dyDescent="0.25">
      <c r="B323" t="s">
        <v>403</v>
      </c>
      <c r="C323" t="s">
        <v>645</v>
      </c>
    </row>
    <row r="324" spans="2:3" x14ac:dyDescent="0.25">
      <c r="B324" t="s">
        <v>395</v>
      </c>
      <c r="C324" t="s">
        <v>403</v>
      </c>
    </row>
    <row r="325" spans="2:3" x14ac:dyDescent="0.25">
      <c r="B325" t="s">
        <v>397</v>
      </c>
      <c r="C325" t="s">
        <v>403</v>
      </c>
    </row>
    <row r="326" spans="2:3" x14ac:dyDescent="0.25">
      <c r="B326" t="s">
        <v>447</v>
      </c>
      <c r="C326" t="s">
        <v>645</v>
      </c>
    </row>
    <row r="327" spans="2:3" x14ac:dyDescent="0.25">
      <c r="B327" t="s">
        <v>497</v>
      </c>
      <c r="C327" t="s">
        <v>447</v>
      </c>
    </row>
    <row r="328" spans="2:3" x14ac:dyDescent="0.25">
      <c r="B328" t="s">
        <v>499</v>
      </c>
      <c r="C328" t="s">
        <v>447</v>
      </c>
    </row>
    <row r="329" spans="2:3" x14ac:dyDescent="0.25">
      <c r="B329" t="s">
        <v>353</v>
      </c>
      <c r="C329" t="s">
        <v>342</v>
      </c>
    </row>
    <row r="330" spans="2:3" x14ac:dyDescent="0.25">
      <c r="B330" t="s">
        <v>405</v>
      </c>
      <c r="C330" t="s">
        <v>353</v>
      </c>
    </row>
    <row r="331" spans="2:3" x14ac:dyDescent="0.25">
      <c r="B331" t="s">
        <v>407</v>
      </c>
      <c r="C331" t="s">
        <v>353</v>
      </c>
    </row>
    <row r="332" spans="2:3" x14ac:dyDescent="0.25">
      <c r="B332" t="s">
        <v>409</v>
      </c>
      <c r="C332" t="s">
        <v>353</v>
      </c>
    </row>
    <row r="333" spans="2:3" x14ac:dyDescent="0.25">
      <c r="B333" t="s">
        <v>413</v>
      </c>
      <c r="C333" t="s">
        <v>353</v>
      </c>
    </row>
    <row r="334" spans="2:3" x14ac:dyDescent="0.25">
      <c r="B334" t="s">
        <v>415</v>
      </c>
      <c r="C334" t="s">
        <v>353</v>
      </c>
    </row>
    <row r="335" spans="2:3" x14ac:dyDescent="0.25">
      <c r="B335" t="s">
        <v>858</v>
      </c>
      <c r="C335" t="s">
        <v>353</v>
      </c>
    </row>
    <row r="336" spans="2:3" x14ac:dyDescent="0.25">
      <c r="B336" t="s">
        <v>324</v>
      </c>
      <c r="C336" t="s">
        <v>342</v>
      </c>
    </row>
    <row r="337" spans="2:3" x14ac:dyDescent="0.25">
      <c r="B337" t="s">
        <v>327</v>
      </c>
      <c r="C337" t="s">
        <v>324</v>
      </c>
    </row>
    <row r="338" spans="2:3" x14ac:dyDescent="0.25">
      <c r="B338" t="s">
        <v>332</v>
      </c>
      <c r="C338" t="s">
        <v>324</v>
      </c>
    </row>
    <row r="339" spans="2:3" x14ac:dyDescent="0.25">
      <c r="B339" t="s">
        <v>334</v>
      </c>
      <c r="C339" t="s">
        <v>324</v>
      </c>
    </row>
    <row r="340" spans="2:3" x14ac:dyDescent="0.25">
      <c r="B340" t="s">
        <v>336</v>
      </c>
      <c r="C340" t="s">
        <v>324</v>
      </c>
    </row>
    <row r="341" spans="2:3" x14ac:dyDescent="0.25">
      <c r="B341" t="s">
        <v>477</v>
      </c>
      <c r="C341" t="s">
        <v>336</v>
      </c>
    </row>
    <row r="342" spans="2:3" x14ac:dyDescent="0.25">
      <c r="B342" t="s">
        <v>437</v>
      </c>
      <c r="C342" t="s">
        <v>336</v>
      </c>
    </row>
    <row r="343" spans="2:3" x14ac:dyDescent="0.25">
      <c r="B343" t="s">
        <v>479</v>
      </c>
      <c r="C343" t="s">
        <v>336</v>
      </c>
    </row>
    <row r="344" spans="2:3" x14ac:dyDescent="0.25">
      <c r="B344" t="s">
        <v>1697</v>
      </c>
      <c r="C344" t="s">
        <v>336</v>
      </c>
    </row>
    <row r="345" spans="2:3" x14ac:dyDescent="0.25">
      <c r="B345" t="s">
        <v>856</v>
      </c>
      <c r="C345" t="s">
        <v>1697</v>
      </c>
    </row>
    <row r="346" spans="2:3" x14ac:dyDescent="0.25">
      <c r="B346" t="s">
        <v>859</v>
      </c>
      <c r="C346" t="s">
        <v>856</v>
      </c>
    </row>
    <row r="347" spans="2:3" x14ac:dyDescent="0.25">
      <c r="B347" t="s">
        <v>863</v>
      </c>
      <c r="C347" t="s">
        <v>856</v>
      </c>
    </row>
    <row r="348" spans="2:3" x14ac:dyDescent="0.25">
      <c r="B348" t="s">
        <v>8348</v>
      </c>
      <c r="C348" t="s">
        <v>342</v>
      </c>
    </row>
    <row r="349" spans="2:3" x14ac:dyDescent="0.25">
      <c r="B349" t="s">
        <v>8349</v>
      </c>
      <c r="C349" t="s">
        <v>8348</v>
      </c>
    </row>
    <row r="350" spans="2:3" x14ac:dyDescent="0.25">
      <c r="B350" t="s">
        <v>8350</v>
      </c>
      <c r="C350" t="s">
        <v>8348</v>
      </c>
    </row>
    <row r="351" spans="2:3" x14ac:dyDescent="0.25">
      <c r="B351" t="s">
        <v>8351</v>
      </c>
      <c r="C351" t="s">
        <v>8348</v>
      </c>
    </row>
    <row r="352" spans="2:3" x14ac:dyDescent="0.25">
      <c r="B352" t="s">
        <v>8352</v>
      </c>
      <c r="C352" t="s">
        <v>342</v>
      </c>
    </row>
    <row r="353" spans="2:3" x14ac:dyDescent="0.25">
      <c r="B353" t="s">
        <v>5287</v>
      </c>
      <c r="C353" t="s">
        <v>8352</v>
      </c>
    </row>
    <row r="354" spans="2:3" x14ac:dyDescent="0.25">
      <c r="B354" t="s">
        <v>8353</v>
      </c>
      <c r="C354" t="s">
        <v>5287</v>
      </c>
    </row>
    <row r="355" spans="2:3" x14ac:dyDescent="0.25">
      <c r="B355" t="s">
        <v>8354</v>
      </c>
      <c r="C355" t="s">
        <v>5287</v>
      </c>
    </row>
    <row r="356" spans="2:3" x14ac:dyDescent="0.25">
      <c r="B356" t="s">
        <v>8355</v>
      </c>
      <c r="C356" t="s">
        <v>5287</v>
      </c>
    </row>
    <row r="357" spans="2:3" x14ac:dyDescent="0.25">
      <c r="B357" t="s">
        <v>1499</v>
      </c>
      <c r="C357" t="s">
        <v>8355</v>
      </c>
    </row>
    <row r="358" spans="2:3" x14ac:dyDescent="0.25">
      <c r="B358" t="s">
        <v>1517</v>
      </c>
      <c r="C358" t="s">
        <v>1499</v>
      </c>
    </row>
    <row r="359" spans="2:3" x14ac:dyDescent="0.25">
      <c r="B359" t="s">
        <v>1519</v>
      </c>
      <c r="C359" t="s">
        <v>1499</v>
      </c>
    </row>
    <row r="360" spans="2:3" x14ac:dyDescent="0.25">
      <c r="B360" t="s">
        <v>8356</v>
      </c>
      <c r="C360" t="s">
        <v>1519</v>
      </c>
    </row>
    <row r="361" spans="2:3" x14ac:dyDescent="0.25">
      <c r="B361" t="s">
        <v>8357</v>
      </c>
      <c r="C361" t="s">
        <v>1519</v>
      </c>
    </row>
    <row r="362" spans="2:3" x14ac:dyDescent="0.25">
      <c r="B362" t="s">
        <v>8358</v>
      </c>
      <c r="C362" t="s">
        <v>1519</v>
      </c>
    </row>
    <row r="363" spans="2:3" x14ac:dyDescent="0.25">
      <c r="B363" t="s">
        <v>8359</v>
      </c>
      <c r="C363" t="s">
        <v>1519</v>
      </c>
    </row>
    <row r="364" spans="2:3" x14ac:dyDescent="0.25">
      <c r="B364" t="s">
        <v>282</v>
      </c>
      <c r="C364" t="s">
        <v>1519</v>
      </c>
    </row>
    <row r="365" spans="2:3" x14ac:dyDescent="0.25">
      <c r="B365" t="s">
        <v>291</v>
      </c>
      <c r="C365" t="s">
        <v>282</v>
      </c>
    </row>
    <row r="366" spans="2:3" x14ac:dyDescent="0.25">
      <c r="B366" t="s">
        <v>281</v>
      </c>
      <c r="C366" t="s">
        <v>282</v>
      </c>
    </row>
    <row r="367" spans="2:3" x14ac:dyDescent="0.25">
      <c r="B367" t="s">
        <v>284</v>
      </c>
      <c r="C367" t="s">
        <v>281</v>
      </c>
    </row>
    <row r="368" spans="2:3" x14ac:dyDescent="0.25">
      <c r="B368" t="s">
        <v>285</v>
      </c>
      <c r="C368" t="s">
        <v>281</v>
      </c>
    </row>
    <row r="369" spans="2:3" x14ac:dyDescent="0.25">
      <c r="B369" t="s">
        <v>286</v>
      </c>
      <c r="C369" t="s">
        <v>281</v>
      </c>
    </row>
    <row r="370" spans="2:3" x14ac:dyDescent="0.25">
      <c r="B370" t="s">
        <v>287</v>
      </c>
      <c r="C370" t="s">
        <v>281</v>
      </c>
    </row>
    <row r="371" spans="2:3" x14ac:dyDescent="0.25">
      <c r="B371" t="s">
        <v>288</v>
      </c>
      <c r="C371" t="s">
        <v>281</v>
      </c>
    </row>
    <row r="372" spans="2:3" x14ac:dyDescent="0.25">
      <c r="B372" t="s">
        <v>289</v>
      </c>
      <c r="C372" t="s">
        <v>281</v>
      </c>
    </row>
    <row r="373" spans="2:3" x14ac:dyDescent="0.25">
      <c r="B373" t="s">
        <v>290</v>
      </c>
      <c r="C373" t="s">
        <v>281</v>
      </c>
    </row>
    <row r="374" spans="2:3" x14ac:dyDescent="0.25">
      <c r="B374" t="s">
        <v>293</v>
      </c>
      <c r="C374" t="s">
        <v>1519</v>
      </c>
    </row>
    <row r="375" spans="2:3" x14ac:dyDescent="0.25">
      <c r="B375" t="s">
        <v>300</v>
      </c>
      <c r="C375" t="s">
        <v>293</v>
      </c>
    </row>
    <row r="376" spans="2:3" x14ac:dyDescent="0.25">
      <c r="B376" t="s">
        <v>301</v>
      </c>
      <c r="C376" t="s">
        <v>300</v>
      </c>
    </row>
    <row r="377" spans="2:3" x14ac:dyDescent="0.25">
      <c r="B377" t="s">
        <v>302</v>
      </c>
      <c r="C377" t="s">
        <v>300</v>
      </c>
    </row>
    <row r="378" spans="2:3" x14ac:dyDescent="0.25">
      <c r="B378" t="s">
        <v>296</v>
      </c>
      <c r="C378" t="s">
        <v>293</v>
      </c>
    </row>
    <row r="379" spans="2:3" x14ac:dyDescent="0.25">
      <c r="B379" t="s">
        <v>297</v>
      </c>
      <c r="C379" t="s">
        <v>296</v>
      </c>
    </row>
    <row r="380" spans="2:3" x14ac:dyDescent="0.25">
      <c r="B380" t="s">
        <v>298</v>
      </c>
      <c r="C380" t="s">
        <v>296</v>
      </c>
    </row>
    <row r="381" spans="2:3" x14ac:dyDescent="0.25">
      <c r="B381" t="s">
        <v>299</v>
      </c>
      <c r="C381" t="s">
        <v>296</v>
      </c>
    </row>
    <row r="382" spans="2:3" x14ac:dyDescent="0.25">
      <c r="B382" t="s">
        <v>292</v>
      </c>
      <c r="C382" t="s">
        <v>293</v>
      </c>
    </row>
    <row r="383" spans="2:3" x14ac:dyDescent="0.25">
      <c r="B383" t="s">
        <v>294</v>
      </c>
      <c r="C383" t="s">
        <v>292</v>
      </c>
    </row>
    <row r="384" spans="2:3" x14ac:dyDescent="0.25">
      <c r="B384" t="s">
        <v>295</v>
      </c>
      <c r="C384" t="s">
        <v>292</v>
      </c>
    </row>
    <row r="385" spans="2:3" x14ac:dyDescent="0.25">
      <c r="B385" t="s">
        <v>304</v>
      </c>
      <c r="C385" t="s">
        <v>1519</v>
      </c>
    </row>
    <row r="386" spans="2:3" x14ac:dyDescent="0.25">
      <c r="B386" t="s">
        <v>314</v>
      </c>
      <c r="C386" t="s">
        <v>304</v>
      </c>
    </row>
    <row r="387" spans="2:3" x14ac:dyDescent="0.25">
      <c r="B387" t="s">
        <v>315</v>
      </c>
      <c r="C387" t="s">
        <v>314</v>
      </c>
    </row>
    <row r="388" spans="2:3" x14ac:dyDescent="0.25">
      <c r="B388" t="s">
        <v>316</v>
      </c>
      <c r="C388" t="s">
        <v>314</v>
      </c>
    </row>
    <row r="389" spans="2:3" x14ac:dyDescent="0.25">
      <c r="B389" t="s">
        <v>317</v>
      </c>
      <c r="C389" t="s">
        <v>314</v>
      </c>
    </row>
    <row r="390" spans="2:3" x14ac:dyDescent="0.25">
      <c r="B390" t="s">
        <v>308</v>
      </c>
      <c r="C390" t="s">
        <v>304</v>
      </c>
    </row>
    <row r="391" spans="2:3" x14ac:dyDescent="0.25">
      <c r="B391" t="s">
        <v>309</v>
      </c>
      <c r="C391" t="s">
        <v>308</v>
      </c>
    </row>
    <row r="392" spans="2:3" x14ac:dyDescent="0.25">
      <c r="B392" t="s">
        <v>310</v>
      </c>
      <c r="C392" t="s">
        <v>308</v>
      </c>
    </row>
    <row r="393" spans="2:3" x14ac:dyDescent="0.25">
      <c r="B393" t="s">
        <v>311</v>
      </c>
      <c r="C393" t="s">
        <v>308</v>
      </c>
    </row>
    <row r="394" spans="2:3" x14ac:dyDescent="0.25">
      <c r="B394" t="s">
        <v>312</v>
      </c>
      <c r="C394" t="s">
        <v>308</v>
      </c>
    </row>
    <row r="395" spans="2:3" x14ac:dyDescent="0.25">
      <c r="B395" t="s">
        <v>313</v>
      </c>
      <c r="C395" t="s">
        <v>308</v>
      </c>
    </row>
    <row r="396" spans="2:3" x14ac:dyDescent="0.25">
      <c r="B396" t="s">
        <v>303</v>
      </c>
      <c r="C396" t="s">
        <v>304</v>
      </c>
    </row>
    <row r="397" spans="2:3" x14ac:dyDescent="0.25">
      <c r="B397" t="s">
        <v>305</v>
      </c>
      <c r="C397" t="s">
        <v>303</v>
      </c>
    </row>
    <row r="398" spans="2:3" x14ac:dyDescent="0.25">
      <c r="B398" t="s">
        <v>306</v>
      </c>
      <c r="C398" t="s">
        <v>303</v>
      </c>
    </row>
    <row r="399" spans="2:3" x14ac:dyDescent="0.25">
      <c r="B399" t="s">
        <v>307</v>
      </c>
      <c r="C399" t="s">
        <v>303</v>
      </c>
    </row>
    <row r="400" spans="2:3" x14ac:dyDescent="0.25">
      <c r="B400" t="s">
        <v>1521</v>
      </c>
      <c r="C400" t="s">
        <v>1499</v>
      </c>
    </row>
    <row r="401" spans="2:3" x14ac:dyDescent="0.25">
      <c r="B401" t="s">
        <v>1523</v>
      </c>
      <c r="C401" t="s">
        <v>1499</v>
      </c>
    </row>
    <row r="402" spans="2:3" x14ac:dyDescent="0.25">
      <c r="B402" t="s">
        <v>1525</v>
      </c>
      <c r="C402" t="s">
        <v>1499</v>
      </c>
    </row>
    <row r="403" spans="2:3" x14ac:dyDescent="0.25">
      <c r="B403" t="s">
        <v>802</v>
      </c>
      <c r="C403" t="s">
        <v>1499</v>
      </c>
    </row>
    <row r="404" spans="2:3" x14ac:dyDescent="0.25">
      <c r="B404" t="s">
        <v>678</v>
      </c>
      <c r="C404" t="s">
        <v>8355</v>
      </c>
    </row>
    <row r="405" spans="2:3" x14ac:dyDescent="0.25">
      <c r="B405" t="s">
        <v>728</v>
      </c>
      <c r="C405" t="s">
        <v>678</v>
      </c>
    </row>
    <row r="406" spans="2:3" x14ac:dyDescent="0.25">
      <c r="B406" t="s">
        <v>732</v>
      </c>
      <c r="C406" t="s">
        <v>728</v>
      </c>
    </row>
    <row r="407" spans="2:3" x14ac:dyDescent="0.25">
      <c r="B407" t="s">
        <v>754</v>
      </c>
      <c r="C407" t="s">
        <v>732</v>
      </c>
    </row>
    <row r="408" spans="2:3" x14ac:dyDescent="0.25">
      <c r="B408" t="s">
        <v>738</v>
      </c>
      <c r="C408" t="s">
        <v>732</v>
      </c>
    </row>
    <row r="409" spans="2:3" x14ac:dyDescent="0.25">
      <c r="B409" t="s">
        <v>740</v>
      </c>
      <c r="C409" t="s">
        <v>738</v>
      </c>
    </row>
    <row r="410" spans="2:3" x14ac:dyDescent="0.25">
      <c r="B410" t="s">
        <v>742</v>
      </c>
      <c r="C410" t="s">
        <v>738</v>
      </c>
    </row>
    <row r="411" spans="2:3" x14ac:dyDescent="0.25">
      <c r="B411" t="s">
        <v>744</v>
      </c>
      <c r="C411" t="s">
        <v>738</v>
      </c>
    </row>
    <row r="412" spans="2:3" x14ac:dyDescent="0.25">
      <c r="B412" t="s">
        <v>746</v>
      </c>
      <c r="C412" t="s">
        <v>738</v>
      </c>
    </row>
    <row r="413" spans="2:3" x14ac:dyDescent="0.25">
      <c r="B413" t="s">
        <v>748</v>
      </c>
      <c r="C413" t="s">
        <v>738</v>
      </c>
    </row>
    <row r="414" spans="2:3" x14ac:dyDescent="0.25">
      <c r="B414" t="s">
        <v>750</v>
      </c>
      <c r="C414" t="s">
        <v>738</v>
      </c>
    </row>
    <row r="415" spans="2:3" x14ac:dyDescent="0.25">
      <c r="B415" t="s">
        <v>752</v>
      </c>
      <c r="C415" t="s">
        <v>738</v>
      </c>
    </row>
    <row r="416" spans="2:3" x14ac:dyDescent="0.25">
      <c r="B416" t="s">
        <v>734</v>
      </c>
      <c r="C416" t="s">
        <v>728</v>
      </c>
    </row>
    <row r="417" spans="2:3" x14ac:dyDescent="0.25">
      <c r="B417" t="s">
        <v>770</v>
      </c>
      <c r="C417" t="s">
        <v>734</v>
      </c>
    </row>
    <row r="418" spans="2:3" x14ac:dyDescent="0.25">
      <c r="B418" t="s">
        <v>772</v>
      </c>
      <c r="C418" t="s">
        <v>770</v>
      </c>
    </row>
    <row r="419" spans="2:3" x14ac:dyDescent="0.25">
      <c r="B419" t="s">
        <v>774</v>
      </c>
      <c r="C419" t="s">
        <v>770</v>
      </c>
    </row>
    <row r="420" spans="2:3" x14ac:dyDescent="0.25">
      <c r="B420" t="s">
        <v>762</v>
      </c>
      <c r="C420" t="s">
        <v>734</v>
      </c>
    </row>
    <row r="421" spans="2:3" x14ac:dyDescent="0.25">
      <c r="B421" t="s">
        <v>764</v>
      </c>
      <c r="C421" t="s">
        <v>762</v>
      </c>
    </row>
    <row r="422" spans="2:3" x14ac:dyDescent="0.25">
      <c r="B422" t="s">
        <v>766</v>
      </c>
      <c r="C422" t="s">
        <v>762</v>
      </c>
    </row>
    <row r="423" spans="2:3" x14ac:dyDescent="0.25">
      <c r="B423" t="s">
        <v>768</v>
      </c>
      <c r="C423" t="s">
        <v>762</v>
      </c>
    </row>
    <row r="424" spans="2:3" x14ac:dyDescent="0.25">
      <c r="B424" t="s">
        <v>756</v>
      </c>
      <c r="C424" t="s">
        <v>734</v>
      </c>
    </row>
    <row r="425" spans="2:3" x14ac:dyDescent="0.25">
      <c r="B425" t="s">
        <v>758</v>
      </c>
      <c r="C425" t="s">
        <v>756</v>
      </c>
    </row>
    <row r="426" spans="2:3" x14ac:dyDescent="0.25">
      <c r="B426" t="s">
        <v>760</v>
      </c>
      <c r="C426" t="s">
        <v>756</v>
      </c>
    </row>
    <row r="427" spans="2:3" x14ac:dyDescent="0.25">
      <c r="B427" t="s">
        <v>736</v>
      </c>
      <c r="C427" t="s">
        <v>728</v>
      </c>
    </row>
    <row r="428" spans="2:3" x14ac:dyDescent="0.25">
      <c r="B428" t="s">
        <v>806</v>
      </c>
      <c r="C428" t="s">
        <v>736</v>
      </c>
    </row>
    <row r="429" spans="2:3" x14ac:dyDescent="0.25">
      <c r="B429" t="s">
        <v>808</v>
      </c>
      <c r="C429" t="s">
        <v>806</v>
      </c>
    </row>
    <row r="430" spans="2:3" x14ac:dyDescent="0.25">
      <c r="B430" t="s">
        <v>810</v>
      </c>
      <c r="C430" t="s">
        <v>806</v>
      </c>
    </row>
    <row r="431" spans="2:3" x14ac:dyDescent="0.25">
      <c r="B431" t="s">
        <v>812</v>
      </c>
      <c r="C431" t="s">
        <v>806</v>
      </c>
    </row>
    <row r="432" spans="2:3" x14ac:dyDescent="0.25">
      <c r="B432" t="s">
        <v>784</v>
      </c>
      <c r="C432" t="s">
        <v>736</v>
      </c>
    </row>
    <row r="433" spans="2:3" x14ac:dyDescent="0.25">
      <c r="B433" t="s">
        <v>786</v>
      </c>
      <c r="C433" t="s">
        <v>784</v>
      </c>
    </row>
    <row r="434" spans="2:3" x14ac:dyDescent="0.25">
      <c r="B434" t="s">
        <v>788</v>
      </c>
      <c r="C434" t="s">
        <v>784</v>
      </c>
    </row>
    <row r="435" spans="2:3" x14ac:dyDescent="0.25">
      <c r="B435" t="s">
        <v>790</v>
      </c>
      <c r="C435" t="s">
        <v>784</v>
      </c>
    </row>
    <row r="436" spans="2:3" x14ac:dyDescent="0.25">
      <c r="B436" t="s">
        <v>792</v>
      </c>
      <c r="C436" t="s">
        <v>784</v>
      </c>
    </row>
    <row r="437" spans="2:3" x14ac:dyDescent="0.25">
      <c r="B437" t="s">
        <v>794</v>
      </c>
      <c r="C437" t="s">
        <v>784</v>
      </c>
    </row>
    <row r="438" spans="2:3" x14ac:dyDescent="0.25">
      <c r="B438" t="s">
        <v>776</v>
      </c>
      <c r="C438" t="s">
        <v>736</v>
      </c>
    </row>
    <row r="439" spans="2:3" x14ac:dyDescent="0.25">
      <c r="B439" t="s">
        <v>778</v>
      </c>
      <c r="C439" t="s">
        <v>776</v>
      </c>
    </row>
    <row r="440" spans="2:3" x14ac:dyDescent="0.25">
      <c r="B440" t="s">
        <v>780</v>
      </c>
      <c r="C440" t="s">
        <v>776</v>
      </c>
    </row>
    <row r="441" spans="2:3" x14ac:dyDescent="0.25">
      <c r="B441" t="s">
        <v>782</v>
      </c>
      <c r="C441" t="s">
        <v>776</v>
      </c>
    </row>
    <row r="442" spans="2:3" x14ac:dyDescent="0.25">
      <c r="B442" t="s">
        <v>730</v>
      </c>
      <c r="C442" t="s">
        <v>678</v>
      </c>
    </row>
    <row r="443" spans="2:3" x14ac:dyDescent="0.25">
      <c r="B443" t="s">
        <v>1495</v>
      </c>
      <c r="C443" t="s">
        <v>8355</v>
      </c>
    </row>
    <row r="444" spans="2:3" x14ac:dyDescent="0.25">
      <c r="B444" t="s">
        <v>8360</v>
      </c>
      <c r="C444" t="s">
        <v>5287</v>
      </c>
    </row>
    <row r="445" spans="2:3" x14ac:dyDescent="0.25">
      <c r="B445" t="s">
        <v>461</v>
      </c>
      <c r="C445" t="s">
        <v>5287</v>
      </c>
    </row>
    <row r="446" spans="2:3" x14ac:dyDescent="0.25">
      <c r="B446" t="s">
        <v>8361</v>
      </c>
      <c r="C446" t="s">
        <v>5287</v>
      </c>
    </row>
    <row r="447" spans="2:3" x14ac:dyDescent="0.25">
      <c r="B447" t="s">
        <v>8362</v>
      </c>
      <c r="C447" t="s">
        <v>8361</v>
      </c>
    </row>
    <row r="448" spans="2:3" x14ac:dyDescent="0.25">
      <c r="B448" t="s">
        <v>8363</v>
      </c>
      <c r="C448" t="s">
        <v>8361</v>
      </c>
    </row>
    <row r="449" spans="2:3" x14ac:dyDescent="0.25">
      <c r="B449" t="s">
        <v>8364</v>
      </c>
      <c r="C449" t="s">
        <v>8363</v>
      </c>
    </row>
    <row r="450" spans="2:3" x14ac:dyDescent="0.25">
      <c r="B450" t="s">
        <v>8365</v>
      </c>
      <c r="C450" t="s">
        <v>8363</v>
      </c>
    </row>
    <row r="451" spans="2:3" x14ac:dyDescent="0.25">
      <c r="B451" t="s">
        <v>8366</v>
      </c>
      <c r="C451" t="s">
        <v>8363</v>
      </c>
    </row>
    <row r="452" spans="2:3" x14ac:dyDescent="0.25">
      <c r="B452" t="s">
        <v>8367</v>
      </c>
      <c r="C452" t="s">
        <v>8366</v>
      </c>
    </row>
    <row r="453" spans="2:3" x14ac:dyDescent="0.25">
      <c r="B453" t="s">
        <v>8368</v>
      </c>
      <c r="C453" t="s">
        <v>8366</v>
      </c>
    </row>
    <row r="454" spans="2:3" x14ac:dyDescent="0.25">
      <c r="B454" t="s">
        <v>8369</v>
      </c>
      <c r="C454" t="s">
        <v>8366</v>
      </c>
    </row>
    <row r="455" spans="2:3" x14ac:dyDescent="0.25">
      <c r="B455" t="s">
        <v>8370</v>
      </c>
      <c r="C455" t="s">
        <v>8366</v>
      </c>
    </row>
    <row r="456" spans="2:3" x14ac:dyDescent="0.25">
      <c r="B456" t="s">
        <v>8371</v>
      </c>
      <c r="C456" t="s">
        <v>8370</v>
      </c>
    </row>
    <row r="457" spans="2:3" x14ac:dyDescent="0.25">
      <c r="B457" t="s">
        <v>8372</v>
      </c>
      <c r="C457" t="s">
        <v>8370</v>
      </c>
    </row>
    <row r="458" spans="2:3" x14ac:dyDescent="0.25">
      <c r="B458" t="s">
        <v>8373</v>
      </c>
      <c r="C458" t="s">
        <v>8370</v>
      </c>
    </row>
    <row r="459" spans="2:3" x14ac:dyDescent="0.25">
      <c r="B459" t="s">
        <v>8374</v>
      </c>
      <c r="C459" t="s">
        <v>8370</v>
      </c>
    </row>
    <row r="460" spans="2:3" x14ac:dyDescent="0.25">
      <c r="B460" t="s">
        <v>8375</v>
      </c>
      <c r="C460" t="s">
        <v>8370</v>
      </c>
    </row>
    <row r="461" spans="2:3" x14ac:dyDescent="0.25">
      <c r="B461" t="s">
        <v>8376</v>
      </c>
      <c r="C461" t="s">
        <v>8370</v>
      </c>
    </row>
    <row r="462" spans="2:3" x14ac:dyDescent="0.25">
      <c r="B462" t="s">
        <v>8377</v>
      </c>
      <c r="C462" t="s">
        <v>8370</v>
      </c>
    </row>
    <row r="463" spans="2:3" x14ac:dyDescent="0.25">
      <c r="B463" t="s">
        <v>387</v>
      </c>
      <c r="C463" t="s">
        <v>5287</v>
      </c>
    </row>
    <row r="464" spans="2:3" x14ac:dyDescent="0.25">
      <c r="B464" t="s">
        <v>543</v>
      </c>
      <c r="C464" t="s">
        <v>387</v>
      </c>
    </row>
    <row r="465" spans="2:3" x14ac:dyDescent="0.25">
      <c r="B465" t="s">
        <v>649</v>
      </c>
      <c r="C465" t="s">
        <v>543</v>
      </c>
    </row>
    <row r="466" spans="2:3" x14ac:dyDescent="0.25">
      <c r="B466" t="s">
        <v>651</v>
      </c>
      <c r="C466" t="s">
        <v>649</v>
      </c>
    </row>
    <row r="467" spans="2:3" x14ac:dyDescent="0.25">
      <c r="B467" t="s">
        <v>463</v>
      </c>
      <c r="C467" t="s">
        <v>651</v>
      </c>
    </row>
    <row r="468" spans="2:3" x14ac:dyDescent="0.25">
      <c r="B468" t="s">
        <v>328</v>
      </c>
      <c r="C468" t="s">
        <v>649</v>
      </c>
    </row>
    <row r="469" spans="2:3" x14ac:dyDescent="0.25">
      <c r="B469" t="s">
        <v>330</v>
      </c>
      <c r="C469" t="s">
        <v>328</v>
      </c>
    </row>
    <row r="470" spans="2:3" x14ac:dyDescent="0.25">
      <c r="B470" t="s">
        <v>1695</v>
      </c>
      <c r="C470" t="s">
        <v>328</v>
      </c>
    </row>
    <row r="471" spans="2:3" x14ac:dyDescent="0.25">
      <c r="B471" t="s">
        <v>5252</v>
      </c>
      <c r="C471" t="s">
        <v>328</v>
      </c>
    </row>
    <row r="472" spans="2:3" x14ac:dyDescent="0.25">
      <c r="B472" t="s">
        <v>340</v>
      </c>
      <c r="C472" t="s">
        <v>649</v>
      </c>
    </row>
    <row r="473" spans="2:3" x14ac:dyDescent="0.25">
      <c r="B473" t="s">
        <v>1501</v>
      </c>
      <c r="C473" t="s">
        <v>340</v>
      </c>
    </row>
    <row r="474" spans="2:3" x14ac:dyDescent="0.25">
      <c r="B474" t="s">
        <v>1527</v>
      </c>
      <c r="C474" t="s">
        <v>340</v>
      </c>
    </row>
    <row r="475" spans="2:3" x14ac:dyDescent="0.25">
      <c r="B475" t="s">
        <v>1529</v>
      </c>
      <c r="C475" t="s">
        <v>340</v>
      </c>
    </row>
    <row r="476" spans="2:3" x14ac:dyDescent="0.25">
      <c r="B476" t="s">
        <v>1531</v>
      </c>
      <c r="C476" t="s">
        <v>543</v>
      </c>
    </row>
    <row r="477" spans="2:3" x14ac:dyDescent="0.25">
      <c r="B477" t="s">
        <v>5256</v>
      </c>
      <c r="C477" t="s">
        <v>387</v>
      </c>
    </row>
    <row r="478" spans="2:3" x14ac:dyDescent="0.25">
      <c r="B478" t="s">
        <v>5258</v>
      </c>
      <c r="C478" t="s">
        <v>5256</v>
      </c>
    </row>
    <row r="479" spans="2:3" x14ac:dyDescent="0.25">
      <c r="B479" t="s">
        <v>5260</v>
      </c>
      <c r="C479" t="s">
        <v>5258</v>
      </c>
    </row>
    <row r="480" spans="2:3" x14ac:dyDescent="0.25">
      <c r="B480" t="s">
        <v>5261</v>
      </c>
      <c r="C480" t="s">
        <v>5260</v>
      </c>
    </row>
    <row r="481" spans="2:3" x14ac:dyDescent="0.25">
      <c r="B481" t="s">
        <v>1699</v>
      </c>
      <c r="C481" t="s">
        <v>5260</v>
      </c>
    </row>
    <row r="482" spans="2:3" x14ac:dyDescent="0.25">
      <c r="B482" t="s">
        <v>1701</v>
      </c>
      <c r="C482" t="s">
        <v>5260</v>
      </c>
    </row>
    <row r="483" spans="2:3" x14ac:dyDescent="0.25">
      <c r="B483" t="s">
        <v>1702</v>
      </c>
      <c r="C483" t="s">
        <v>5258</v>
      </c>
    </row>
    <row r="484" spans="2:3" x14ac:dyDescent="0.25">
      <c r="B484" t="s">
        <v>637</v>
      </c>
      <c r="C484" t="s">
        <v>1702</v>
      </c>
    </row>
    <row r="485" spans="2:3" x14ac:dyDescent="0.25">
      <c r="B485" t="s">
        <v>363</v>
      </c>
      <c r="C485" t="s">
        <v>1702</v>
      </c>
    </row>
    <row r="486" spans="2:3" x14ac:dyDescent="0.25">
      <c r="B486" t="s">
        <v>621</v>
      </c>
      <c r="C486" t="s">
        <v>1702</v>
      </c>
    </row>
    <row r="487" spans="2:3" x14ac:dyDescent="0.25">
      <c r="B487" t="s">
        <v>5262</v>
      </c>
      <c r="C487" t="s">
        <v>5258</v>
      </c>
    </row>
    <row r="488" spans="2:3" x14ac:dyDescent="0.25">
      <c r="B488" t="s">
        <v>5263</v>
      </c>
      <c r="C488" t="s">
        <v>5262</v>
      </c>
    </row>
    <row r="489" spans="2:3" x14ac:dyDescent="0.25">
      <c r="B489" t="s">
        <v>321</v>
      </c>
      <c r="C489" t="s">
        <v>5262</v>
      </c>
    </row>
    <row r="490" spans="2:3" x14ac:dyDescent="0.25">
      <c r="B490" t="s">
        <v>322</v>
      </c>
      <c r="C490" t="s">
        <v>321</v>
      </c>
    </row>
    <row r="491" spans="2:3" x14ac:dyDescent="0.25">
      <c r="B491" t="s">
        <v>323</v>
      </c>
      <c r="C491" t="s">
        <v>321</v>
      </c>
    </row>
    <row r="492" spans="2:3" x14ac:dyDescent="0.25">
      <c r="B492" t="s">
        <v>5264</v>
      </c>
      <c r="C492" t="s">
        <v>5262</v>
      </c>
    </row>
    <row r="493" spans="2:3" x14ac:dyDescent="0.25">
      <c r="B493" t="s">
        <v>5265</v>
      </c>
      <c r="C493" t="s">
        <v>5256</v>
      </c>
    </row>
    <row r="494" spans="2:3" x14ac:dyDescent="0.25">
      <c r="B494" t="s">
        <v>1227</v>
      </c>
      <c r="C494" t="s">
        <v>5256</v>
      </c>
    </row>
    <row r="495" spans="2:3" x14ac:dyDescent="0.25">
      <c r="B495" t="s">
        <v>8378</v>
      </c>
      <c r="C495" t="s">
        <v>342</v>
      </c>
    </row>
    <row r="496" spans="2:3" x14ac:dyDescent="0.25">
      <c r="B496" t="s">
        <v>8379</v>
      </c>
      <c r="C496" t="s">
        <v>8378</v>
      </c>
    </row>
    <row r="497" spans="2:3" x14ac:dyDescent="0.25">
      <c r="B497" t="s">
        <v>8380</v>
      </c>
      <c r="C497" t="s">
        <v>8378</v>
      </c>
    </row>
    <row r="498" spans="2:3" x14ac:dyDescent="0.25">
      <c r="B498" t="s">
        <v>8381</v>
      </c>
      <c r="C498" t="s">
        <v>8378</v>
      </c>
    </row>
    <row r="499" spans="2:3" x14ac:dyDescent="0.25">
      <c r="B499" t="s">
        <v>8382</v>
      </c>
      <c r="C499" t="s">
        <v>8378</v>
      </c>
    </row>
    <row r="500" spans="2:3" x14ac:dyDescent="0.25">
      <c r="B500" t="s">
        <v>8383</v>
      </c>
      <c r="C500" t="s">
        <v>8378</v>
      </c>
    </row>
    <row r="501" spans="2:3" x14ac:dyDescent="0.25">
      <c r="B501" t="s">
        <v>8384</v>
      </c>
      <c r="C501" t="s">
        <v>8378</v>
      </c>
    </row>
    <row r="502" spans="2:3" x14ac:dyDescent="0.25">
      <c r="B502" t="s">
        <v>355</v>
      </c>
      <c r="C502" t="s">
        <v>342</v>
      </c>
    </row>
    <row r="503" spans="2:3" x14ac:dyDescent="0.25">
      <c r="B503" t="s">
        <v>8385</v>
      </c>
      <c r="C503" t="s">
        <v>342</v>
      </c>
    </row>
    <row r="504" spans="2:3" x14ac:dyDescent="0.25">
      <c r="B504" t="s">
        <v>647</v>
      </c>
      <c r="C504" t="s">
        <v>8385</v>
      </c>
    </row>
    <row r="505" spans="2:3" x14ac:dyDescent="0.25">
      <c r="B505" t="s">
        <v>653</v>
      </c>
      <c r="C505" t="s">
        <v>647</v>
      </c>
    </row>
    <row r="506" spans="2:3" x14ac:dyDescent="0.25">
      <c r="B506" t="s">
        <v>1700</v>
      </c>
      <c r="C506" t="s">
        <v>653</v>
      </c>
    </row>
    <row r="507" spans="2:3" x14ac:dyDescent="0.25">
      <c r="B507" t="s">
        <v>3685</v>
      </c>
      <c r="C507" t="s">
        <v>8385</v>
      </c>
    </row>
    <row r="508" spans="2:3" x14ac:dyDescent="0.25">
      <c r="B508" t="s">
        <v>855</v>
      </c>
      <c r="C508" t="s">
        <v>3685</v>
      </c>
    </row>
    <row r="509" spans="2:3" x14ac:dyDescent="0.25">
      <c r="B509" t="s">
        <v>1204</v>
      </c>
      <c r="C509" t="s">
        <v>855</v>
      </c>
    </row>
    <row r="510" spans="2:3" x14ac:dyDescent="0.25">
      <c r="B510" t="s">
        <v>1206</v>
      </c>
      <c r="C510" t="s">
        <v>855</v>
      </c>
    </row>
    <row r="511" spans="2:3" x14ac:dyDescent="0.25">
      <c r="B511" t="s">
        <v>852</v>
      </c>
      <c r="C511" t="s">
        <v>855</v>
      </c>
    </row>
    <row r="512" spans="2:3" x14ac:dyDescent="0.25">
      <c r="B512" t="s">
        <v>1187</v>
      </c>
      <c r="C512" t="s">
        <v>852</v>
      </c>
    </row>
    <row r="513" spans="2:3" x14ac:dyDescent="0.25">
      <c r="B513" t="s">
        <v>1209</v>
      </c>
      <c r="C513" t="s">
        <v>1187</v>
      </c>
    </row>
    <row r="514" spans="2:3" x14ac:dyDescent="0.25">
      <c r="B514" t="s">
        <v>1211</v>
      </c>
      <c r="C514" t="s">
        <v>1187</v>
      </c>
    </row>
    <row r="515" spans="2:3" x14ac:dyDescent="0.25">
      <c r="B515" t="s">
        <v>1213</v>
      </c>
      <c r="C515" t="s">
        <v>1187</v>
      </c>
    </row>
    <row r="516" spans="2:3" x14ac:dyDescent="0.25">
      <c r="B516" t="s">
        <v>319</v>
      </c>
      <c r="C516" t="s">
        <v>852</v>
      </c>
    </row>
    <row r="517" spans="2:3" x14ac:dyDescent="0.25">
      <c r="B517" t="s">
        <v>318</v>
      </c>
      <c r="C517" t="s">
        <v>319</v>
      </c>
    </row>
    <row r="518" spans="2:3" x14ac:dyDescent="0.25">
      <c r="B518" t="s">
        <v>320</v>
      </c>
      <c r="C518" t="s">
        <v>319</v>
      </c>
    </row>
    <row r="519" spans="2:3" x14ac:dyDescent="0.25">
      <c r="B519" t="s">
        <v>1215</v>
      </c>
      <c r="C519" t="s">
        <v>319</v>
      </c>
    </row>
    <row r="520" spans="2:3" x14ac:dyDescent="0.25">
      <c r="B520" t="s">
        <v>8386</v>
      </c>
      <c r="C520" t="s">
        <v>852</v>
      </c>
    </row>
    <row r="521" spans="2:3" x14ac:dyDescent="0.25">
      <c r="B521" t="s">
        <v>8387</v>
      </c>
      <c r="C521" t="s">
        <v>852</v>
      </c>
    </row>
    <row r="522" spans="2:3" x14ac:dyDescent="0.25">
      <c r="B522" t="s">
        <v>8388</v>
      </c>
      <c r="C522" t="s">
        <v>852</v>
      </c>
    </row>
    <row r="523" spans="2:3" x14ac:dyDescent="0.25">
      <c r="B523" t="s">
        <v>8389</v>
      </c>
      <c r="C523" t="s">
        <v>852</v>
      </c>
    </row>
    <row r="524" spans="2:3" x14ac:dyDescent="0.25">
      <c r="B524" t="s">
        <v>8390</v>
      </c>
      <c r="C524" t="s">
        <v>852</v>
      </c>
    </row>
    <row r="525" spans="2:3" x14ac:dyDescent="0.25">
      <c r="B525" t="s">
        <v>8391</v>
      </c>
      <c r="C525" t="s">
        <v>852</v>
      </c>
    </row>
    <row r="526" spans="2:3" x14ac:dyDescent="0.25">
      <c r="B526" t="s">
        <v>8392</v>
      </c>
      <c r="C526" t="s">
        <v>852</v>
      </c>
    </row>
    <row r="527" spans="2:3" x14ac:dyDescent="0.25">
      <c r="B527" t="s">
        <v>8393</v>
      </c>
      <c r="C527" t="s">
        <v>8392</v>
      </c>
    </row>
    <row r="528" spans="2:3" x14ac:dyDescent="0.25">
      <c r="B528" t="s">
        <v>853</v>
      </c>
      <c r="C528" t="s">
        <v>8392</v>
      </c>
    </row>
    <row r="529" spans="2:3" x14ac:dyDescent="0.25">
      <c r="B529" t="s">
        <v>3849</v>
      </c>
      <c r="C529" t="s">
        <v>8392</v>
      </c>
    </row>
    <row r="530" spans="2:3" x14ac:dyDescent="0.25">
      <c r="B530" t="s">
        <v>1202</v>
      </c>
      <c r="C530" t="s">
        <v>855</v>
      </c>
    </row>
    <row r="531" spans="2:3" x14ac:dyDescent="0.25">
      <c r="B531" t="s">
        <v>8394</v>
      </c>
      <c r="C531" t="s">
        <v>855</v>
      </c>
    </row>
    <row r="532" spans="2:3" x14ac:dyDescent="0.25">
      <c r="B532" t="s">
        <v>8395</v>
      </c>
      <c r="C532" t="s">
        <v>855</v>
      </c>
    </row>
    <row r="533" spans="2:3" x14ac:dyDescent="0.25">
      <c r="B533" t="s">
        <v>1200</v>
      </c>
      <c r="C533" t="s">
        <v>8395</v>
      </c>
    </row>
    <row r="534" spans="2:3" x14ac:dyDescent="0.25">
      <c r="B534" t="s">
        <v>869</v>
      </c>
      <c r="C534" t="s">
        <v>855</v>
      </c>
    </row>
    <row r="535" spans="2:3" x14ac:dyDescent="0.25">
      <c r="B535" t="s">
        <v>3864</v>
      </c>
      <c r="C535" t="s">
        <v>869</v>
      </c>
    </row>
    <row r="536" spans="2:3" x14ac:dyDescent="0.25">
      <c r="B536" t="s">
        <v>4939</v>
      </c>
      <c r="C536" t="s">
        <v>855</v>
      </c>
    </row>
    <row r="537" spans="2:3" x14ac:dyDescent="0.25">
      <c r="B537" t="s">
        <v>4941</v>
      </c>
      <c r="C537" t="s">
        <v>4939</v>
      </c>
    </row>
    <row r="538" spans="2:3" x14ac:dyDescent="0.25">
      <c r="B538" t="s">
        <v>4943</v>
      </c>
      <c r="C538" t="s">
        <v>4939</v>
      </c>
    </row>
    <row r="539" spans="2:3" x14ac:dyDescent="0.25">
      <c r="B539" t="s">
        <v>451</v>
      </c>
      <c r="C539" t="s">
        <v>3685</v>
      </c>
    </row>
    <row r="540" spans="2:3" x14ac:dyDescent="0.25">
      <c r="B540" t="s">
        <v>511</v>
      </c>
      <c r="C540" t="s">
        <v>451</v>
      </c>
    </row>
    <row r="541" spans="2:3" x14ac:dyDescent="0.25">
      <c r="B541" t="s">
        <v>814</v>
      </c>
      <c r="C541" t="s">
        <v>511</v>
      </c>
    </row>
    <row r="542" spans="2:3" x14ac:dyDescent="0.25">
      <c r="B542" t="s">
        <v>816</v>
      </c>
      <c r="C542" t="s">
        <v>814</v>
      </c>
    </row>
    <row r="543" spans="2:3" x14ac:dyDescent="0.25">
      <c r="B543" t="s">
        <v>824</v>
      </c>
      <c r="C543" t="s">
        <v>816</v>
      </c>
    </row>
    <row r="544" spans="2:3" x14ac:dyDescent="0.25">
      <c r="B544" t="s">
        <v>826</v>
      </c>
      <c r="C544" t="s">
        <v>816</v>
      </c>
    </row>
    <row r="545" spans="2:3" x14ac:dyDescent="0.25">
      <c r="B545" t="s">
        <v>818</v>
      </c>
      <c r="C545" t="s">
        <v>814</v>
      </c>
    </row>
    <row r="546" spans="2:3" x14ac:dyDescent="0.25">
      <c r="B546" t="s">
        <v>828</v>
      </c>
      <c r="C546" t="s">
        <v>818</v>
      </c>
    </row>
    <row r="547" spans="2:3" x14ac:dyDescent="0.25">
      <c r="B547" t="s">
        <v>830</v>
      </c>
      <c r="C547" t="s">
        <v>818</v>
      </c>
    </row>
    <row r="548" spans="2:3" x14ac:dyDescent="0.25">
      <c r="B548" t="s">
        <v>832</v>
      </c>
      <c r="C548" t="s">
        <v>818</v>
      </c>
    </row>
    <row r="549" spans="2:3" x14ac:dyDescent="0.25">
      <c r="B549" t="s">
        <v>834</v>
      </c>
      <c r="C549" t="s">
        <v>832</v>
      </c>
    </row>
    <row r="550" spans="2:3" x14ac:dyDescent="0.25">
      <c r="B550" t="s">
        <v>836</v>
      </c>
      <c r="C550" t="s">
        <v>832</v>
      </c>
    </row>
    <row r="551" spans="2:3" x14ac:dyDescent="0.25">
      <c r="B551" t="s">
        <v>838</v>
      </c>
      <c r="C551" t="s">
        <v>814</v>
      </c>
    </row>
    <row r="552" spans="2:3" x14ac:dyDescent="0.25">
      <c r="B552" t="s">
        <v>696</v>
      </c>
      <c r="C552" t="s">
        <v>814</v>
      </c>
    </row>
    <row r="553" spans="2:3" x14ac:dyDescent="0.25">
      <c r="B553" t="s">
        <v>698</v>
      </c>
      <c r="C553" t="s">
        <v>814</v>
      </c>
    </row>
    <row r="554" spans="2:3" x14ac:dyDescent="0.25">
      <c r="B554" t="s">
        <v>700</v>
      </c>
      <c r="C554" t="s">
        <v>814</v>
      </c>
    </row>
    <row r="555" spans="2:3" x14ac:dyDescent="0.25">
      <c r="B555" t="s">
        <v>702</v>
      </c>
      <c r="C555" t="s">
        <v>814</v>
      </c>
    </row>
    <row r="556" spans="2:3" x14ac:dyDescent="0.25">
      <c r="B556" t="s">
        <v>706</v>
      </c>
      <c r="C556" t="s">
        <v>814</v>
      </c>
    </row>
    <row r="557" spans="2:3" x14ac:dyDescent="0.25">
      <c r="B557" t="s">
        <v>688</v>
      </c>
      <c r="C557" t="s">
        <v>706</v>
      </c>
    </row>
    <row r="558" spans="2:3" x14ac:dyDescent="0.25">
      <c r="B558" t="s">
        <v>718</v>
      </c>
      <c r="C558" t="s">
        <v>706</v>
      </c>
    </row>
    <row r="559" spans="2:3" x14ac:dyDescent="0.25">
      <c r="B559" t="s">
        <v>686</v>
      </c>
      <c r="C559" t="s">
        <v>706</v>
      </c>
    </row>
    <row r="560" spans="2:3" x14ac:dyDescent="0.25">
      <c r="B560" t="s">
        <v>708</v>
      </c>
      <c r="C560" t="s">
        <v>814</v>
      </c>
    </row>
    <row r="561" spans="2:3" x14ac:dyDescent="0.25">
      <c r="B561" t="s">
        <v>710</v>
      </c>
      <c r="C561" t="s">
        <v>814</v>
      </c>
    </row>
    <row r="562" spans="2:3" x14ac:dyDescent="0.25">
      <c r="B562" t="s">
        <v>692</v>
      </c>
      <c r="C562" t="s">
        <v>511</v>
      </c>
    </row>
    <row r="563" spans="2:3" x14ac:dyDescent="0.25">
      <c r="B563" t="s">
        <v>712</v>
      </c>
      <c r="C563" t="s">
        <v>692</v>
      </c>
    </row>
    <row r="564" spans="2:3" x14ac:dyDescent="0.25">
      <c r="B564" t="s">
        <v>714</v>
      </c>
      <c r="C564" t="s">
        <v>692</v>
      </c>
    </row>
    <row r="565" spans="2:3" x14ac:dyDescent="0.25">
      <c r="B565" t="s">
        <v>716</v>
      </c>
      <c r="C565" t="s">
        <v>692</v>
      </c>
    </row>
    <row r="566" spans="2:3" x14ac:dyDescent="0.25">
      <c r="B566" t="s">
        <v>846</v>
      </c>
      <c r="C566" t="s">
        <v>451</v>
      </c>
    </row>
    <row r="567" spans="2:3" x14ac:dyDescent="0.25">
      <c r="B567" t="s">
        <v>491</v>
      </c>
      <c r="C567" t="s">
        <v>8331</v>
      </c>
    </row>
    <row r="568" spans="2:3" x14ac:dyDescent="0.25">
      <c r="B568" t="s">
        <v>377</v>
      </c>
      <c r="C568" t="s">
        <v>8331</v>
      </c>
    </row>
    <row r="569" spans="2:3" x14ac:dyDescent="0.25">
      <c r="B569" t="s">
        <v>357</v>
      </c>
      <c r="C569" t="s">
        <v>377</v>
      </c>
    </row>
    <row r="570" spans="2:3" x14ac:dyDescent="0.25">
      <c r="B570" t="s">
        <v>5966</v>
      </c>
      <c r="C570" t="s">
        <v>377</v>
      </c>
    </row>
    <row r="571" spans="2:3" x14ac:dyDescent="0.25">
      <c r="B571" t="s">
        <v>8396</v>
      </c>
      <c r="C571" t="s">
        <v>5966</v>
      </c>
    </row>
    <row r="572" spans="2:3" x14ac:dyDescent="0.25">
      <c r="B572" t="s">
        <v>8397</v>
      </c>
      <c r="C572" t="s">
        <v>5966</v>
      </c>
    </row>
    <row r="573" spans="2:3" x14ac:dyDescent="0.25">
      <c r="B573" t="s">
        <v>5967</v>
      </c>
      <c r="C573" t="s">
        <v>377</v>
      </c>
    </row>
    <row r="574" spans="2:3" x14ac:dyDescent="0.25">
      <c r="B574" t="s">
        <v>8398</v>
      </c>
      <c r="C574" t="s">
        <v>5967</v>
      </c>
    </row>
    <row r="575" spans="2:3" x14ac:dyDescent="0.25">
      <c r="B575" t="s">
        <v>8399</v>
      </c>
      <c r="C575" t="s">
        <v>5967</v>
      </c>
    </row>
    <row r="576" spans="2:3" x14ac:dyDescent="0.25">
      <c r="B576" t="s">
        <v>8400</v>
      </c>
      <c r="C576" t="s">
        <v>5967</v>
      </c>
    </row>
    <row r="577" spans="2:3" x14ac:dyDescent="0.25">
      <c r="B577" t="s">
        <v>5725</v>
      </c>
      <c r="C577" t="s">
        <v>8331</v>
      </c>
    </row>
    <row r="578" spans="2:3" x14ac:dyDescent="0.25">
      <c r="B578" t="s">
        <v>453</v>
      </c>
      <c r="C578" t="s">
        <v>5725</v>
      </c>
    </row>
    <row r="579" spans="2:3" x14ac:dyDescent="0.25">
      <c r="B579" t="s">
        <v>455</v>
      </c>
      <c r="C579" t="s">
        <v>5725</v>
      </c>
    </row>
    <row r="580" spans="2:3" x14ac:dyDescent="0.25">
      <c r="B580" t="s">
        <v>435</v>
      </c>
      <c r="C580" t="s">
        <v>5725</v>
      </c>
    </row>
    <row r="581" spans="2:3" x14ac:dyDescent="0.25">
      <c r="B581" t="s">
        <v>3687</v>
      </c>
      <c r="C581" t="s">
        <v>5725</v>
      </c>
    </row>
    <row r="582" spans="2:3" x14ac:dyDescent="0.25">
      <c r="B582" t="s">
        <v>449</v>
      </c>
      <c r="C582" t="s">
        <v>3687</v>
      </c>
    </row>
    <row r="583" spans="2:3" x14ac:dyDescent="0.25">
      <c r="B583" t="s">
        <v>505</v>
      </c>
      <c r="C583" t="s">
        <v>449</v>
      </c>
    </row>
    <row r="584" spans="2:3" x14ac:dyDescent="0.25">
      <c r="B584" t="s">
        <v>675</v>
      </c>
      <c r="C584" t="s">
        <v>505</v>
      </c>
    </row>
    <row r="585" spans="2:3" x14ac:dyDescent="0.25">
      <c r="B585" t="s">
        <v>1484</v>
      </c>
      <c r="C585" t="s">
        <v>3687</v>
      </c>
    </row>
    <row r="586" spans="2:3" x14ac:dyDescent="0.25">
      <c r="B586" t="s">
        <v>1487</v>
      </c>
      <c r="C586" t="s">
        <v>1484</v>
      </c>
    </row>
    <row r="587" spans="2:3" x14ac:dyDescent="0.25">
      <c r="B587" t="s">
        <v>1489</v>
      </c>
      <c r="C587" t="s">
        <v>1484</v>
      </c>
    </row>
    <row r="588" spans="2:3" x14ac:dyDescent="0.25">
      <c r="B588" t="s">
        <v>1493</v>
      </c>
      <c r="C588" t="s">
        <v>1489</v>
      </c>
    </row>
    <row r="589" spans="2:3" x14ac:dyDescent="0.25">
      <c r="B589" t="s">
        <v>1491</v>
      </c>
      <c r="C589" t="s">
        <v>1484</v>
      </c>
    </row>
    <row r="590" spans="2:3" x14ac:dyDescent="0.25">
      <c r="B590" t="s">
        <v>1497</v>
      </c>
      <c r="C590" t="s">
        <v>1491</v>
      </c>
    </row>
    <row r="591" spans="2:3" x14ac:dyDescent="0.25">
      <c r="B591" t="s">
        <v>1505</v>
      </c>
      <c r="C591" t="s">
        <v>1497</v>
      </c>
    </row>
    <row r="592" spans="2:3" x14ac:dyDescent="0.25">
      <c r="B592" t="s">
        <v>804</v>
      </c>
      <c r="C592" t="s">
        <v>5725</v>
      </c>
    </row>
    <row r="593" spans="2:3" x14ac:dyDescent="0.25">
      <c r="B593" t="s">
        <v>822</v>
      </c>
      <c r="C593" t="s">
        <v>5725</v>
      </c>
    </row>
    <row r="594" spans="2:3" x14ac:dyDescent="0.25">
      <c r="B594" t="s">
        <v>850</v>
      </c>
      <c r="C594" t="s">
        <v>5725</v>
      </c>
    </row>
    <row r="595" spans="2:3" x14ac:dyDescent="0.25">
      <c r="B595" t="s">
        <v>537</v>
      </c>
      <c r="C595" t="s">
        <v>5725</v>
      </c>
    </row>
    <row r="596" spans="2:3" x14ac:dyDescent="0.25">
      <c r="B596" t="s">
        <v>3338</v>
      </c>
      <c r="C596" t="s">
        <v>537</v>
      </c>
    </row>
    <row r="597" spans="2:3" x14ac:dyDescent="0.25">
      <c r="B597" t="s">
        <v>1511</v>
      </c>
      <c r="C597" t="s">
        <v>537</v>
      </c>
    </row>
    <row r="598" spans="2:3" x14ac:dyDescent="0.25">
      <c r="B598" t="s">
        <v>1513</v>
      </c>
      <c r="C598" t="s">
        <v>1511</v>
      </c>
    </row>
    <row r="599" spans="2:3" x14ac:dyDescent="0.25">
      <c r="B599" t="s">
        <v>1515</v>
      </c>
      <c r="C599" t="s">
        <v>1511</v>
      </c>
    </row>
    <row r="600" spans="2:3" x14ac:dyDescent="0.25">
      <c r="B600" t="s">
        <v>359</v>
      </c>
      <c r="C600" t="s">
        <v>5725</v>
      </c>
    </row>
    <row r="601" spans="2:3" x14ac:dyDescent="0.25">
      <c r="B601" t="s">
        <v>871</v>
      </c>
      <c r="C601" t="s">
        <v>5725</v>
      </c>
    </row>
    <row r="602" spans="2:3" x14ac:dyDescent="0.25">
      <c r="B602" t="s">
        <v>861</v>
      </c>
      <c r="C602" t="s">
        <v>5725</v>
      </c>
    </row>
    <row r="603" spans="2:3" x14ac:dyDescent="0.25">
      <c r="B603" t="s">
        <v>475</v>
      </c>
      <c r="C603" t="s">
        <v>5725</v>
      </c>
    </row>
    <row r="604" spans="2:3" x14ac:dyDescent="0.25">
      <c r="B604" t="s">
        <v>5300</v>
      </c>
      <c r="C604" t="s">
        <v>5725</v>
      </c>
    </row>
    <row r="605" spans="2:3" x14ac:dyDescent="0.25">
      <c r="B605" t="s">
        <v>379</v>
      </c>
      <c r="C605" t="s">
        <v>5725</v>
      </c>
    </row>
    <row r="606" spans="2:3" x14ac:dyDescent="0.25">
      <c r="B606" t="s">
        <v>381</v>
      </c>
      <c r="C606" t="s">
        <v>5725</v>
      </c>
    </row>
    <row r="607" spans="2:3" x14ac:dyDescent="0.25">
      <c r="B607" t="s">
        <v>383</v>
      </c>
      <c r="C607" t="s">
        <v>5725</v>
      </c>
    </row>
    <row r="608" spans="2:3" x14ac:dyDescent="0.25">
      <c r="B608" t="s">
        <v>385</v>
      </c>
      <c r="C608" t="s">
        <v>5725</v>
      </c>
    </row>
    <row r="609" spans="2:3" x14ac:dyDescent="0.25">
      <c r="B609" t="s">
        <v>389</v>
      </c>
      <c r="C609" t="s">
        <v>5725</v>
      </c>
    </row>
    <row r="610" spans="2:3" x14ac:dyDescent="0.25">
      <c r="B610" t="s">
        <v>457</v>
      </c>
      <c r="C610" t="s">
        <v>389</v>
      </c>
    </row>
    <row r="611" spans="2:3" x14ac:dyDescent="0.25">
      <c r="B611" t="s">
        <v>459</v>
      </c>
      <c r="C611" t="s">
        <v>389</v>
      </c>
    </row>
    <row r="612" spans="2:3" x14ac:dyDescent="0.25">
      <c r="B612" t="s">
        <v>513</v>
      </c>
      <c r="C612" t="s">
        <v>459</v>
      </c>
    </row>
    <row r="613" spans="2:3" x14ac:dyDescent="0.25">
      <c r="B613" t="s">
        <v>515</v>
      </c>
      <c r="C613" t="s">
        <v>459</v>
      </c>
    </row>
    <row r="614" spans="2:3" x14ac:dyDescent="0.25">
      <c r="B614" t="s">
        <v>517</v>
      </c>
      <c r="C614" t="s">
        <v>459</v>
      </c>
    </row>
    <row r="615" spans="2:3" x14ac:dyDescent="0.25">
      <c r="B615" t="s">
        <v>519</v>
      </c>
      <c r="C615" t="s">
        <v>459</v>
      </c>
    </row>
    <row r="616" spans="2:3" x14ac:dyDescent="0.25">
      <c r="B616" t="s">
        <v>6119</v>
      </c>
      <c r="C616" t="s">
        <v>5725</v>
      </c>
    </row>
    <row r="617" spans="2:3" x14ac:dyDescent="0.25">
      <c r="B617" t="s">
        <v>8401</v>
      </c>
      <c r="C617" t="s">
        <v>3679</v>
      </c>
    </row>
    <row r="618" spans="2:3" x14ac:dyDescent="0.25">
      <c r="B618" t="s">
        <v>8402</v>
      </c>
      <c r="C618" t="s">
        <v>3679</v>
      </c>
    </row>
    <row r="619" spans="2:3" x14ac:dyDescent="0.25">
      <c r="B619" t="s">
        <v>8403</v>
      </c>
      <c r="C619" t="s">
        <v>8402</v>
      </c>
    </row>
    <row r="620" spans="2:3" x14ac:dyDescent="0.25">
      <c r="B620" t="s">
        <v>8404</v>
      </c>
      <c r="C620" t="s">
        <v>8403</v>
      </c>
    </row>
    <row r="621" spans="2:3" x14ac:dyDescent="0.25">
      <c r="B621" t="s">
        <v>8405</v>
      </c>
      <c r="C621" t="s">
        <v>8403</v>
      </c>
    </row>
    <row r="622" spans="2:3" x14ac:dyDescent="0.25">
      <c r="B622" t="s">
        <v>8406</v>
      </c>
      <c r="C622" t="s">
        <v>8403</v>
      </c>
    </row>
    <row r="623" spans="2:3" x14ac:dyDescent="0.25">
      <c r="B623" t="s">
        <v>8407</v>
      </c>
      <c r="C623" t="s">
        <v>8403</v>
      </c>
    </row>
    <row r="624" spans="2:3" x14ac:dyDescent="0.25">
      <c r="B624" t="s">
        <v>8408</v>
      </c>
      <c r="C624" t="s">
        <v>8402</v>
      </c>
    </row>
    <row r="625" spans="2:3" x14ac:dyDescent="0.25">
      <c r="B625" t="s">
        <v>8409</v>
      </c>
      <c r="C625" t="s">
        <v>8408</v>
      </c>
    </row>
    <row r="626" spans="2:3" x14ac:dyDescent="0.25">
      <c r="B626" t="s">
        <v>8410</v>
      </c>
      <c r="C626" t="s">
        <v>8408</v>
      </c>
    </row>
    <row r="627" spans="2:3" x14ac:dyDescent="0.25">
      <c r="B627" t="s">
        <v>8411</v>
      </c>
      <c r="C627" t="s">
        <v>8408</v>
      </c>
    </row>
    <row r="628" spans="2:3" x14ac:dyDescent="0.25">
      <c r="B628" t="s">
        <v>7674</v>
      </c>
      <c r="C628" t="s">
        <v>3679</v>
      </c>
    </row>
    <row r="629" spans="2:3" x14ac:dyDescent="0.25">
      <c r="B629" t="s">
        <v>7675</v>
      </c>
      <c r="C629" t="s">
        <v>7674</v>
      </c>
    </row>
    <row r="630" spans="2:3" x14ac:dyDescent="0.25">
      <c r="B630" t="s">
        <v>7670</v>
      </c>
      <c r="C630" t="s">
        <v>7675</v>
      </c>
    </row>
    <row r="631" spans="2:3" x14ac:dyDescent="0.25">
      <c r="B631" t="s">
        <v>7676</v>
      </c>
      <c r="C631" t="s">
        <v>7674</v>
      </c>
    </row>
    <row r="632" spans="2:3" x14ac:dyDescent="0.25">
      <c r="B632" t="s">
        <v>7677</v>
      </c>
      <c r="C632" t="s">
        <v>7676</v>
      </c>
    </row>
    <row r="633" spans="2:3" x14ac:dyDescent="0.25">
      <c r="B633" t="s">
        <v>7678</v>
      </c>
      <c r="C633" t="s">
        <v>7676</v>
      </c>
    </row>
    <row r="634" spans="2:3" x14ac:dyDescent="0.25">
      <c r="B634" t="s">
        <v>8412</v>
      </c>
      <c r="C634" t="s">
        <v>3679</v>
      </c>
    </row>
    <row r="635" spans="2:3" x14ac:dyDescent="0.25">
      <c r="B635" t="s">
        <v>8413</v>
      </c>
      <c r="C635" t="s">
        <v>8412</v>
      </c>
    </row>
    <row r="636" spans="2:3" x14ac:dyDescent="0.25">
      <c r="B636" t="s">
        <v>8414</v>
      </c>
      <c r="C636" t="s">
        <v>8413</v>
      </c>
    </row>
    <row r="637" spans="2:3" x14ac:dyDescent="0.25">
      <c r="B637" t="s">
        <v>8415</v>
      </c>
      <c r="C637" t="s">
        <v>8412</v>
      </c>
    </row>
    <row r="638" spans="2:3" x14ac:dyDescent="0.25">
      <c r="B638" t="s">
        <v>8416</v>
      </c>
      <c r="C638" t="s">
        <v>8415</v>
      </c>
    </row>
    <row r="639" spans="2:3" x14ac:dyDescent="0.25">
      <c r="B639" t="s">
        <v>8417</v>
      </c>
      <c r="C639" t="s">
        <v>8415</v>
      </c>
    </row>
    <row r="640" spans="2:3" x14ac:dyDescent="0.25">
      <c r="B640" t="s">
        <v>5272</v>
      </c>
      <c r="C640" t="s">
        <v>3679</v>
      </c>
    </row>
    <row r="641" spans="2:3" x14ac:dyDescent="0.25">
      <c r="B641" t="s">
        <v>3827</v>
      </c>
      <c r="C641" t="s">
        <v>5272</v>
      </c>
    </row>
    <row r="642" spans="2:3" x14ac:dyDescent="0.25">
      <c r="B642" t="s">
        <v>3835</v>
      </c>
      <c r="C642" t="s">
        <v>3827</v>
      </c>
    </row>
    <row r="643" spans="2:3" x14ac:dyDescent="0.25">
      <c r="B643" t="s">
        <v>3838</v>
      </c>
      <c r="C643" t="s">
        <v>3835</v>
      </c>
    </row>
    <row r="644" spans="2:3" x14ac:dyDescent="0.25">
      <c r="B644" t="s">
        <v>3843</v>
      </c>
      <c r="C644" t="s">
        <v>3838</v>
      </c>
    </row>
    <row r="645" spans="2:3" x14ac:dyDescent="0.25">
      <c r="B645" t="s">
        <v>3840</v>
      </c>
      <c r="C645" t="s">
        <v>3835</v>
      </c>
    </row>
    <row r="646" spans="2:3" x14ac:dyDescent="0.25">
      <c r="B646" t="s">
        <v>3844</v>
      </c>
      <c r="C646" t="s">
        <v>3840</v>
      </c>
    </row>
    <row r="647" spans="2:3" x14ac:dyDescent="0.25">
      <c r="B647" t="s">
        <v>3842</v>
      </c>
      <c r="C647" t="s">
        <v>3835</v>
      </c>
    </row>
    <row r="648" spans="2:3" x14ac:dyDescent="0.25">
      <c r="B648" t="s">
        <v>8418</v>
      </c>
      <c r="C648" t="s">
        <v>3835</v>
      </c>
    </row>
    <row r="649" spans="2:3" x14ac:dyDescent="0.25">
      <c r="B649" t="s">
        <v>8419</v>
      </c>
      <c r="C649" t="s">
        <v>8418</v>
      </c>
    </row>
    <row r="650" spans="2:3" x14ac:dyDescent="0.25">
      <c r="B650" t="s">
        <v>8420</v>
      </c>
      <c r="C650" t="s">
        <v>3835</v>
      </c>
    </row>
    <row r="651" spans="2:3" x14ac:dyDescent="0.25">
      <c r="B651" t="s">
        <v>8421</v>
      </c>
      <c r="C651" t="s">
        <v>8420</v>
      </c>
    </row>
    <row r="652" spans="2:3" x14ac:dyDescent="0.25">
      <c r="B652" t="s">
        <v>3837</v>
      </c>
      <c r="C652" t="s">
        <v>3827</v>
      </c>
    </row>
    <row r="653" spans="2:3" x14ac:dyDescent="0.25">
      <c r="B653" t="s">
        <v>6357</v>
      </c>
      <c r="C653" t="s">
        <v>3827</v>
      </c>
    </row>
    <row r="654" spans="2:3" x14ac:dyDescent="0.25">
      <c r="B654" t="s">
        <v>6358</v>
      </c>
      <c r="C654" t="s">
        <v>6357</v>
      </c>
    </row>
    <row r="655" spans="2:3" x14ac:dyDescent="0.25">
      <c r="B655" t="s">
        <v>6359</v>
      </c>
      <c r="C655" t="s">
        <v>6357</v>
      </c>
    </row>
    <row r="656" spans="2:3" x14ac:dyDescent="0.25">
      <c r="B656" t="s">
        <v>6360</v>
      </c>
      <c r="C656" t="s">
        <v>3827</v>
      </c>
    </row>
    <row r="657" spans="2:3" x14ac:dyDescent="0.25">
      <c r="B657" t="s">
        <v>6361</v>
      </c>
      <c r="C657" t="s">
        <v>6360</v>
      </c>
    </row>
    <row r="658" spans="2:3" x14ac:dyDescent="0.25">
      <c r="B658" t="s">
        <v>6362</v>
      </c>
      <c r="C658" t="s">
        <v>6360</v>
      </c>
    </row>
    <row r="659" spans="2:3" x14ac:dyDescent="0.25">
      <c r="B659" t="s">
        <v>6363</v>
      </c>
      <c r="C659" t="s">
        <v>6360</v>
      </c>
    </row>
    <row r="660" spans="2:3" x14ac:dyDescent="0.25">
      <c r="B660" t="s">
        <v>6636</v>
      </c>
      <c r="C660" t="s">
        <v>6360</v>
      </c>
    </row>
    <row r="661" spans="2:3" x14ac:dyDescent="0.25">
      <c r="B661" t="s">
        <v>6364</v>
      </c>
      <c r="C661" t="s">
        <v>3827</v>
      </c>
    </row>
    <row r="662" spans="2:3" x14ac:dyDescent="0.25">
      <c r="B662" t="s">
        <v>6365</v>
      </c>
      <c r="C662" t="s">
        <v>6364</v>
      </c>
    </row>
    <row r="663" spans="2:3" x14ac:dyDescent="0.25">
      <c r="B663" t="s">
        <v>6366</v>
      </c>
      <c r="C663" t="s">
        <v>6364</v>
      </c>
    </row>
    <row r="664" spans="2:3" x14ac:dyDescent="0.25">
      <c r="B664" t="s">
        <v>6367</v>
      </c>
      <c r="C664" t="s">
        <v>6364</v>
      </c>
    </row>
    <row r="665" spans="2:3" x14ac:dyDescent="0.25">
      <c r="B665" t="s">
        <v>6368</v>
      </c>
      <c r="C665" t="s">
        <v>6364</v>
      </c>
    </row>
    <row r="666" spans="2:3" x14ac:dyDescent="0.25">
      <c r="B666" t="s">
        <v>6369</v>
      </c>
      <c r="C666" t="s">
        <v>6364</v>
      </c>
    </row>
    <row r="667" spans="2:3" x14ac:dyDescent="0.25">
      <c r="B667" t="s">
        <v>6370</v>
      </c>
      <c r="C667" t="s">
        <v>6364</v>
      </c>
    </row>
    <row r="668" spans="2:3" x14ac:dyDescent="0.25">
      <c r="B668" t="s">
        <v>6371</v>
      </c>
      <c r="C668" t="s">
        <v>6364</v>
      </c>
    </row>
    <row r="669" spans="2:3" x14ac:dyDescent="0.25">
      <c r="B669" t="s">
        <v>6372</v>
      </c>
      <c r="C669" t="s">
        <v>3827</v>
      </c>
    </row>
    <row r="670" spans="2:3" x14ac:dyDescent="0.25">
      <c r="B670" t="s">
        <v>6373</v>
      </c>
      <c r="C670" t="s">
        <v>3827</v>
      </c>
    </row>
    <row r="671" spans="2:3" x14ac:dyDescent="0.25">
      <c r="B671" t="s">
        <v>6374</v>
      </c>
      <c r="C671" t="s">
        <v>6373</v>
      </c>
    </row>
    <row r="672" spans="2:3" x14ac:dyDescent="0.25">
      <c r="B672" t="s">
        <v>6375</v>
      </c>
      <c r="C672" t="s">
        <v>3827</v>
      </c>
    </row>
    <row r="673" spans="2:3" x14ac:dyDescent="0.25">
      <c r="B673" t="s">
        <v>6376</v>
      </c>
      <c r="C673" t="s">
        <v>6375</v>
      </c>
    </row>
    <row r="674" spans="2:3" x14ac:dyDescent="0.25">
      <c r="B674" t="s">
        <v>6377</v>
      </c>
      <c r="C674" t="s">
        <v>6375</v>
      </c>
    </row>
    <row r="675" spans="2:3" x14ac:dyDescent="0.25">
      <c r="B675" t="s">
        <v>6378</v>
      </c>
      <c r="C675" t="s">
        <v>6375</v>
      </c>
    </row>
    <row r="676" spans="2:3" x14ac:dyDescent="0.25">
      <c r="B676" t="s">
        <v>6379</v>
      </c>
      <c r="C676" t="s">
        <v>6375</v>
      </c>
    </row>
    <row r="677" spans="2:3" x14ac:dyDescent="0.25">
      <c r="B677" t="s">
        <v>6380</v>
      </c>
      <c r="C677" t="s">
        <v>6375</v>
      </c>
    </row>
    <row r="678" spans="2:3" x14ac:dyDescent="0.25">
      <c r="B678" t="s">
        <v>6381</v>
      </c>
      <c r="C678" t="s">
        <v>3827</v>
      </c>
    </row>
    <row r="679" spans="2:3" x14ac:dyDescent="0.25">
      <c r="B679" t="s">
        <v>6382</v>
      </c>
      <c r="C679" t="s">
        <v>3827</v>
      </c>
    </row>
    <row r="680" spans="2:3" x14ac:dyDescent="0.25">
      <c r="B680" t="s">
        <v>6383</v>
      </c>
      <c r="C680" t="s">
        <v>6382</v>
      </c>
    </row>
    <row r="681" spans="2:3" x14ac:dyDescent="0.25">
      <c r="B681" t="s">
        <v>3220</v>
      </c>
      <c r="C681" t="s">
        <v>5272</v>
      </c>
    </row>
    <row r="682" spans="2:3" x14ac:dyDescent="0.25">
      <c r="B682" t="s">
        <v>3707</v>
      </c>
      <c r="C682" t="s">
        <v>3220</v>
      </c>
    </row>
    <row r="683" spans="2:3" x14ac:dyDescent="0.25">
      <c r="B683" t="s">
        <v>3705</v>
      </c>
      <c r="C683" t="s">
        <v>3707</v>
      </c>
    </row>
    <row r="684" spans="2:3" x14ac:dyDescent="0.25">
      <c r="B684" t="s">
        <v>6219</v>
      </c>
      <c r="C684" t="s">
        <v>3220</v>
      </c>
    </row>
    <row r="685" spans="2:3" x14ac:dyDescent="0.25">
      <c r="B685" t="s">
        <v>6221</v>
      </c>
      <c r="C685" t="s">
        <v>6219</v>
      </c>
    </row>
    <row r="686" spans="2:3" x14ac:dyDescent="0.25">
      <c r="B686" t="s">
        <v>6223</v>
      </c>
      <c r="C686" t="s">
        <v>6221</v>
      </c>
    </row>
    <row r="687" spans="2:3" x14ac:dyDescent="0.25">
      <c r="B687" t="s">
        <v>1684</v>
      </c>
      <c r="C687" t="s">
        <v>3220</v>
      </c>
    </row>
    <row r="688" spans="2:3" x14ac:dyDescent="0.25">
      <c r="B688" t="s">
        <v>3331</v>
      </c>
      <c r="C688" t="s">
        <v>1684</v>
      </c>
    </row>
    <row r="689" spans="2:3" x14ac:dyDescent="0.25">
      <c r="B689" t="s">
        <v>3330</v>
      </c>
      <c r="C689" t="s">
        <v>3331</v>
      </c>
    </row>
    <row r="690" spans="2:3" x14ac:dyDescent="0.25">
      <c r="B690" t="s">
        <v>8422</v>
      </c>
      <c r="C690" t="s">
        <v>1684</v>
      </c>
    </row>
    <row r="691" spans="2:3" x14ac:dyDescent="0.25">
      <c r="B691" t="s">
        <v>8423</v>
      </c>
      <c r="C691" t="s">
        <v>8422</v>
      </c>
    </row>
    <row r="692" spans="2:3" x14ac:dyDescent="0.25">
      <c r="B692" t="s">
        <v>8424</v>
      </c>
      <c r="C692" t="s">
        <v>1684</v>
      </c>
    </row>
    <row r="693" spans="2:3" x14ac:dyDescent="0.25">
      <c r="B693" t="s">
        <v>6627</v>
      </c>
      <c r="C693" t="s">
        <v>8424</v>
      </c>
    </row>
    <row r="694" spans="2:3" x14ac:dyDescent="0.25">
      <c r="B694" t="s">
        <v>8425</v>
      </c>
      <c r="C694" t="s">
        <v>1684</v>
      </c>
    </row>
    <row r="695" spans="2:3" x14ac:dyDescent="0.25">
      <c r="B695" t="s">
        <v>6226</v>
      </c>
      <c r="C695" t="s">
        <v>1684</v>
      </c>
    </row>
    <row r="696" spans="2:3" x14ac:dyDescent="0.25">
      <c r="B696" t="s">
        <v>6228</v>
      </c>
      <c r="C696" t="s">
        <v>6226</v>
      </c>
    </row>
    <row r="697" spans="2:3" x14ac:dyDescent="0.25">
      <c r="B697" t="s">
        <v>6229</v>
      </c>
      <c r="C697" t="s">
        <v>1684</v>
      </c>
    </row>
    <row r="698" spans="2:3" x14ac:dyDescent="0.25">
      <c r="B698" t="s">
        <v>6231</v>
      </c>
      <c r="C698" t="s">
        <v>6229</v>
      </c>
    </row>
    <row r="699" spans="2:3" x14ac:dyDescent="0.25">
      <c r="B699" t="s">
        <v>6232</v>
      </c>
      <c r="C699" t="s">
        <v>1684</v>
      </c>
    </row>
    <row r="700" spans="2:3" x14ac:dyDescent="0.25">
      <c r="B700" t="s">
        <v>6234</v>
      </c>
      <c r="C700" t="s">
        <v>6232</v>
      </c>
    </row>
    <row r="701" spans="2:3" x14ac:dyDescent="0.25">
      <c r="B701" t="s">
        <v>3845</v>
      </c>
      <c r="C701" t="s">
        <v>1684</v>
      </c>
    </row>
    <row r="702" spans="2:3" x14ac:dyDescent="0.25">
      <c r="B702" t="s">
        <v>6626</v>
      </c>
      <c r="C702" t="s">
        <v>3845</v>
      </c>
    </row>
    <row r="703" spans="2:3" x14ac:dyDescent="0.25">
      <c r="B703" t="s">
        <v>6235</v>
      </c>
      <c r="C703" t="s">
        <v>1684</v>
      </c>
    </row>
    <row r="704" spans="2:3" x14ac:dyDescent="0.25">
      <c r="B704" t="s">
        <v>6237</v>
      </c>
      <c r="C704" t="s">
        <v>6235</v>
      </c>
    </row>
    <row r="705" spans="2:3" x14ac:dyDescent="0.25">
      <c r="B705" t="s">
        <v>8426</v>
      </c>
      <c r="C705" t="s">
        <v>1684</v>
      </c>
    </row>
    <row r="706" spans="2:3" x14ac:dyDescent="0.25">
      <c r="B706" t="s">
        <v>8427</v>
      </c>
      <c r="C706" t="s">
        <v>8426</v>
      </c>
    </row>
    <row r="707" spans="2:3" x14ac:dyDescent="0.25">
      <c r="B707" t="s">
        <v>8428</v>
      </c>
      <c r="C707" t="s">
        <v>8426</v>
      </c>
    </row>
    <row r="708" spans="2:3" x14ac:dyDescent="0.25">
      <c r="B708" t="s">
        <v>1682</v>
      </c>
      <c r="C708" t="s">
        <v>1684</v>
      </c>
    </row>
    <row r="709" spans="2:3" x14ac:dyDescent="0.25">
      <c r="B709" t="s">
        <v>1685</v>
      </c>
      <c r="C709" t="s">
        <v>1682</v>
      </c>
    </row>
    <row r="710" spans="2:3" x14ac:dyDescent="0.25">
      <c r="B710" t="s">
        <v>1232</v>
      </c>
      <c r="C710" t="s">
        <v>1684</v>
      </c>
    </row>
    <row r="711" spans="2:3" x14ac:dyDescent="0.25">
      <c r="B711" t="s">
        <v>6239</v>
      </c>
      <c r="C711" t="s">
        <v>1232</v>
      </c>
    </row>
    <row r="712" spans="2:3" x14ac:dyDescent="0.25">
      <c r="B712" t="s">
        <v>3829</v>
      </c>
      <c r="C712" t="s">
        <v>1684</v>
      </c>
    </row>
    <row r="713" spans="2:3" x14ac:dyDescent="0.25">
      <c r="B713" t="s">
        <v>3833</v>
      </c>
      <c r="C713" t="s">
        <v>3829</v>
      </c>
    </row>
    <row r="714" spans="2:3" x14ac:dyDescent="0.25">
      <c r="B714" t="s">
        <v>3831</v>
      </c>
      <c r="C714" t="s">
        <v>1684</v>
      </c>
    </row>
    <row r="715" spans="2:3" x14ac:dyDescent="0.25">
      <c r="B715" t="s">
        <v>3834</v>
      </c>
      <c r="C715" t="s">
        <v>3831</v>
      </c>
    </row>
    <row r="716" spans="2:3" x14ac:dyDescent="0.25">
      <c r="B716" t="s">
        <v>6355</v>
      </c>
      <c r="C716" t="s">
        <v>1684</v>
      </c>
    </row>
    <row r="717" spans="2:3" x14ac:dyDescent="0.25">
      <c r="B717" t="s">
        <v>6241</v>
      </c>
      <c r="C717" t="s">
        <v>3220</v>
      </c>
    </row>
    <row r="718" spans="2:3" x14ac:dyDescent="0.25">
      <c r="B718" t="s">
        <v>1534</v>
      </c>
      <c r="C718" t="s">
        <v>6241</v>
      </c>
    </row>
    <row r="719" spans="2:3" x14ac:dyDescent="0.25">
      <c r="B719" t="s">
        <v>1533</v>
      </c>
      <c r="C719" t="s">
        <v>1534</v>
      </c>
    </row>
    <row r="720" spans="2:3" x14ac:dyDescent="0.25">
      <c r="B720" t="s">
        <v>6244</v>
      </c>
      <c r="C720" t="s">
        <v>1534</v>
      </c>
    </row>
    <row r="721" spans="2:3" x14ac:dyDescent="0.25">
      <c r="B721" t="s">
        <v>6245</v>
      </c>
      <c r="C721" t="s">
        <v>6241</v>
      </c>
    </row>
    <row r="722" spans="2:3" x14ac:dyDescent="0.25">
      <c r="B722" t="s">
        <v>6247</v>
      </c>
      <c r="C722" t="s">
        <v>6245</v>
      </c>
    </row>
    <row r="723" spans="2:3" x14ac:dyDescent="0.25">
      <c r="B723" t="s">
        <v>6248</v>
      </c>
      <c r="C723" t="s">
        <v>6241</v>
      </c>
    </row>
    <row r="724" spans="2:3" x14ac:dyDescent="0.25">
      <c r="B724" t="s">
        <v>6250</v>
      </c>
      <c r="C724" t="s">
        <v>6248</v>
      </c>
    </row>
    <row r="725" spans="2:3" x14ac:dyDescent="0.25">
      <c r="B725" t="s">
        <v>6251</v>
      </c>
      <c r="C725" t="s">
        <v>6241</v>
      </c>
    </row>
    <row r="726" spans="2:3" x14ac:dyDescent="0.25">
      <c r="B726" t="s">
        <v>6253</v>
      </c>
      <c r="C726" t="s">
        <v>6251</v>
      </c>
    </row>
    <row r="727" spans="2:3" x14ac:dyDescent="0.25">
      <c r="B727" t="s">
        <v>6254</v>
      </c>
      <c r="C727" t="s">
        <v>6241</v>
      </c>
    </row>
    <row r="728" spans="2:3" x14ac:dyDescent="0.25">
      <c r="B728" t="s">
        <v>6256</v>
      </c>
      <c r="C728" t="s">
        <v>6254</v>
      </c>
    </row>
    <row r="729" spans="2:3" x14ac:dyDescent="0.25">
      <c r="B729" t="s">
        <v>6257</v>
      </c>
      <c r="C729" t="s">
        <v>6241</v>
      </c>
    </row>
    <row r="730" spans="2:3" x14ac:dyDescent="0.25">
      <c r="B730" t="s">
        <v>6259</v>
      </c>
      <c r="C730" t="s">
        <v>6257</v>
      </c>
    </row>
    <row r="731" spans="2:3" x14ac:dyDescent="0.25">
      <c r="B731" t="s">
        <v>8429</v>
      </c>
      <c r="C731" t="s">
        <v>6241</v>
      </c>
    </row>
    <row r="732" spans="2:3" x14ac:dyDescent="0.25">
      <c r="B732" t="s">
        <v>8430</v>
      </c>
      <c r="C732" t="s">
        <v>8429</v>
      </c>
    </row>
    <row r="733" spans="2:3" x14ac:dyDescent="0.25">
      <c r="B733" t="s">
        <v>8431</v>
      </c>
      <c r="C733" t="s">
        <v>8430</v>
      </c>
    </row>
    <row r="734" spans="2:3" x14ac:dyDescent="0.25">
      <c r="B734" t="s">
        <v>8432</v>
      </c>
      <c r="C734" t="s">
        <v>8429</v>
      </c>
    </row>
    <row r="735" spans="2:3" x14ac:dyDescent="0.25">
      <c r="B735" t="s">
        <v>8433</v>
      </c>
      <c r="C735" t="s">
        <v>8432</v>
      </c>
    </row>
    <row r="736" spans="2:3" x14ac:dyDescent="0.25">
      <c r="B736" t="s">
        <v>8434</v>
      </c>
      <c r="C736" t="s">
        <v>8429</v>
      </c>
    </row>
    <row r="737" spans="2:3" x14ac:dyDescent="0.25">
      <c r="B737" t="s">
        <v>8435</v>
      </c>
      <c r="C737" t="s">
        <v>8434</v>
      </c>
    </row>
    <row r="738" spans="2:3" x14ac:dyDescent="0.25">
      <c r="B738" t="s">
        <v>8436</v>
      </c>
      <c r="C738" t="s">
        <v>8429</v>
      </c>
    </row>
    <row r="739" spans="2:3" x14ac:dyDescent="0.25">
      <c r="B739" t="s">
        <v>8437</v>
      </c>
      <c r="C739" t="s">
        <v>8436</v>
      </c>
    </row>
    <row r="740" spans="2:3" x14ac:dyDescent="0.25">
      <c r="B740" t="s">
        <v>8438</v>
      </c>
      <c r="C740" t="s">
        <v>8429</v>
      </c>
    </row>
    <row r="741" spans="2:3" x14ac:dyDescent="0.25">
      <c r="B741" t="s">
        <v>8439</v>
      </c>
      <c r="C741" t="s">
        <v>8438</v>
      </c>
    </row>
    <row r="742" spans="2:3" x14ac:dyDescent="0.25">
      <c r="B742" t="s">
        <v>8440</v>
      </c>
      <c r="C742" t="s">
        <v>8429</v>
      </c>
    </row>
    <row r="743" spans="2:3" x14ac:dyDescent="0.25">
      <c r="B743" t="s">
        <v>8441</v>
      </c>
      <c r="C743" t="s">
        <v>8440</v>
      </c>
    </row>
    <row r="744" spans="2:3" x14ac:dyDescent="0.25">
      <c r="B744" t="s">
        <v>8442</v>
      </c>
      <c r="C744" t="s">
        <v>8429</v>
      </c>
    </row>
    <row r="745" spans="2:3" x14ac:dyDescent="0.25">
      <c r="B745" t="s">
        <v>8443</v>
      </c>
      <c r="C745" t="s">
        <v>8442</v>
      </c>
    </row>
    <row r="746" spans="2:3" x14ac:dyDescent="0.25">
      <c r="B746" t="s">
        <v>7906</v>
      </c>
      <c r="C746" t="s">
        <v>8429</v>
      </c>
    </row>
    <row r="747" spans="2:3" x14ac:dyDescent="0.25">
      <c r="B747" t="s">
        <v>8444</v>
      </c>
      <c r="C747" t="s">
        <v>7906</v>
      </c>
    </row>
    <row r="748" spans="2:3" x14ac:dyDescent="0.25">
      <c r="B748" t="s">
        <v>8445</v>
      </c>
      <c r="C748" t="s">
        <v>8429</v>
      </c>
    </row>
    <row r="749" spans="2:3" x14ac:dyDescent="0.25">
      <c r="B749" t="s">
        <v>8446</v>
      </c>
      <c r="C749" t="s">
        <v>8445</v>
      </c>
    </row>
    <row r="750" spans="2:3" x14ac:dyDescent="0.25">
      <c r="B750" t="s">
        <v>8447</v>
      </c>
      <c r="C750" t="s">
        <v>8429</v>
      </c>
    </row>
    <row r="751" spans="2:3" x14ac:dyDescent="0.25">
      <c r="B751" t="s">
        <v>8448</v>
      </c>
      <c r="C751" t="s">
        <v>8447</v>
      </c>
    </row>
    <row r="752" spans="2:3" x14ac:dyDescent="0.25">
      <c r="B752" t="s">
        <v>8449</v>
      </c>
      <c r="C752" t="s">
        <v>6241</v>
      </c>
    </row>
    <row r="753" spans="2:3" x14ac:dyDescent="0.25">
      <c r="B753" t="s">
        <v>8450</v>
      </c>
      <c r="C753" t="s">
        <v>8449</v>
      </c>
    </row>
    <row r="754" spans="2:3" x14ac:dyDescent="0.25">
      <c r="B754" t="s">
        <v>6260</v>
      </c>
      <c r="C754" t="s">
        <v>6241</v>
      </c>
    </row>
    <row r="755" spans="2:3" x14ac:dyDescent="0.25">
      <c r="B755" t="s">
        <v>6262</v>
      </c>
      <c r="C755" t="s">
        <v>6260</v>
      </c>
    </row>
    <row r="756" spans="2:3" x14ac:dyDescent="0.25">
      <c r="B756" t="s">
        <v>5289</v>
      </c>
      <c r="C756" t="s">
        <v>6241</v>
      </c>
    </row>
    <row r="757" spans="2:3" x14ac:dyDescent="0.25">
      <c r="B757" t="s">
        <v>5288</v>
      </c>
      <c r="C757" t="s">
        <v>5289</v>
      </c>
    </row>
    <row r="758" spans="2:3" x14ac:dyDescent="0.25">
      <c r="B758" t="s">
        <v>8451</v>
      </c>
      <c r="C758" t="s">
        <v>3220</v>
      </c>
    </row>
    <row r="759" spans="2:3" x14ac:dyDescent="0.25">
      <c r="B759" t="s">
        <v>8452</v>
      </c>
      <c r="C759" t="s">
        <v>8451</v>
      </c>
    </row>
    <row r="760" spans="2:3" x14ac:dyDescent="0.25">
      <c r="B760" t="s">
        <v>8453</v>
      </c>
      <c r="C760" t="s">
        <v>8452</v>
      </c>
    </row>
    <row r="761" spans="2:3" x14ac:dyDescent="0.25">
      <c r="B761" t="s">
        <v>6264</v>
      </c>
      <c r="C761" t="s">
        <v>3220</v>
      </c>
    </row>
    <row r="762" spans="2:3" x14ac:dyDescent="0.25">
      <c r="B762" t="s">
        <v>6266</v>
      </c>
      <c r="C762" t="s">
        <v>6264</v>
      </c>
    </row>
    <row r="763" spans="2:3" x14ac:dyDescent="0.25">
      <c r="B763" t="s">
        <v>6267</v>
      </c>
      <c r="C763" t="s">
        <v>6266</v>
      </c>
    </row>
    <row r="764" spans="2:3" x14ac:dyDescent="0.25">
      <c r="B764" t="s">
        <v>6268</v>
      </c>
      <c r="C764" t="s">
        <v>6264</v>
      </c>
    </row>
    <row r="765" spans="2:3" x14ac:dyDescent="0.25">
      <c r="B765" t="s">
        <v>6270</v>
      </c>
      <c r="C765" t="s">
        <v>6268</v>
      </c>
    </row>
    <row r="766" spans="2:3" x14ac:dyDescent="0.25">
      <c r="B766" t="s">
        <v>6271</v>
      </c>
      <c r="C766" t="s">
        <v>6264</v>
      </c>
    </row>
    <row r="767" spans="2:3" x14ac:dyDescent="0.25">
      <c r="B767" t="s">
        <v>8454</v>
      </c>
      <c r="C767" t="s">
        <v>6271</v>
      </c>
    </row>
    <row r="768" spans="2:3" x14ac:dyDescent="0.25">
      <c r="B768" t="s">
        <v>8455</v>
      </c>
      <c r="C768" t="s">
        <v>8454</v>
      </c>
    </row>
    <row r="769" spans="2:3" x14ac:dyDescent="0.25">
      <c r="B769" t="s">
        <v>8456</v>
      </c>
      <c r="C769" t="s">
        <v>6271</v>
      </c>
    </row>
    <row r="770" spans="2:3" x14ac:dyDescent="0.25">
      <c r="B770" t="s">
        <v>8457</v>
      </c>
      <c r="C770" t="s">
        <v>8456</v>
      </c>
    </row>
    <row r="771" spans="2:3" x14ac:dyDescent="0.25">
      <c r="B771" t="s">
        <v>8458</v>
      </c>
      <c r="C771" t="s">
        <v>6271</v>
      </c>
    </row>
    <row r="772" spans="2:3" x14ac:dyDescent="0.25">
      <c r="B772" t="s">
        <v>8459</v>
      </c>
      <c r="C772" t="s">
        <v>8458</v>
      </c>
    </row>
    <row r="773" spans="2:3" x14ac:dyDescent="0.25">
      <c r="B773" t="s">
        <v>6273</v>
      </c>
      <c r="C773" t="s">
        <v>6271</v>
      </c>
    </row>
    <row r="774" spans="2:3" x14ac:dyDescent="0.25">
      <c r="B774" t="s">
        <v>6274</v>
      </c>
      <c r="C774" t="s">
        <v>6264</v>
      </c>
    </row>
    <row r="775" spans="2:3" x14ac:dyDescent="0.25">
      <c r="B775" t="s">
        <v>6276</v>
      </c>
      <c r="C775" t="s">
        <v>6274</v>
      </c>
    </row>
    <row r="776" spans="2:3" x14ac:dyDescent="0.25">
      <c r="B776" t="s">
        <v>8460</v>
      </c>
      <c r="C776" t="s">
        <v>6264</v>
      </c>
    </row>
    <row r="777" spans="2:3" x14ac:dyDescent="0.25">
      <c r="B777" t="s">
        <v>6624</v>
      </c>
      <c r="C777" t="s">
        <v>8460</v>
      </c>
    </row>
    <row r="778" spans="2:3" x14ac:dyDescent="0.25">
      <c r="B778" t="s">
        <v>8461</v>
      </c>
      <c r="C778" t="s">
        <v>6264</v>
      </c>
    </row>
    <row r="779" spans="2:3" x14ac:dyDescent="0.25">
      <c r="B779" t="s">
        <v>6625</v>
      </c>
      <c r="C779" t="s">
        <v>8461</v>
      </c>
    </row>
    <row r="780" spans="2:3" x14ac:dyDescent="0.25">
      <c r="B780" t="s">
        <v>6277</v>
      </c>
      <c r="C780" t="s">
        <v>6264</v>
      </c>
    </row>
    <row r="781" spans="2:3" x14ac:dyDescent="0.25">
      <c r="B781" t="s">
        <v>6279</v>
      </c>
      <c r="C781" t="s">
        <v>6277</v>
      </c>
    </row>
    <row r="782" spans="2:3" x14ac:dyDescent="0.25">
      <c r="B782" t="s">
        <v>8462</v>
      </c>
      <c r="C782" t="s">
        <v>6264</v>
      </c>
    </row>
    <row r="783" spans="2:3" x14ac:dyDescent="0.25">
      <c r="B783" t="s">
        <v>8463</v>
      </c>
      <c r="C783" t="s">
        <v>8462</v>
      </c>
    </row>
    <row r="784" spans="2:3" x14ac:dyDescent="0.25">
      <c r="B784" t="s">
        <v>8464</v>
      </c>
      <c r="C784" t="s">
        <v>6264</v>
      </c>
    </row>
    <row r="785" spans="2:3" x14ac:dyDescent="0.25">
      <c r="B785" t="s">
        <v>8465</v>
      </c>
      <c r="C785" t="s">
        <v>8464</v>
      </c>
    </row>
    <row r="786" spans="2:3" x14ac:dyDescent="0.25">
      <c r="B786" t="s">
        <v>8466</v>
      </c>
      <c r="C786" t="s">
        <v>6264</v>
      </c>
    </row>
    <row r="787" spans="2:3" x14ac:dyDescent="0.25">
      <c r="B787" t="s">
        <v>8467</v>
      </c>
      <c r="C787" t="s">
        <v>8466</v>
      </c>
    </row>
    <row r="788" spans="2:3" x14ac:dyDescent="0.25">
      <c r="B788" t="s">
        <v>6280</v>
      </c>
      <c r="C788" t="s">
        <v>6264</v>
      </c>
    </row>
    <row r="789" spans="2:3" x14ac:dyDescent="0.25">
      <c r="B789" t="s">
        <v>6282</v>
      </c>
      <c r="C789" t="s">
        <v>6280</v>
      </c>
    </row>
    <row r="790" spans="2:3" x14ac:dyDescent="0.25">
      <c r="B790" t="s">
        <v>6283</v>
      </c>
      <c r="C790" t="s">
        <v>6264</v>
      </c>
    </row>
    <row r="791" spans="2:3" x14ac:dyDescent="0.25">
      <c r="B791" t="s">
        <v>6285</v>
      </c>
      <c r="C791" t="s">
        <v>6283</v>
      </c>
    </row>
    <row r="792" spans="2:3" x14ac:dyDescent="0.25">
      <c r="B792" t="s">
        <v>6286</v>
      </c>
      <c r="C792" t="s">
        <v>6264</v>
      </c>
    </row>
    <row r="793" spans="2:3" x14ac:dyDescent="0.25">
      <c r="B793" t="s">
        <v>6288</v>
      </c>
      <c r="C793" t="s">
        <v>6286</v>
      </c>
    </row>
    <row r="794" spans="2:3" x14ac:dyDescent="0.25">
      <c r="B794" t="s">
        <v>6289</v>
      </c>
      <c r="C794" t="s">
        <v>6264</v>
      </c>
    </row>
    <row r="795" spans="2:3" x14ac:dyDescent="0.25">
      <c r="B795" t="s">
        <v>6291</v>
      </c>
      <c r="C795" t="s">
        <v>6289</v>
      </c>
    </row>
    <row r="796" spans="2:3" x14ac:dyDescent="0.25">
      <c r="B796" t="s">
        <v>6292</v>
      </c>
      <c r="C796" t="s">
        <v>6264</v>
      </c>
    </row>
    <row r="797" spans="2:3" x14ac:dyDescent="0.25">
      <c r="B797" t="s">
        <v>6294</v>
      </c>
      <c r="C797" t="s">
        <v>6292</v>
      </c>
    </row>
    <row r="798" spans="2:3" x14ac:dyDescent="0.25">
      <c r="B798" t="s">
        <v>6295</v>
      </c>
      <c r="C798" t="s">
        <v>3220</v>
      </c>
    </row>
    <row r="799" spans="2:3" x14ac:dyDescent="0.25">
      <c r="B799" t="s">
        <v>6297</v>
      </c>
      <c r="C799" t="s">
        <v>6295</v>
      </c>
    </row>
    <row r="800" spans="2:3" x14ac:dyDescent="0.25">
      <c r="B800" t="s">
        <v>6299</v>
      </c>
      <c r="C800" t="s">
        <v>6297</v>
      </c>
    </row>
    <row r="801" spans="2:3" x14ac:dyDescent="0.25">
      <c r="B801" t="s">
        <v>6300</v>
      </c>
      <c r="C801" t="s">
        <v>6295</v>
      </c>
    </row>
    <row r="802" spans="2:3" x14ac:dyDescent="0.25">
      <c r="B802" t="s">
        <v>6302</v>
      </c>
      <c r="C802" t="s">
        <v>6300</v>
      </c>
    </row>
    <row r="803" spans="2:3" x14ac:dyDescent="0.25">
      <c r="B803" t="s">
        <v>6303</v>
      </c>
      <c r="C803" t="s">
        <v>6295</v>
      </c>
    </row>
    <row r="804" spans="2:3" x14ac:dyDescent="0.25">
      <c r="B804" t="s">
        <v>6305</v>
      </c>
      <c r="C804" t="s">
        <v>6303</v>
      </c>
    </row>
    <row r="805" spans="2:3" x14ac:dyDescent="0.25">
      <c r="B805" t="s">
        <v>6306</v>
      </c>
      <c r="C805" t="s">
        <v>6295</v>
      </c>
    </row>
    <row r="806" spans="2:3" x14ac:dyDescent="0.25">
      <c r="B806" t="s">
        <v>6308</v>
      </c>
      <c r="C806" t="s">
        <v>6306</v>
      </c>
    </row>
    <row r="807" spans="2:3" x14ac:dyDescent="0.25">
      <c r="B807" t="s">
        <v>6414</v>
      </c>
      <c r="C807" t="s">
        <v>6295</v>
      </c>
    </row>
    <row r="808" spans="2:3" x14ac:dyDescent="0.25">
      <c r="B808" t="s">
        <v>5699</v>
      </c>
      <c r="C808" t="s">
        <v>3220</v>
      </c>
    </row>
    <row r="809" spans="2:3" x14ac:dyDescent="0.25">
      <c r="B809" t="s">
        <v>6310</v>
      </c>
      <c r="C809" t="s">
        <v>5699</v>
      </c>
    </row>
    <row r="810" spans="2:3" x14ac:dyDescent="0.25">
      <c r="B810" t="s">
        <v>6312</v>
      </c>
      <c r="C810" t="s">
        <v>6310</v>
      </c>
    </row>
    <row r="811" spans="2:3" x14ac:dyDescent="0.25">
      <c r="B811" t="s">
        <v>6313</v>
      </c>
      <c r="C811" t="s">
        <v>5699</v>
      </c>
    </row>
    <row r="812" spans="2:3" x14ac:dyDescent="0.25">
      <c r="B812" t="s">
        <v>6315</v>
      </c>
      <c r="C812" t="s">
        <v>6313</v>
      </c>
    </row>
    <row r="813" spans="2:3" x14ac:dyDescent="0.25">
      <c r="B813" t="s">
        <v>8468</v>
      </c>
      <c r="C813" t="s">
        <v>5699</v>
      </c>
    </row>
    <row r="814" spans="2:3" x14ac:dyDescent="0.25">
      <c r="B814" t="s">
        <v>8469</v>
      </c>
      <c r="C814" t="s">
        <v>8468</v>
      </c>
    </row>
    <row r="815" spans="2:3" x14ac:dyDescent="0.25">
      <c r="B815" t="s">
        <v>8470</v>
      </c>
      <c r="C815" t="s">
        <v>5699</v>
      </c>
    </row>
    <row r="816" spans="2:3" x14ac:dyDescent="0.25">
      <c r="B816" t="s">
        <v>8471</v>
      </c>
      <c r="C816" t="s">
        <v>8470</v>
      </c>
    </row>
    <row r="817" spans="2:3" x14ac:dyDescent="0.25">
      <c r="B817" t="s">
        <v>8472</v>
      </c>
      <c r="C817" t="s">
        <v>5699</v>
      </c>
    </row>
    <row r="818" spans="2:3" x14ac:dyDescent="0.25">
      <c r="B818" t="s">
        <v>8473</v>
      </c>
      <c r="C818" t="s">
        <v>8472</v>
      </c>
    </row>
    <row r="819" spans="2:3" x14ac:dyDescent="0.25">
      <c r="B819" t="s">
        <v>8474</v>
      </c>
      <c r="C819" t="s">
        <v>5699</v>
      </c>
    </row>
    <row r="820" spans="2:3" x14ac:dyDescent="0.25">
      <c r="B820" t="s">
        <v>6316</v>
      </c>
      <c r="C820" t="s">
        <v>5699</v>
      </c>
    </row>
    <row r="821" spans="2:3" x14ac:dyDescent="0.25">
      <c r="B821" t="s">
        <v>6318</v>
      </c>
      <c r="C821" t="s">
        <v>6316</v>
      </c>
    </row>
    <row r="822" spans="2:3" x14ac:dyDescent="0.25">
      <c r="B822" t="s">
        <v>5292</v>
      </c>
      <c r="C822" t="s">
        <v>5699</v>
      </c>
    </row>
    <row r="823" spans="2:3" x14ac:dyDescent="0.25">
      <c r="B823" t="s">
        <v>5291</v>
      </c>
      <c r="C823" t="s">
        <v>5292</v>
      </c>
    </row>
    <row r="824" spans="2:3" x14ac:dyDescent="0.25">
      <c r="B824" t="s">
        <v>5450</v>
      </c>
      <c r="C824" t="s">
        <v>5292</v>
      </c>
    </row>
    <row r="825" spans="2:3" x14ac:dyDescent="0.25">
      <c r="B825" t="s">
        <v>5294</v>
      </c>
      <c r="C825" t="s">
        <v>5699</v>
      </c>
    </row>
    <row r="826" spans="2:3" x14ac:dyDescent="0.25">
      <c r="B826" t="s">
        <v>5293</v>
      </c>
      <c r="C826" t="s">
        <v>5294</v>
      </c>
    </row>
    <row r="827" spans="2:3" x14ac:dyDescent="0.25">
      <c r="B827" t="s">
        <v>5697</v>
      </c>
      <c r="C827" t="s">
        <v>5699</v>
      </c>
    </row>
    <row r="828" spans="2:3" x14ac:dyDescent="0.25">
      <c r="B828" t="s">
        <v>5700</v>
      </c>
      <c r="C828" t="s">
        <v>5697</v>
      </c>
    </row>
    <row r="829" spans="2:3" x14ac:dyDescent="0.25">
      <c r="B829" t="s">
        <v>6356</v>
      </c>
      <c r="C829" t="s">
        <v>5699</v>
      </c>
    </row>
    <row r="830" spans="2:3" x14ac:dyDescent="0.25">
      <c r="B830" t="s">
        <v>6322</v>
      </c>
      <c r="C830" t="s">
        <v>3220</v>
      </c>
    </row>
    <row r="831" spans="2:3" x14ac:dyDescent="0.25">
      <c r="B831" t="s">
        <v>6324</v>
      </c>
      <c r="C831" t="s">
        <v>6322</v>
      </c>
    </row>
    <row r="832" spans="2:3" x14ac:dyDescent="0.25">
      <c r="B832" t="s">
        <v>8475</v>
      </c>
      <c r="C832" t="s">
        <v>6324</v>
      </c>
    </row>
    <row r="833" spans="2:3" x14ac:dyDescent="0.25">
      <c r="B833" t="s">
        <v>8476</v>
      </c>
      <c r="C833" t="s">
        <v>8475</v>
      </c>
    </row>
    <row r="834" spans="2:3" x14ac:dyDescent="0.25">
      <c r="B834" t="s">
        <v>8477</v>
      </c>
      <c r="C834" t="s">
        <v>6324</v>
      </c>
    </row>
    <row r="835" spans="2:3" x14ac:dyDescent="0.25">
      <c r="B835" t="s">
        <v>8478</v>
      </c>
      <c r="C835" t="s">
        <v>8477</v>
      </c>
    </row>
    <row r="836" spans="2:3" x14ac:dyDescent="0.25">
      <c r="B836" t="s">
        <v>3710</v>
      </c>
      <c r="C836" t="s">
        <v>6324</v>
      </c>
    </row>
    <row r="837" spans="2:3" x14ac:dyDescent="0.25">
      <c r="B837" t="s">
        <v>3708</v>
      </c>
      <c r="C837" t="s">
        <v>3710</v>
      </c>
    </row>
    <row r="838" spans="2:3" x14ac:dyDescent="0.25">
      <c r="B838" t="s">
        <v>8479</v>
      </c>
      <c r="C838" t="s">
        <v>6324</v>
      </c>
    </row>
    <row r="839" spans="2:3" x14ac:dyDescent="0.25">
      <c r="B839" t="s">
        <v>8480</v>
      </c>
      <c r="C839" t="s">
        <v>8479</v>
      </c>
    </row>
    <row r="840" spans="2:3" x14ac:dyDescent="0.25">
      <c r="B840" t="s">
        <v>3334</v>
      </c>
      <c r="C840" t="s">
        <v>6324</v>
      </c>
    </row>
    <row r="841" spans="2:3" x14ac:dyDescent="0.25">
      <c r="B841" t="s">
        <v>3333</v>
      </c>
      <c r="C841" t="s">
        <v>3334</v>
      </c>
    </row>
    <row r="842" spans="2:3" x14ac:dyDescent="0.25">
      <c r="B842" t="s">
        <v>3715</v>
      </c>
      <c r="C842" t="s">
        <v>6322</v>
      </c>
    </row>
    <row r="843" spans="2:3" x14ac:dyDescent="0.25">
      <c r="B843" t="s">
        <v>3713</v>
      </c>
      <c r="C843" t="s">
        <v>3715</v>
      </c>
    </row>
    <row r="844" spans="2:3" x14ac:dyDescent="0.25">
      <c r="B844" t="s">
        <v>8481</v>
      </c>
      <c r="C844" t="s">
        <v>3220</v>
      </c>
    </row>
    <row r="845" spans="2:3" x14ac:dyDescent="0.25">
      <c r="B845" t="s">
        <v>8482</v>
      </c>
      <c r="C845" t="s">
        <v>8481</v>
      </c>
    </row>
    <row r="846" spans="2:3" x14ac:dyDescent="0.25">
      <c r="B846" t="s">
        <v>8483</v>
      </c>
      <c r="C846" t="s">
        <v>8482</v>
      </c>
    </row>
    <row r="847" spans="2:3" x14ac:dyDescent="0.25">
      <c r="B847" t="s">
        <v>8484</v>
      </c>
      <c r="C847" t="s">
        <v>8482</v>
      </c>
    </row>
    <row r="848" spans="2:3" x14ac:dyDescent="0.25">
      <c r="B848" t="s">
        <v>8485</v>
      </c>
      <c r="C848" t="s">
        <v>8482</v>
      </c>
    </row>
    <row r="849" spans="2:3" x14ac:dyDescent="0.25">
      <c r="B849" t="s">
        <v>8486</v>
      </c>
      <c r="C849" t="s">
        <v>8482</v>
      </c>
    </row>
    <row r="850" spans="2:3" x14ac:dyDescent="0.25">
      <c r="B850" t="s">
        <v>8487</v>
      </c>
      <c r="C850" t="s">
        <v>8481</v>
      </c>
    </row>
    <row r="851" spans="2:3" x14ac:dyDescent="0.25">
      <c r="B851" t="s">
        <v>8488</v>
      </c>
      <c r="C851" t="s">
        <v>8487</v>
      </c>
    </row>
    <row r="852" spans="2:3" x14ac:dyDescent="0.25">
      <c r="B852" t="s">
        <v>8489</v>
      </c>
      <c r="C852" t="s">
        <v>8487</v>
      </c>
    </row>
    <row r="853" spans="2:3" x14ac:dyDescent="0.25">
      <c r="B853" t="s">
        <v>8490</v>
      </c>
      <c r="C853" t="s">
        <v>8487</v>
      </c>
    </row>
    <row r="854" spans="2:3" x14ac:dyDescent="0.25">
      <c r="B854" t="s">
        <v>8491</v>
      </c>
      <c r="C854" t="s">
        <v>8487</v>
      </c>
    </row>
    <row r="855" spans="2:3" x14ac:dyDescent="0.25">
      <c r="B855" t="s">
        <v>8492</v>
      </c>
      <c r="C855" t="s">
        <v>8481</v>
      </c>
    </row>
    <row r="856" spans="2:3" x14ac:dyDescent="0.25">
      <c r="B856" t="s">
        <v>8493</v>
      </c>
      <c r="C856" t="s">
        <v>8492</v>
      </c>
    </row>
    <row r="857" spans="2:3" x14ac:dyDescent="0.25">
      <c r="B857" t="s">
        <v>8494</v>
      </c>
      <c r="C857" t="s">
        <v>8492</v>
      </c>
    </row>
    <row r="858" spans="2:3" x14ac:dyDescent="0.25">
      <c r="B858" t="s">
        <v>8495</v>
      </c>
      <c r="C858" t="s">
        <v>8492</v>
      </c>
    </row>
    <row r="859" spans="2:3" x14ac:dyDescent="0.25">
      <c r="B859" t="s">
        <v>8496</v>
      </c>
      <c r="C859" t="s">
        <v>8492</v>
      </c>
    </row>
    <row r="860" spans="2:3" x14ac:dyDescent="0.25">
      <c r="B860" t="s">
        <v>8497</v>
      </c>
      <c r="C860" t="s">
        <v>8481</v>
      </c>
    </row>
    <row r="861" spans="2:3" x14ac:dyDescent="0.25">
      <c r="B861" t="s">
        <v>8498</v>
      </c>
      <c r="C861" t="s">
        <v>8497</v>
      </c>
    </row>
    <row r="862" spans="2:3" x14ac:dyDescent="0.25">
      <c r="B862" t="s">
        <v>8499</v>
      </c>
      <c r="C862" t="s">
        <v>8497</v>
      </c>
    </row>
    <row r="863" spans="2:3" x14ac:dyDescent="0.25">
      <c r="B863" t="s">
        <v>8500</v>
      </c>
      <c r="C863" t="s">
        <v>8497</v>
      </c>
    </row>
    <row r="864" spans="2:3" x14ac:dyDescent="0.25">
      <c r="B864" t="s">
        <v>8501</v>
      </c>
      <c r="C864" t="s">
        <v>8497</v>
      </c>
    </row>
    <row r="865" spans="2:3" x14ac:dyDescent="0.25">
      <c r="B865" t="s">
        <v>8502</v>
      </c>
      <c r="C865" t="s">
        <v>3220</v>
      </c>
    </row>
    <row r="866" spans="2:3" x14ac:dyDescent="0.25">
      <c r="B866" t="s">
        <v>3332</v>
      </c>
      <c r="C866" t="s">
        <v>3220</v>
      </c>
    </row>
    <row r="867" spans="2:3" x14ac:dyDescent="0.25">
      <c r="B867" t="s">
        <v>3711</v>
      </c>
      <c r="C867" t="s">
        <v>3332</v>
      </c>
    </row>
    <row r="868" spans="2:3" x14ac:dyDescent="0.25">
      <c r="B868" t="s">
        <v>5284</v>
      </c>
      <c r="C868" t="s">
        <v>5272</v>
      </c>
    </row>
    <row r="869" spans="2:3" x14ac:dyDescent="0.25">
      <c r="B869" t="s">
        <v>6213</v>
      </c>
      <c r="C869" t="s">
        <v>5284</v>
      </c>
    </row>
    <row r="870" spans="2:3" x14ac:dyDescent="0.25">
      <c r="B870" t="s">
        <v>6340</v>
      </c>
      <c r="C870" t="s">
        <v>6213</v>
      </c>
    </row>
    <row r="871" spans="2:3" x14ac:dyDescent="0.25">
      <c r="B871" t="s">
        <v>8503</v>
      </c>
      <c r="C871" t="s">
        <v>6340</v>
      </c>
    </row>
    <row r="872" spans="2:3" x14ac:dyDescent="0.25">
      <c r="B872" t="s">
        <v>6342</v>
      </c>
      <c r="C872" t="s">
        <v>6213</v>
      </c>
    </row>
    <row r="873" spans="2:3" x14ac:dyDescent="0.25">
      <c r="B873" t="s">
        <v>8504</v>
      </c>
      <c r="C873" t="s">
        <v>6342</v>
      </c>
    </row>
    <row r="874" spans="2:3" x14ac:dyDescent="0.25">
      <c r="B874" t="s">
        <v>6344</v>
      </c>
      <c r="C874" t="s">
        <v>6213</v>
      </c>
    </row>
    <row r="875" spans="2:3" x14ac:dyDescent="0.25">
      <c r="B875" t="s">
        <v>8505</v>
      </c>
      <c r="C875" t="s">
        <v>6344</v>
      </c>
    </row>
    <row r="876" spans="2:3" x14ac:dyDescent="0.25">
      <c r="B876" t="s">
        <v>6346</v>
      </c>
      <c r="C876" t="s">
        <v>6213</v>
      </c>
    </row>
    <row r="877" spans="2:3" x14ac:dyDescent="0.25">
      <c r="B877" t="s">
        <v>8506</v>
      </c>
      <c r="C877" t="s">
        <v>6346</v>
      </c>
    </row>
    <row r="878" spans="2:3" x14ac:dyDescent="0.25">
      <c r="B878" t="s">
        <v>6385</v>
      </c>
      <c r="C878" t="s">
        <v>6213</v>
      </c>
    </row>
    <row r="879" spans="2:3" x14ac:dyDescent="0.25">
      <c r="B879" t="s">
        <v>6386</v>
      </c>
      <c r="C879" t="s">
        <v>6213</v>
      </c>
    </row>
    <row r="880" spans="2:3" x14ac:dyDescent="0.25">
      <c r="B880" t="s">
        <v>1238</v>
      </c>
      <c r="C880" t="s">
        <v>5284</v>
      </c>
    </row>
    <row r="881" spans="2:3" x14ac:dyDescent="0.25">
      <c r="B881" t="s">
        <v>8507</v>
      </c>
      <c r="C881" t="s">
        <v>1238</v>
      </c>
    </row>
    <row r="882" spans="2:3" x14ac:dyDescent="0.25">
      <c r="B882" t="s">
        <v>8508</v>
      </c>
      <c r="C882" t="s">
        <v>8507</v>
      </c>
    </row>
    <row r="883" spans="2:3" x14ac:dyDescent="0.25">
      <c r="B883" t="s">
        <v>8509</v>
      </c>
      <c r="C883" t="s">
        <v>1238</v>
      </c>
    </row>
    <row r="884" spans="2:3" x14ac:dyDescent="0.25">
      <c r="B884" t="s">
        <v>8510</v>
      </c>
      <c r="C884" t="s">
        <v>8509</v>
      </c>
    </row>
    <row r="885" spans="2:3" x14ac:dyDescent="0.25">
      <c r="B885" t="s">
        <v>6214</v>
      </c>
      <c r="C885" t="s">
        <v>1238</v>
      </c>
    </row>
    <row r="886" spans="2:3" x14ac:dyDescent="0.25">
      <c r="B886" t="s">
        <v>8511</v>
      </c>
      <c r="C886" t="s">
        <v>6214</v>
      </c>
    </row>
    <row r="887" spans="2:3" x14ac:dyDescent="0.25">
      <c r="B887" t="s">
        <v>6215</v>
      </c>
      <c r="C887" t="s">
        <v>1238</v>
      </c>
    </row>
    <row r="888" spans="2:3" x14ac:dyDescent="0.25">
      <c r="B888" t="s">
        <v>8512</v>
      </c>
      <c r="C888" t="s">
        <v>6215</v>
      </c>
    </row>
    <row r="889" spans="2:3" x14ac:dyDescent="0.25">
      <c r="B889" t="s">
        <v>8513</v>
      </c>
      <c r="C889" t="s">
        <v>1238</v>
      </c>
    </row>
    <row r="890" spans="2:3" x14ac:dyDescent="0.25">
      <c r="B890" t="s">
        <v>6389</v>
      </c>
      <c r="C890" t="s">
        <v>1238</v>
      </c>
    </row>
    <row r="891" spans="2:3" x14ac:dyDescent="0.25">
      <c r="B891" t="s">
        <v>6384</v>
      </c>
      <c r="C891" t="s">
        <v>5284</v>
      </c>
    </row>
    <row r="892" spans="2:3" x14ac:dyDescent="0.25">
      <c r="B892" t="s">
        <v>6633</v>
      </c>
      <c r="C892" t="s">
        <v>6384</v>
      </c>
    </row>
    <row r="893" spans="2:3" x14ac:dyDescent="0.25">
      <c r="B893" t="s">
        <v>6634</v>
      </c>
      <c r="C893" t="s">
        <v>6384</v>
      </c>
    </row>
    <row r="894" spans="2:3" x14ac:dyDescent="0.25">
      <c r="B894" t="s">
        <v>6635</v>
      </c>
      <c r="C894" t="s">
        <v>6384</v>
      </c>
    </row>
    <row r="895" spans="2:3" x14ac:dyDescent="0.25">
      <c r="B895" t="s">
        <v>6387</v>
      </c>
      <c r="C895" t="s">
        <v>5284</v>
      </c>
    </row>
    <row r="896" spans="2:3" x14ac:dyDescent="0.25">
      <c r="B896" t="s">
        <v>6388</v>
      </c>
      <c r="C896" t="s">
        <v>6387</v>
      </c>
    </row>
    <row r="897" spans="2:3" x14ac:dyDescent="0.25">
      <c r="B897" t="s">
        <v>6390</v>
      </c>
      <c r="C897" t="s">
        <v>5284</v>
      </c>
    </row>
    <row r="898" spans="2:3" x14ac:dyDescent="0.25">
      <c r="B898" t="s">
        <v>5278</v>
      </c>
      <c r="C898" t="s">
        <v>5272</v>
      </c>
    </row>
    <row r="899" spans="2:3" x14ac:dyDescent="0.25">
      <c r="B899" t="s">
        <v>6646</v>
      </c>
      <c r="C899" t="s">
        <v>5278</v>
      </c>
    </row>
    <row r="900" spans="2:3" x14ac:dyDescent="0.25">
      <c r="B900" t="s">
        <v>6643</v>
      </c>
      <c r="C900" t="s">
        <v>6646</v>
      </c>
    </row>
    <row r="901" spans="2:3" x14ac:dyDescent="0.25">
      <c r="B901" t="s">
        <v>6647</v>
      </c>
      <c r="C901" t="s">
        <v>5278</v>
      </c>
    </row>
    <row r="902" spans="2:3" x14ac:dyDescent="0.25">
      <c r="B902" t="s">
        <v>6644</v>
      </c>
      <c r="C902" t="s">
        <v>6647</v>
      </c>
    </row>
    <row r="903" spans="2:3" x14ac:dyDescent="0.25">
      <c r="B903" t="s">
        <v>6645</v>
      </c>
      <c r="C903" t="s">
        <v>5278</v>
      </c>
    </row>
    <row r="904" spans="2:3" x14ac:dyDescent="0.25">
      <c r="B904" t="s">
        <v>3694</v>
      </c>
      <c r="C904" t="s">
        <v>5272</v>
      </c>
    </row>
    <row r="905" spans="2:3" x14ac:dyDescent="0.25">
      <c r="B905" t="s">
        <v>8514</v>
      </c>
      <c r="C905" t="s">
        <v>3694</v>
      </c>
    </row>
    <row r="906" spans="2:3" x14ac:dyDescent="0.25">
      <c r="B906" t="s">
        <v>8515</v>
      </c>
      <c r="C906" t="s">
        <v>8514</v>
      </c>
    </row>
    <row r="907" spans="2:3" x14ac:dyDescent="0.25">
      <c r="B907" t="s">
        <v>7909</v>
      </c>
      <c r="C907" t="s">
        <v>8515</v>
      </c>
    </row>
    <row r="908" spans="2:3" x14ac:dyDescent="0.25">
      <c r="B908" t="s">
        <v>8516</v>
      </c>
      <c r="C908" t="s">
        <v>8515</v>
      </c>
    </row>
    <row r="909" spans="2:3" x14ac:dyDescent="0.25">
      <c r="B909" t="s">
        <v>8517</v>
      </c>
      <c r="C909" t="s">
        <v>8515</v>
      </c>
    </row>
    <row r="910" spans="2:3" x14ac:dyDescent="0.25">
      <c r="B910" t="s">
        <v>8518</v>
      </c>
      <c r="C910" t="s">
        <v>8515</v>
      </c>
    </row>
    <row r="911" spans="2:3" x14ac:dyDescent="0.25">
      <c r="B911" t="s">
        <v>7911</v>
      </c>
      <c r="C911" t="s">
        <v>8515</v>
      </c>
    </row>
    <row r="912" spans="2:3" x14ac:dyDescent="0.25">
      <c r="B912" t="s">
        <v>8519</v>
      </c>
      <c r="C912" t="s">
        <v>8515</v>
      </c>
    </row>
    <row r="913" spans="2:3" x14ac:dyDescent="0.25">
      <c r="B913" t="s">
        <v>8520</v>
      </c>
      <c r="C913" t="s">
        <v>8515</v>
      </c>
    </row>
    <row r="914" spans="2:3" x14ac:dyDescent="0.25">
      <c r="B914" t="s">
        <v>8521</v>
      </c>
      <c r="C914" t="s">
        <v>8515</v>
      </c>
    </row>
    <row r="915" spans="2:3" x14ac:dyDescent="0.25">
      <c r="B915" t="s">
        <v>8522</v>
      </c>
      <c r="C915" t="s">
        <v>8515</v>
      </c>
    </row>
    <row r="916" spans="2:3" x14ac:dyDescent="0.25">
      <c r="B916" t="s">
        <v>8523</v>
      </c>
      <c r="C916" t="s">
        <v>8515</v>
      </c>
    </row>
    <row r="917" spans="2:3" x14ac:dyDescent="0.25">
      <c r="B917" t="s">
        <v>8524</v>
      </c>
      <c r="C917" t="s">
        <v>8515</v>
      </c>
    </row>
    <row r="918" spans="2:3" x14ac:dyDescent="0.25">
      <c r="B918" t="s">
        <v>8525</v>
      </c>
      <c r="C918" t="s">
        <v>8514</v>
      </c>
    </row>
    <row r="919" spans="2:3" x14ac:dyDescent="0.25">
      <c r="B919" t="s">
        <v>8526</v>
      </c>
      <c r="C919" t="s">
        <v>8525</v>
      </c>
    </row>
    <row r="920" spans="2:3" x14ac:dyDescent="0.25">
      <c r="B920" t="s">
        <v>8527</v>
      </c>
      <c r="C920" t="s">
        <v>8525</v>
      </c>
    </row>
    <row r="921" spans="2:3" x14ac:dyDescent="0.25">
      <c r="B921" t="s">
        <v>8528</v>
      </c>
      <c r="C921" t="s">
        <v>8525</v>
      </c>
    </row>
    <row r="922" spans="2:3" x14ac:dyDescent="0.25">
      <c r="B922" t="s">
        <v>8529</v>
      </c>
      <c r="C922" t="s">
        <v>8525</v>
      </c>
    </row>
    <row r="923" spans="2:3" x14ac:dyDescent="0.25">
      <c r="B923" t="s">
        <v>8530</v>
      </c>
      <c r="C923" t="s">
        <v>3694</v>
      </c>
    </row>
    <row r="924" spans="2:3" x14ac:dyDescent="0.25">
      <c r="B924" t="s">
        <v>8531</v>
      </c>
      <c r="C924" t="s">
        <v>8530</v>
      </c>
    </row>
    <row r="925" spans="2:3" x14ac:dyDescent="0.25">
      <c r="B925" t="s">
        <v>7915</v>
      </c>
      <c r="C925" t="s">
        <v>8531</v>
      </c>
    </row>
    <row r="926" spans="2:3" x14ac:dyDescent="0.25">
      <c r="B926" t="s">
        <v>8532</v>
      </c>
      <c r="C926" t="s">
        <v>8531</v>
      </c>
    </row>
    <row r="927" spans="2:3" x14ac:dyDescent="0.25">
      <c r="B927" t="s">
        <v>8533</v>
      </c>
      <c r="C927" t="s">
        <v>8531</v>
      </c>
    </row>
    <row r="928" spans="2:3" x14ac:dyDescent="0.25">
      <c r="B928" t="s">
        <v>8534</v>
      </c>
      <c r="C928" t="s">
        <v>8531</v>
      </c>
    </row>
    <row r="929" spans="2:3" x14ac:dyDescent="0.25">
      <c r="B929" t="s">
        <v>8535</v>
      </c>
      <c r="C929" t="s">
        <v>8531</v>
      </c>
    </row>
    <row r="930" spans="2:3" x14ac:dyDescent="0.25">
      <c r="B930" t="s">
        <v>8536</v>
      </c>
      <c r="C930" t="s">
        <v>8531</v>
      </c>
    </row>
    <row r="931" spans="2:3" x14ac:dyDescent="0.25">
      <c r="B931" t="s">
        <v>8537</v>
      </c>
      <c r="C931" t="s">
        <v>8531</v>
      </c>
    </row>
    <row r="932" spans="2:3" x14ac:dyDescent="0.25">
      <c r="B932" t="s">
        <v>8538</v>
      </c>
      <c r="C932" t="s">
        <v>8531</v>
      </c>
    </row>
    <row r="933" spans="2:3" x14ac:dyDescent="0.25">
      <c r="B933" t="s">
        <v>8539</v>
      </c>
      <c r="C933" t="s">
        <v>8531</v>
      </c>
    </row>
    <row r="934" spans="2:3" x14ac:dyDescent="0.25">
      <c r="B934" t="s">
        <v>8540</v>
      </c>
      <c r="C934" t="s">
        <v>8531</v>
      </c>
    </row>
    <row r="935" spans="2:3" x14ac:dyDescent="0.25">
      <c r="B935" t="s">
        <v>8541</v>
      </c>
      <c r="C935" t="s">
        <v>8531</v>
      </c>
    </row>
    <row r="936" spans="2:3" x14ac:dyDescent="0.25">
      <c r="B936" t="s">
        <v>8542</v>
      </c>
      <c r="C936" t="s">
        <v>8531</v>
      </c>
    </row>
    <row r="937" spans="2:3" x14ac:dyDescent="0.25">
      <c r="B937" t="s">
        <v>8543</v>
      </c>
      <c r="C937" t="s">
        <v>8531</v>
      </c>
    </row>
    <row r="938" spans="2:3" x14ac:dyDescent="0.25">
      <c r="B938" t="s">
        <v>8544</v>
      </c>
      <c r="C938" t="s">
        <v>8531</v>
      </c>
    </row>
    <row r="939" spans="2:3" x14ac:dyDescent="0.25">
      <c r="B939" t="s">
        <v>8545</v>
      </c>
      <c r="C939" t="s">
        <v>8531</v>
      </c>
    </row>
    <row r="940" spans="2:3" x14ac:dyDescent="0.25">
      <c r="B940" t="s">
        <v>8546</v>
      </c>
      <c r="C940" t="s">
        <v>8530</v>
      </c>
    </row>
    <row r="941" spans="2:3" x14ac:dyDescent="0.25">
      <c r="B941" t="s">
        <v>8547</v>
      </c>
      <c r="C941" t="s">
        <v>8546</v>
      </c>
    </row>
    <row r="942" spans="2:3" x14ac:dyDescent="0.25">
      <c r="B942" t="s">
        <v>8548</v>
      </c>
      <c r="C942" t="s">
        <v>8546</v>
      </c>
    </row>
    <row r="943" spans="2:3" x14ac:dyDescent="0.25">
      <c r="B943" t="s">
        <v>8549</v>
      </c>
      <c r="C943" t="s">
        <v>8548</v>
      </c>
    </row>
    <row r="944" spans="2:3" x14ac:dyDescent="0.25">
      <c r="B944" t="s">
        <v>8550</v>
      </c>
      <c r="C944" t="s">
        <v>8548</v>
      </c>
    </row>
    <row r="945" spans="2:3" x14ac:dyDescent="0.25">
      <c r="B945" t="s">
        <v>7918</v>
      </c>
      <c r="C945" t="s">
        <v>8548</v>
      </c>
    </row>
    <row r="946" spans="2:3" x14ac:dyDescent="0.25">
      <c r="B946" t="s">
        <v>8551</v>
      </c>
      <c r="C946" t="s">
        <v>8546</v>
      </c>
    </row>
    <row r="947" spans="2:3" x14ac:dyDescent="0.25">
      <c r="B947" t="s">
        <v>8552</v>
      </c>
      <c r="C947" t="s">
        <v>8546</v>
      </c>
    </row>
    <row r="948" spans="2:3" x14ac:dyDescent="0.25">
      <c r="B948" t="s">
        <v>8553</v>
      </c>
      <c r="C948" t="s">
        <v>8546</v>
      </c>
    </row>
    <row r="949" spans="2:3" x14ac:dyDescent="0.25">
      <c r="B949" t="s">
        <v>8554</v>
      </c>
      <c r="C949" t="s">
        <v>3694</v>
      </c>
    </row>
    <row r="950" spans="2:3" x14ac:dyDescent="0.25">
      <c r="B950" t="s">
        <v>8555</v>
      </c>
      <c r="C950" t="s">
        <v>8554</v>
      </c>
    </row>
    <row r="951" spans="2:3" x14ac:dyDescent="0.25">
      <c r="B951" t="s">
        <v>8556</v>
      </c>
      <c r="C951" t="s">
        <v>8555</v>
      </c>
    </row>
    <row r="952" spans="2:3" x14ac:dyDescent="0.25">
      <c r="B952" t="s">
        <v>7920</v>
      </c>
      <c r="C952" t="s">
        <v>8555</v>
      </c>
    </row>
    <row r="953" spans="2:3" x14ac:dyDescent="0.25">
      <c r="B953" t="s">
        <v>7672</v>
      </c>
      <c r="C953" t="s">
        <v>8555</v>
      </c>
    </row>
    <row r="954" spans="2:3" x14ac:dyDescent="0.25">
      <c r="B954" t="s">
        <v>8557</v>
      </c>
      <c r="C954" t="s">
        <v>8555</v>
      </c>
    </row>
    <row r="955" spans="2:3" x14ac:dyDescent="0.25">
      <c r="B955" t="s">
        <v>8558</v>
      </c>
      <c r="C955" t="s">
        <v>8555</v>
      </c>
    </row>
    <row r="956" spans="2:3" x14ac:dyDescent="0.25">
      <c r="B956" t="s">
        <v>7673</v>
      </c>
      <c r="C956" t="s">
        <v>8555</v>
      </c>
    </row>
    <row r="957" spans="2:3" x14ac:dyDescent="0.25">
      <c r="B957" t="s">
        <v>8559</v>
      </c>
      <c r="C957" t="s">
        <v>8555</v>
      </c>
    </row>
    <row r="958" spans="2:3" x14ac:dyDescent="0.25">
      <c r="B958" t="s">
        <v>7643</v>
      </c>
      <c r="C958" t="s">
        <v>8555</v>
      </c>
    </row>
    <row r="959" spans="2:3" x14ac:dyDescent="0.25">
      <c r="B959" t="s">
        <v>8560</v>
      </c>
      <c r="C959" t="s">
        <v>8555</v>
      </c>
    </row>
    <row r="960" spans="2:3" x14ac:dyDescent="0.25">
      <c r="B960" t="s">
        <v>8561</v>
      </c>
      <c r="C960" t="s">
        <v>8555</v>
      </c>
    </row>
    <row r="961" spans="2:3" x14ac:dyDescent="0.25">
      <c r="B961" t="s">
        <v>8562</v>
      </c>
      <c r="C961" t="s">
        <v>8555</v>
      </c>
    </row>
    <row r="962" spans="2:3" x14ac:dyDescent="0.25">
      <c r="B962" t="s">
        <v>8563</v>
      </c>
      <c r="C962" t="s">
        <v>8555</v>
      </c>
    </row>
    <row r="963" spans="2:3" x14ac:dyDescent="0.25">
      <c r="B963" t="s">
        <v>8564</v>
      </c>
      <c r="C963" t="s">
        <v>8554</v>
      </c>
    </row>
    <row r="964" spans="2:3" x14ac:dyDescent="0.25">
      <c r="B964" t="s">
        <v>8565</v>
      </c>
      <c r="C964" t="s">
        <v>8564</v>
      </c>
    </row>
    <row r="965" spans="2:3" x14ac:dyDescent="0.25">
      <c r="B965" t="s">
        <v>7924</v>
      </c>
      <c r="C965" t="s">
        <v>8564</v>
      </c>
    </row>
    <row r="966" spans="2:3" x14ac:dyDescent="0.25">
      <c r="B966" t="s">
        <v>8566</v>
      </c>
      <c r="C966" t="s">
        <v>8564</v>
      </c>
    </row>
    <row r="967" spans="2:3" x14ac:dyDescent="0.25">
      <c r="B967" t="s">
        <v>8567</v>
      </c>
      <c r="C967" t="s">
        <v>8564</v>
      </c>
    </row>
    <row r="968" spans="2:3" x14ac:dyDescent="0.25">
      <c r="B968" t="s">
        <v>8568</v>
      </c>
      <c r="C968" t="s">
        <v>8564</v>
      </c>
    </row>
    <row r="969" spans="2:3" x14ac:dyDescent="0.25">
      <c r="B969" t="s">
        <v>8569</v>
      </c>
      <c r="C969" t="s">
        <v>3694</v>
      </c>
    </row>
    <row r="970" spans="2:3" x14ac:dyDescent="0.25">
      <c r="B970" t="s">
        <v>8570</v>
      </c>
      <c r="C970" t="s">
        <v>8569</v>
      </c>
    </row>
    <row r="971" spans="2:3" x14ac:dyDescent="0.25">
      <c r="B971" t="s">
        <v>8571</v>
      </c>
      <c r="C971" t="s">
        <v>8570</v>
      </c>
    </row>
    <row r="972" spans="2:3" x14ac:dyDescent="0.25">
      <c r="B972" t="s">
        <v>7926</v>
      </c>
      <c r="C972" t="s">
        <v>8570</v>
      </c>
    </row>
    <row r="973" spans="2:3" x14ac:dyDescent="0.25">
      <c r="B973" t="s">
        <v>8572</v>
      </c>
      <c r="C973" t="s">
        <v>8570</v>
      </c>
    </row>
    <row r="974" spans="2:3" x14ac:dyDescent="0.25">
      <c r="B974" t="s">
        <v>8573</v>
      </c>
      <c r="C974" t="s">
        <v>8570</v>
      </c>
    </row>
    <row r="975" spans="2:3" x14ac:dyDescent="0.25">
      <c r="B975" t="s">
        <v>8574</v>
      </c>
      <c r="C975" t="s">
        <v>8570</v>
      </c>
    </row>
    <row r="976" spans="2:3" x14ac:dyDescent="0.25">
      <c r="B976" t="s">
        <v>8575</v>
      </c>
      <c r="C976" t="s">
        <v>8570</v>
      </c>
    </row>
    <row r="977" spans="2:3" x14ac:dyDescent="0.25">
      <c r="B977" t="s">
        <v>8576</v>
      </c>
      <c r="C977" t="s">
        <v>8570</v>
      </c>
    </row>
    <row r="978" spans="2:3" x14ac:dyDescent="0.25">
      <c r="B978" t="s">
        <v>8577</v>
      </c>
      <c r="C978" t="s">
        <v>8570</v>
      </c>
    </row>
    <row r="979" spans="2:3" x14ac:dyDescent="0.25">
      <c r="B979" t="s">
        <v>8578</v>
      </c>
      <c r="C979" t="s">
        <v>8570</v>
      </c>
    </row>
    <row r="980" spans="2:3" x14ac:dyDescent="0.25">
      <c r="B980" t="s">
        <v>5041</v>
      </c>
      <c r="C980" t="s">
        <v>8570</v>
      </c>
    </row>
    <row r="981" spans="2:3" x14ac:dyDescent="0.25">
      <c r="B981" t="s">
        <v>8579</v>
      </c>
      <c r="C981" t="s">
        <v>8570</v>
      </c>
    </row>
    <row r="982" spans="2:3" x14ac:dyDescent="0.25">
      <c r="B982" t="s">
        <v>8580</v>
      </c>
      <c r="C982" t="s">
        <v>8570</v>
      </c>
    </row>
    <row r="983" spans="2:3" x14ac:dyDescent="0.25">
      <c r="B983" t="s">
        <v>4803</v>
      </c>
      <c r="C983" t="s">
        <v>8569</v>
      </c>
    </row>
    <row r="984" spans="2:3" x14ac:dyDescent="0.25">
      <c r="B984" t="s">
        <v>8581</v>
      </c>
      <c r="C984" t="s">
        <v>4803</v>
      </c>
    </row>
    <row r="985" spans="2:3" x14ac:dyDescent="0.25">
      <c r="B985" t="s">
        <v>8582</v>
      </c>
      <c r="C985" t="s">
        <v>4803</v>
      </c>
    </row>
    <row r="986" spans="2:3" x14ac:dyDescent="0.25">
      <c r="B986" t="s">
        <v>8583</v>
      </c>
      <c r="C986" t="s">
        <v>8582</v>
      </c>
    </row>
    <row r="987" spans="2:3" x14ac:dyDescent="0.25">
      <c r="B987" t="s">
        <v>8584</v>
      </c>
      <c r="C987" t="s">
        <v>8582</v>
      </c>
    </row>
    <row r="988" spans="2:3" x14ac:dyDescent="0.25">
      <c r="B988" t="s">
        <v>8585</v>
      </c>
      <c r="C988" t="s">
        <v>4803</v>
      </c>
    </row>
    <row r="989" spans="2:3" x14ac:dyDescent="0.25">
      <c r="B989" t="s">
        <v>8586</v>
      </c>
      <c r="C989" t="s">
        <v>4803</v>
      </c>
    </row>
    <row r="990" spans="2:3" x14ac:dyDescent="0.25">
      <c r="B990" t="s">
        <v>4804</v>
      </c>
      <c r="C990" t="s">
        <v>4803</v>
      </c>
    </row>
    <row r="991" spans="2:3" x14ac:dyDescent="0.25">
      <c r="B991" t="s">
        <v>8587</v>
      </c>
      <c r="C991" t="s">
        <v>3694</v>
      </c>
    </row>
    <row r="992" spans="2:3" x14ac:dyDescent="0.25">
      <c r="B992" t="s">
        <v>8588</v>
      </c>
      <c r="C992" t="s">
        <v>8587</v>
      </c>
    </row>
    <row r="993" spans="2:3" x14ac:dyDescent="0.25">
      <c r="B993" t="s">
        <v>8589</v>
      </c>
      <c r="C993" t="s">
        <v>8588</v>
      </c>
    </row>
    <row r="994" spans="2:3" x14ac:dyDescent="0.25">
      <c r="B994" t="s">
        <v>8590</v>
      </c>
      <c r="C994" t="s">
        <v>8588</v>
      </c>
    </row>
    <row r="995" spans="2:3" x14ac:dyDescent="0.25">
      <c r="B995" t="s">
        <v>8591</v>
      </c>
      <c r="C995" t="s">
        <v>8588</v>
      </c>
    </row>
    <row r="996" spans="2:3" x14ac:dyDescent="0.25">
      <c r="B996" t="s">
        <v>8592</v>
      </c>
      <c r="C996" t="s">
        <v>8587</v>
      </c>
    </row>
    <row r="997" spans="2:3" x14ac:dyDescent="0.25">
      <c r="B997" t="s">
        <v>8593</v>
      </c>
      <c r="C997" t="s">
        <v>8592</v>
      </c>
    </row>
    <row r="998" spans="2:3" x14ac:dyDescent="0.25">
      <c r="B998" t="s">
        <v>8594</v>
      </c>
      <c r="C998" t="s">
        <v>8592</v>
      </c>
    </row>
    <row r="999" spans="2:3" x14ac:dyDescent="0.25">
      <c r="B999" t="s">
        <v>8595</v>
      </c>
      <c r="C999" t="s">
        <v>8594</v>
      </c>
    </row>
    <row r="1000" spans="2:3" x14ac:dyDescent="0.25">
      <c r="B1000" t="s">
        <v>8596</v>
      </c>
      <c r="C1000" t="s">
        <v>8594</v>
      </c>
    </row>
    <row r="1001" spans="2:3" x14ac:dyDescent="0.25">
      <c r="B1001" t="s">
        <v>8597</v>
      </c>
      <c r="C1001" t="s">
        <v>3694</v>
      </c>
    </row>
    <row r="1002" spans="2:3" x14ac:dyDescent="0.25">
      <c r="B1002" t="s">
        <v>8598</v>
      </c>
      <c r="C1002" t="s">
        <v>8597</v>
      </c>
    </row>
    <row r="1003" spans="2:3" x14ac:dyDescent="0.25">
      <c r="B1003" t="s">
        <v>8599</v>
      </c>
      <c r="C1003" t="s">
        <v>8598</v>
      </c>
    </row>
    <row r="1004" spans="2:3" x14ac:dyDescent="0.25">
      <c r="B1004" t="s">
        <v>8600</v>
      </c>
      <c r="C1004" t="s">
        <v>8597</v>
      </c>
    </row>
    <row r="1005" spans="2:3" x14ac:dyDescent="0.25">
      <c r="B1005" t="s">
        <v>8601</v>
      </c>
      <c r="C1005" t="s">
        <v>8600</v>
      </c>
    </row>
    <row r="1006" spans="2:3" x14ac:dyDescent="0.25">
      <c r="B1006" t="s">
        <v>8602</v>
      </c>
      <c r="C1006" t="s">
        <v>8600</v>
      </c>
    </row>
    <row r="1007" spans="2:3" x14ac:dyDescent="0.25">
      <c r="B1007" t="s">
        <v>8603</v>
      </c>
      <c r="C1007" t="s">
        <v>3694</v>
      </c>
    </row>
    <row r="1008" spans="2:3" x14ac:dyDescent="0.25">
      <c r="B1008" t="s">
        <v>4837</v>
      </c>
      <c r="C1008" t="s">
        <v>8603</v>
      </c>
    </row>
    <row r="1009" spans="2:3" x14ac:dyDescent="0.25">
      <c r="B1009" t="s">
        <v>8604</v>
      </c>
      <c r="C1009" t="s">
        <v>4837</v>
      </c>
    </row>
    <row r="1010" spans="2:3" x14ac:dyDescent="0.25">
      <c r="B1010" t="s">
        <v>8605</v>
      </c>
      <c r="C1010" t="s">
        <v>4837</v>
      </c>
    </row>
    <row r="1011" spans="2:3" x14ac:dyDescent="0.25">
      <c r="B1011" t="s">
        <v>8606</v>
      </c>
      <c r="C1011" t="s">
        <v>4837</v>
      </c>
    </row>
    <row r="1012" spans="2:3" x14ac:dyDescent="0.25">
      <c r="B1012" t="s">
        <v>8607</v>
      </c>
      <c r="C1012" t="s">
        <v>4837</v>
      </c>
    </row>
    <row r="1013" spans="2:3" x14ac:dyDescent="0.25">
      <c r="B1013" t="s">
        <v>8608</v>
      </c>
      <c r="C1013" t="s">
        <v>4837</v>
      </c>
    </row>
    <row r="1014" spans="2:3" x14ac:dyDescent="0.25">
      <c r="B1014" t="s">
        <v>8609</v>
      </c>
      <c r="C1014" t="s">
        <v>4837</v>
      </c>
    </row>
    <row r="1015" spans="2:3" x14ac:dyDescent="0.25">
      <c r="B1015" t="s">
        <v>8610</v>
      </c>
      <c r="C1015" t="s">
        <v>4837</v>
      </c>
    </row>
    <row r="1016" spans="2:3" x14ac:dyDescent="0.25">
      <c r="B1016" t="s">
        <v>8611</v>
      </c>
      <c r="C1016" t="s">
        <v>4837</v>
      </c>
    </row>
    <row r="1017" spans="2:3" x14ac:dyDescent="0.25">
      <c r="B1017" t="s">
        <v>8612</v>
      </c>
      <c r="C1017" t="s">
        <v>4837</v>
      </c>
    </row>
    <row r="1018" spans="2:3" x14ac:dyDescent="0.25">
      <c r="B1018" t="s">
        <v>8613</v>
      </c>
      <c r="C1018" t="s">
        <v>4837</v>
      </c>
    </row>
    <row r="1019" spans="2:3" x14ac:dyDescent="0.25">
      <c r="B1019" t="s">
        <v>4838</v>
      </c>
      <c r="C1019" t="s">
        <v>4837</v>
      </c>
    </row>
    <row r="1020" spans="2:3" x14ac:dyDescent="0.25">
      <c r="B1020" t="s">
        <v>8614</v>
      </c>
      <c r="C1020" t="s">
        <v>8603</v>
      </c>
    </row>
    <row r="1021" spans="2:3" x14ac:dyDescent="0.25">
      <c r="B1021" t="s">
        <v>8615</v>
      </c>
      <c r="C1021" t="s">
        <v>8614</v>
      </c>
    </row>
    <row r="1022" spans="2:3" x14ac:dyDescent="0.25">
      <c r="B1022" t="s">
        <v>8616</v>
      </c>
      <c r="C1022" t="s">
        <v>8614</v>
      </c>
    </row>
    <row r="1023" spans="2:3" x14ac:dyDescent="0.25">
      <c r="B1023" t="s">
        <v>8617</v>
      </c>
      <c r="C1023" t="s">
        <v>3694</v>
      </c>
    </row>
    <row r="1024" spans="2:3" x14ac:dyDescent="0.25">
      <c r="B1024" t="s">
        <v>5798</v>
      </c>
      <c r="C1024" t="s">
        <v>8617</v>
      </c>
    </row>
    <row r="1025" spans="2:3" x14ac:dyDescent="0.25">
      <c r="B1025" t="s">
        <v>8618</v>
      </c>
      <c r="C1025" t="s">
        <v>5798</v>
      </c>
    </row>
    <row r="1026" spans="2:3" x14ac:dyDescent="0.25">
      <c r="B1026" t="s">
        <v>8619</v>
      </c>
      <c r="C1026" t="s">
        <v>5798</v>
      </c>
    </row>
    <row r="1027" spans="2:3" x14ac:dyDescent="0.25">
      <c r="B1027" t="s">
        <v>8620</v>
      </c>
      <c r="C1027" t="s">
        <v>5798</v>
      </c>
    </row>
    <row r="1028" spans="2:3" x14ac:dyDescent="0.25">
      <c r="B1028" t="s">
        <v>8621</v>
      </c>
      <c r="C1028" t="s">
        <v>5798</v>
      </c>
    </row>
    <row r="1029" spans="2:3" x14ac:dyDescent="0.25">
      <c r="B1029" t="s">
        <v>7664</v>
      </c>
      <c r="C1029" t="s">
        <v>5798</v>
      </c>
    </row>
    <row r="1030" spans="2:3" x14ac:dyDescent="0.25">
      <c r="B1030" t="s">
        <v>8622</v>
      </c>
      <c r="C1030" t="s">
        <v>5798</v>
      </c>
    </row>
    <row r="1031" spans="2:3" x14ac:dyDescent="0.25">
      <c r="B1031" t="s">
        <v>7666</v>
      </c>
      <c r="C1031" t="s">
        <v>5798</v>
      </c>
    </row>
    <row r="1032" spans="2:3" x14ac:dyDescent="0.25">
      <c r="B1032" t="s">
        <v>8623</v>
      </c>
      <c r="C1032" t="s">
        <v>5798</v>
      </c>
    </row>
    <row r="1033" spans="2:3" x14ac:dyDescent="0.25">
      <c r="B1033" t="s">
        <v>8624</v>
      </c>
      <c r="C1033" t="s">
        <v>5798</v>
      </c>
    </row>
    <row r="1034" spans="2:3" x14ac:dyDescent="0.25">
      <c r="B1034" t="s">
        <v>7668</v>
      </c>
      <c r="C1034" t="s">
        <v>5798</v>
      </c>
    </row>
    <row r="1035" spans="2:3" x14ac:dyDescent="0.25">
      <c r="B1035" t="s">
        <v>5796</v>
      </c>
      <c r="C1035" t="s">
        <v>5798</v>
      </c>
    </row>
    <row r="1036" spans="2:3" x14ac:dyDescent="0.25">
      <c r="B1036" t="s">
        <v>8625</v>
      </c>
      <c r="C1036" t="s">
        <v>8617</v>
      </c>
    </row>
    <row r="1037" spans="2:3" x14ac:dyDescent="0.25">
      <c r="B1037" t="s">
        <v>8626</v>
      </c>
      <c r="C1037" t="s">
        <v>8625</v>
      </c>
    </row>
    <row r="1038" spans="2:3" x14ac:dyDescent="0.25">
      <c r="B1038" t="s">
        <v>8627</v>
      </c>
      <c r="C1038" t="s">
        <v>8625</v>
      </c>
    </row>
    <row r="1039" spans="2:3" x14ac:dyDescent="0.25">
      <c r="B1039" t="s">
        <v>8628</v>
      </c>
      <c r="C1039" t="s">
        <v>3694</v>
      </c>
    </row>
    <row r="1040" spans="2:3" x14ac:dyDescent="0.25">
      <c r="B1040" t="s">
        <v>4840</v>
      </c>
      <c r="C1040" t="s">
        <v>8628</v>
      </c>
    </row>
    <row r="1041" spans="2:3" x14ac:dyDescent="0.25">
      <c r="B1041" t="s">
        <v>8629</v>
      </c>
      <c r="C1041" t="s">
        <v>4840</v>
      </c>
    </row>
    <row r="1042" spans="2:3" x14ac:dyDescent="0.25">
      <c r="B1042" t="s">
        <v>7929</v>
      </c>
      <c r="C1042" t="s">
        <v>4840</v>
      </c>
    </row>
    <row r="1043" spans="2:3" x14ac:dyDescent="0.25">
      <c r="B1043" t="s">
        <v>7931</v>
      </c>
      <c r="C1043" t="s">
        <v>4840</v>
      </c>
    </row>
    <row r="1044" spans="2:3" x14ac:dyDescent="0.25">
      <c r="B1044" t="s">
        <v>8630</v>
      </c>
      <c r="C1044" t="s">
        <v>4840</v>
      </c>
    </row>
    <row r="1045" spans="2:3" x14ac:dyDescent="0.25">
      <c r="B1045" t="s">
        <v>5602</v>
      </c>
      <c r="C1045" t="s">
        <v>4840</v>
      </c>
    </row>
    <row r="1046" spans="2:3" x14ac:dyDescent="0.25">
      <c r="B1046" t="s">
        <v>5049</v>
      </c>
      <c r="C1046" t="s">
        <v>5602</v>
      </c>
    </row>
    <row r="1047" spans="2:3" x14ac:dyDescent="0.25">
      <c r="B1047" t="s">
        <v>5051</v>
      </c>
      <c r="C1047" t="s">
        <v>5602</v>
      </c>
    </row>
    <row r="1048" spans="2:3" x14ac:dyDescent="0.25">
      <c r="B1048" t="s">
        <v>5053</v>
      </c>
      <c r="C1048" t="s">
        <v>5602</v>
      </c>
    </row>
    <row r="1049" spans="2:3" x14ac:dyDescent="0.25">
      <c r="B1049" t="s">
        <v>5055</v>
      </c>
      <c r="C1049" t="s">
        <v>5602</v>
      </c>
    </row>
    <row r="1050" spans="2:3" x14ac:dyDescent="0.25">
      <c r="B1050" t="s">
        <v>5057</v>
      </c>
      <c r="C1050" t="s">
        <v>5602</v>
      </c>
    </row>
    <row r="1051" spans="2:3" x14ac:dyDescent="0.25">
      <c r="B1051" t="s">
        <v>5059</v>
      </c>
      <c r="C1051" t="s">
        <v>5602</v>
      </c>
    </row>
    <row r="1052" spans="2:3" x14ac:dyDescent="0.25">
      <c r="B1052" t="s">
        <v>5061</v>
      </c>
      <c r="C1052" t="s">
        <v>5602</v>
      </c>
    </row>
    <row r="1053" spans="2:3" x14ac:dyDescent="0.25">
      <c r="B1053" t="s">
        <v>5063</v>
      </c>
      <c r="C1053" t="s">
        <v>5602</v>
      </c>
    </row>
    <row r="1054" spans="2:3" x14ac:dyDescent="0.25">
      <c r="B1054" t="s">
        <v>5065</v>
      </c>
      <c r="C1054" t="s">
        <v>5602</v>
      </c>
    </row>
    <row r="1055" spans="2:3" x14ac:dyDescent="0.25">
      <c r="B1055" t="s">
        <v>5067</v>
      </c>
      <c r="C1055" t="s">
        <v>5602</v>
      </c>
    </row>
    <row r="1056" spans="2:3" x14ac:dyDescent="0.25">
      <c r="B1056" t="s">
        <v>5614</v>
      </c>
      <c r="C1056" t="s">
        <v>5602</v>
      </c>
    </row>
    <row r="1057" spans="2:3" x14ac:dyDescent="0.25">
      <c r="B1057" t="s">
        <v>5616</v>
      </c>
      <c r="C1057" t="s">
        <v>4840</v>
      </c>
    </row>
    <row r="1058" spans="2:3" x14ac:dyDescent="0.25">
      <c r="B1058" t="s">
        <v>5069</v>
      </c>
      <c r="C1058" t="s">
        <v>5616</v>
      </c>
    </row>
    <row r="1059" spans="2:3" x14ac:dyDescent="0.25">
      <c r="B1059" t="s">
        <v>5619</v>
      </c>
      <c r="C1059" t="s">
        <v>5616</v>
      </c>
    </row>
    <row r="1060" spans="2:3" x14ac:dyDescent="0.25">
      <c r="B1060" t="s">
        <v>5621</v>
      </c>
      <c r="C1060" t="s">
        <v>4840</v>
      </c>
    </row>
    <row r="1061" spans="2:3" x14ac:dyDescent="0.25">
      <c r="B1061" t="s">
        <v>5071</v>
      </c>
      <c r="C1061" t="s">
        <v>5621</v>
      </c>
    </row>
    <row r="1062" spans="2:3" x14ac:dyDescent="0.25">
      <c r="B1062" t="s">
        <v>5073</v>
      </c>
      <c r="C1062" t="s">
        <v>5621</v>
      </c>
    </row>
    <row r="1063" spans="2:3" x14ac:dyDescent="0.25">
      <c r="B1063" t="s">
        <v>5625</v>
      </c>
      <c r="C1063" t="s">
        <v>5621</v>
      </c>
    </row>
    <row r="1064" spans="2:3" x14ac:dyDescent="0.25">
      <c r="B1064" t="s">
        <v>5627</v>
      </c>
      <c r="C1064" t="s">
        <v>4840</v>
      </c>
    </row>
    <row r="1065" spans="2:3" x14ac:dyDescent="0.25">
      <c r="B1065" t="s">
        <v>5075</v>
      </c>
      <c r="C1065" t="s">
        <v>5627</v>
      </c>
    </row>
    <row r="1066" spans="2:3" x14ac:dyDescent="0.25">
      <c r="B1066" t="s">
        <v>5077</v>
      </c>
      <c r="C1066" t="s">
        <v>5627</v>
      </c>
    </row>
    <row r="1067" spans="2:3" x14ac:dyDescent="0.25">
      <c r="B1067" t="s">
        <v>5079</v>
      </c>
      <c r="C1067" t="s">
        <v>5627</v>
      </c>
    </row>
    <row r="1068" spans="2:3" x14ac:dyDescent="0.25">
      <c r="B1068" t="s">
        <v>5081</v>
      </c>
      <c r="C1068" t="s">
        <v>5627</v>
      </c>
    </row>
    <row r="1069" spans="2:3" x14ac:dyDescent="0.25">
      <c r="B1069" t="s">
        <v>5083</v>
      </c>
      <c r="C1069" t="s">
        <v>5627</v>
      </c>
    </row>
    <row r="1070" spans="2:3" x14ac:dyDescent="0.25">
      <c r="B1070" t="s">
        <v>5085</v>
      </c>
      <c r="C1070" t="s">
        <v>5627</v>
      </c>
    </row>
    <row r="1071" spans="2:3" x14ac:dyDescent="0.25">
      <c r="B1071" t="s">
        <v>5635</v>
      </c>
      <c r="C1071" t="s">
        <v>5627</v>
      </c>
    </row>
    <row r="1072" spans="2:3" x14ac:dyDescent="0.25">
      <c r="B1072" t="s">
        <v>5637</v>
      </c>
      <c r="C1072" t="s">
        <v>4840</v>
      </c>
    </row>
    <row r="1073" spans="2:3" x14ac:dyDescent="0.25">
      <c r="B1073" t="s">
        <v>5087</v>
      </c>
      <c r="C1073" t="s">
        <v>5637</v>
      </c>
    </row>
    <row r="1074" spans="2:3" x14ac:dyDescent="0.25">
      <c r="B1074" t="s">
        <v>5089</v>
      </c>
      <c r="C1074" t="s">
        <v>5637</v>
      </c>
    </row>
    <row r="1075" spans="2:3" x14ac:dyDescent="0.25">
      <c r="B1075" t="s">
        <v>5091</v>
      </c>
      <c r="C1075" t="s">
        <v>5637</v>
      </c>
    </row>
    <row r="1076" spans="2:3" x14ac:dyDescent="0.25">
      <c r="B1076" t="s">
        <v>5093</v>
      </c>
      <c r="C1076" t="s">
        <v>5637</v>
      </c>
    </row>
    <row r="1077" spans="2:3" x14ac:dyDescent="0.25">
      <c r="B1077" t="s">
        <v>5095</v>
      </c>
      <c r="C1077" t="s">
        <v>5637</v>
      </c>
    </row>
    <row r="1078" spans="2:3" x14ac:dyDescent="0.25">
      <c r="B1078" t="s">
        <v>5097</v>
      </c>
      <c r="C1078" t="s">
        <v>5637</v>
      </c>
    </row>
    <row r="1079" spans="2:3" x14ac:dyDescent="0.25">
      <c r="B1079" t="s">
        <v>5645</v>
      </c>
      <c r="C1079" t="s">
        <v>5637</v>
      </c>
    </row>
    <row r="1080" spans="2:3" x14ac:dyDescent="0.25">
      <c r="B1080" t="s">
        <v>4841</v>
      </c>
      <c r="C1080" t="s">
        <v>4840</v>
      </c>
    </row>
    <row r="1081" spans="2:3" x14ac:dyDescent="0.25">
      <c r="B1081" t="s">
        <v>8631</v>
      </c>
      <c r="C1081" t="s">
        <v>8628</v>
      </c>
    </row>
    <row r="1082" spans="2:3" x14ac:dyDescent="0.25">
      <c r="B1082" t="s">
        <v>8632</v>
      </c>
      <c r="C1082" t="s">
        <v>8631</v>
      </c>
    </row>
    <row r="1083" spans="2:3" x14ac:dyDescent="0.25">
      <c r="B1083" t="s">
        <v>8633</v>
      </c>
      <c r="C1083" t="s">
        <v>8631</v>
      </c>
    </row>
    <row r="1084" spans="2:3" x14ac:dyDescent="0.25">
      <c r="B1084" t="s">
        <v>8634</v>
      </c>
      <c r="C1084" t="s">
        <v>3694</v>
      </c>
    </row>
    <row r="1085" spans="2:3" x14ac:dyDescent="0.25">
      <c r="B1085" t="s">
        <v>5457</v>
      </c>
      <c r="C1085" t="s">
        <v>8634</v>
      </c>
    </row>
    <row r="1086" spans="2:3" x14ac:dyDescent="0.25">
      <c r="B1086" t="s">
        <v>8635</v>
      </c>
      <c r="C1086" t="s">
        <v>5457</v>
      </c>
    </row>
    <row r="1087" spans="2:3" x14ac:dyDescent="0.25">
      <c r="B1087" t="s">
        <v>8636</v>
      </c>
      <c r="C1087" t="s">
        <v>5457</v>
      </c>
    </row>
    <row r="1088" spans="2:3" x14ac:dyDescent="0.25">
      <c r="B1088" t="s">
        <v>8637</v>
      </c>
      <c r="C1088" t="s">
        <v>5457</v>
      </c>
    </row>
    <row r="1089" spans="2:3" x14ac:dyDescent="0.25">
      <c r="B1089" t="s">
        <v>5039</v>
      </c>
      <c r="C1089" t="s">
        <v>5457</v>
      </c>
    </row>
    <row r="1090" spans="2:3" x14ac:dyDescent="0.25">
      <c r="B1090" t="s">
        <v>5455</v>
      </c>
      <c r="C1090" t="s">
        <v>5457</v>
      </c>
    </row>
    <row r="1091" spans="2:3" x14ac:dyDescent="0.25">
      <c r="B1091" t="s">
        <v>5647</v>
      </c>
      <c r="C1091" t="s">
        <v>5457</v>
      </c>
    </row>
    <row r="1092" spans="2:3" x14ac:dyDescent="0.25">
      <c r="B1092" t="s">
        <v>5099</v>
      </c>
      <c r="C1092" t="s">
        <v>5647</v>
      </c>
    </row>
    <row r="1093" spans="2:3" x14ac:dyDescent="0.25">
      <c r="B1093" t="s">
        <v>5101</v>
      </c>
      <c r="C1093" t="s">
        <v>5647</v>
      </c>
    </row>
    <row r="1094" spans="2:3" x14ac:dyDescent="0.25">
      <c r="B1094" t="s">
        <v>5103</v>
      </c>
      <c r="C1094" t="s">
        <v>5647</v>
      </c>
    </row>
    <row r="1095" spans="2:3" x14ac:dyDescent="0.25">
      <c r="B1095" t="s">
        <v>5105</v>
      </c>
      <c r="C1095" t="s">
        <v>5647</v>
      </c>
    </row>
    <row r="1096" spans="2:3" x14ac:dyDescent="0.25">
      <c r="B1096" t="s">
        <v>5107</v>
      </c>
      <c r="C1096" t="s">
        <v>5647</v>
      </c>
    </row>
    <row r="1097" spans="2:3" x14ac:dyDescent="0.25">
      <c r="B1097" t="s">
        <v>5109</v>
      </c>
      <c r="C1097" t="s">
        <v>5647</v>
      </c>
    </row>
    <row r="1098" spans="2:3" x14ac:dyDescent="0.25">
      <c r="B1098" t="s">
        <v>5111</v>
      </c>
      <c r="C1098" t="s">
        <v>5647</v>
      </c>
    </row>
    <row r="1099" spans="2:3" x14ac:dyDescent="0.25">
      <c r="B1099" t="s">
        <v>5113</v>
      </c>
      <c r="C1099" t="s">
        <v>5647</v>
      </c>
    </row>
    <row r="1100" spans="2:3" x14ac:dyDescent="0.25">
      <c r="B1100" t="s">
        <v>5115</v>
      </c>
      <c r="C1100" t="s">
        <v>5647</v>
      </c>
    </row>
    <row r="1101" spans="2:3" x14ac:dyDescent="0.25">
      <c r="B1101" t="s">
        <v>5117</v>
      </c>
      <c r="C1101" t="s">
        <v>5647</v>
      </c>
    </row>
    <row r="1102" spans="2:3" x14ac:dyDescent="0.25">
      <c r="B1102" t="s">
        <v>5659</v>
      </c>
      <c r="C1102" t="s">
        <v>5647</v>
      </c>
    </row>
    <row r="1103" spans="2:3" x14ac:dyDescent="0.25">
      <c r="B1103" t="s">
        <v>5661</v>
      </c>
      <c r="C1103" t="s">
        <v>5457</v>
      </c>
    </row>
    <row r="1104" spans="2:3" x14ac:dyDescent="0.25">
      <c r="B1104" t="s">
        <v>5119</v>
      </c>
      <c r="C1104" t="s">
        <v>5661</v>
      </c>
    </row>
    <row r="1105" spans="2:3" x14ac:dyDescent="0.25">
      <c r="B1105" t="s">
        <v>5664</v>
      </c>
      <c r="C1105" t="s">
        <v>5661</v>
      </c>
    </row>
    <row r="1106" spans="2:3" x14ac:dyDescent="0.25">
      <c r="B1106" t="s">
        <v>5666</v>
      </c>
      <c r="C1106" t="s">
        <v>5457</v>
      </c>
    </row>
    <row r="1107" spans="2:3" x14ac:dyDescent="0.25">
      <c r="B1107" t="s">
        <v>5121</v>
      </c>
      <c r="C1107" t="s">
        <v>5666</v>
      </c>
    </row>
    <row r="1108" spans="2:3" x14ac:dyDescent="0.25">
      <c r="B1108" t="s">
        <v>5123</v>
      </c>
      <c r="C1108" t="s">
        <v>5666</v>
      </c>
    </row>
    <row r="1109" spans="2:3" x14ac:dyDescent="0.25">
      <c r="B1109" t="s">
        <v>5670</v>
      </c>
      <c r="C1109" t="s">
        <v>5666</v>
      </c>
    </row>
    <row r="1110" spans="2:3" x14ac:dyDescent="0.25">
      <c r="B1110" t="s">
        <v>5672</v>
      </c>
      <c r="C1110" t="s">
        <v>5457</v>
      </c>
    </row>
    <row r="1111" spans="2:3" x14ac:dyDescent="0.25">
      <c r="B1111" t="s">
        <v>5125</v>
      </c>
      <c r="C1111" t="s">
        <v>5672</v>
      </c>
    </row>
    <row r="1112" spans="2:3" x14ac:dyDescent="0.25">
      <c r="B1112" t="s">
        <v>5127</v>
      </c>
      <c r="C1112" t="s">
        <v>5672</v>
      </c>
    </row>
    <row r="1113" spans="2:3" x14ac:dyDescent="0.25">
      <c r="B1113" t="s">
        <v>5129</v>
      </c>
      <c r="C1113" t="s">
        <v>5672</v>
      </c>
    </row>
    <row r="1114" spans="2:3" x14ac:dyDescent="0.25">
      <c r="B1114" t="s">
        <v>5131</v>
      </c>
      <c r="C1114" t="s">
        <v>5672</v>
      </c>
    </row>
    <row r="1115" spans="2:3" x14ac:dyDescent="0.25">
      <c r="B1115" t="s">
        <v>5133</v>
      </c>
      <c r="C1115" t="s">
        <v>5672</v>
      </c>
    </row>
    <row r="1116" spans="2:3" x14ac:dyDescent="0.25">
      <c r="B1116" t="s">
        <v>5135</v>
      </c>
      <c r="C1116" t="s">
        <v>5672</v>
      </c>
    </row>
    <row r="1117" spans="2:3" x14ac:dyDescent="0.25">
      <c r="B1117" t="s">
        <v>5680</v>
      </c>
      <c r="C1117" t="s">
        <v>5672</v>
      </c>
    </row>
    <row r="1118" spans="2:3" x14ac:dyDescent="0.25">
      <c r="B1118" t="s">
        <v>5682</v>
      </c>
      <c r="C1118" t="s">
        <v>5457</v>
      </c>
    </row>
    <row r="1119" spans="2:3" x14ac:dyDescent="0.25">
      <c r="B1119" t="s">
        <v>5137</v>
      </c>
      <c r="C1119" t="s">
        <v>5682</v>
      </c>
    </row>
    <row r="1120" spans="2:3" x14ac:dyDescent="0.25">
      <c r="B1120" t="s">
        <v>5139</v>
      </c>
      <c r="C1120" t="s">
        <v>5682</v>
      </c>
    </row>
    <row r="1121" spans="2:3" x14ac:dyDescent="0.25">
      <c r="B1121" t="s">
        <v>5141</v>
      </c>
      <c r="C1121" t="s">
        <v>5682</v>
      </c>
    </row>
    <row r="1122" spans="2:3" x14ac:dyDescent="0.25">
      <c r="B1122" t="s">
        <v>5143</v>
      </c>
      <c r="C1122" t="s">
        <v>5682</v>
      </c>
    </row>
    <row r="1123" spans="2:3" x14ac:dyDescent="0.25">
      <c r="B1123" t="s">
        <v>5145</v>
      </c>
      <c r="C1123" t="s">
        <v>5682</v>
      </c>
    </row>
    <row r="1124" spans="2:3" x14ac:dyDescent="0.25">
      <c r="B1124" t="s">
        <v>5147</v>
      </c>
      <c r="C1124" t="s">
        <v>5682</v>
      </c>
    </row>
    <row r="1125" spans="2:3" x14ac:dyDescent="0.25">
      <c r="B1125" t="s">
        <v>5690</v>
      </c>
      <c r="C1125" t="s">
        <v>5682</v>
      </c>
    </row>
    <row r="1126" spans="2:3" x14ac:dyDescent="0.25">
      <c r="B1126" t="s">
        <v>8638</v>
      </c>
      <c r="C1126" t="s">
        <v>8634</v>
      </c>
    </row>
    <row r="1127" spans="2:3" x14ac:dyDescent="0.25">
      <c r="B1127" t="s">
        <v>8639</v>
      </c>
      <c r="C1127" t="s">
        <v>8638</v>
      </c>
    </row>
    <row r="1128" spans="2:3" x14ac:dyDescent="0.25">
      <c r="B1128" t="s">
        <v>8640</v>
      </c>
      <c r="C1128" t="s">
        <v>8638</v>
      </c>
    </row>
    <row r="1129" spans="2:3" x14ac:dyDescent="0.25">
      <c r="B1129" t="s">
        <v>8641</v>
      </c>
      <c r="C1129" t="s">
        <v>3694</v>
      </c>
    </row>
    <row r="1130" spans="2:3" x14ac:dyDescent="0.25">
      <c r="B1130" t="s">
        <v>5728</v>
      </c>
      <c r="C1130" t="s">
        <v>8641</v>
      </c>
    </row>
    <row r="1131" spans="2:3" x14ac:dyDescent="0.25">
      <c r="B1131" t="s">
        <v>8642</v>
      </c>
      <c r="C1131" t="s">
        <v>5728</v>
      </c>
    </row>
    <row r="1132" spans="2:3" x14ac:dyDescent="0.25">
      <c r="B1132" t="s">
        <v>8643</v>
      </c>
      <c r="C1132" t="s">
        <v>5728</v>
      </c>
    </row>
    <row r="1133" spans="2:3" x14ac:dyDescent="0.25">
      <c r="B1133" t="s">
        <v>8644</v>
      </c>
      <c r="C1133" t="s">
        <v>5728</v>
      </c>
    </row>
    <row r="1134" spans="2:3" x14ac:dyDescent="0.25">
      <c r="B1134" t="s">
        <v>8645</v>
      </c>
      <c r="C1134" t="s">
        <v>5728</v>
      </c>
    </row>
    <row r="1135" spans="2:3" x14ac:dyDescent="0.25">
      <c r="B1135" t="s">
        <v>8646</v>
      </c>
      <c r="C1135" t="s">
        <v>5728</v>
      </c>
    </row>
    <row r="1136" spans="2:3" x14ac:dyDescent="0.25">
      <c r="B1136" t="s">
        <v>8647</v>
      </c>
      <c r="C1136" t="s">
        <v>5728</v>
      </c>
    </row>
    <row r="1137" spans="2:3" x14ac:dyDescent="0.25">
      <c r="B1137" t="s">
        <v>8648</v>
      </c>
      <c r="C1137" t="s">
        <v>5728</v>
      </c>
    </row>
    <row r="1138" spans="2:3" x14ac:dyDescent="0.25">
      <c r="B1138" t="s">
        <v>5729</v>
      </c>
      <c r="C1138" t="s">
        <v>5728</v>
      </c>
    </row>
    <row r="1139" spans="2:3" x14ac:dyDescent="0.25">
      <c r="B1139" t="s">
        <v>8649</v>
      </c>
      <c r="C1139" t="s">
        <v>5728</v>
      </c>
    </row>
    <row r="1140" spans="2:3" x14ac:dyDescent="0.25">
      <c r="B1140" t="s">
        <v>8650</v>
      </c>
      <c r="C1140" t="s">
        <v>5728</v>
      </c>
    </row>
    <row r="1141" spans="2:3" x14ac:dyDescent="0.25">
      <c r="B1141" t="s">
        <v>5726</v>
      </c>
      <c r="C1141" t="s">
        <v>5728</v>
      </c>
    </row>
    <row r="1142" spans="2:3" x14ac:dyDescent="0.25">
      <c r="B1142" t="s">
        <v>8651</v>
      </c>
      <c r="C1142" t="s">
        <v>8641</v>
      </c>
    </row>
    <row r="1143" spans="2:3" x14ac:dyDescent="0.25">
      <c r="B1143" t="s">
        <v>8652</v>
      </c>
      <c r="C1143" t="s">
        <v>8651</v>
      </c>
    </row>
    <row r="1144" spans="2:3" x14ac:dyDescent="0.25">
      <c r="B1144" t="s">
        <v>8653</v>
      </c>
      <c r="C1144" t="s">
        <v>8651</v>
      </c>
    </row>
    <row r="1145" spans="2:3" x14ac:dyDescent="0.25">
      <c r="B1145" t="s">
        <v>8654</v>
      </c>
      <c r="C1145" t="s">
        <v>3694</v>
      </c>
    </row>
    <row r="1146" spans="2:3" x14ac:dyDescent="0.25">
      <c r="B1146" t="s">
        <v>8655</v>
      </c>
      <c r="C1146" t="s">
        <v>8654</v>
      </c>
    </row>
    <row r="1147" spans="2:3" x14ac:dyDescent="0.25">
      <c r="B1147" t="s">
        <v>8656</v>
      </c>
      <c r="C1147" t="s">
        <v>8655</v>
      </c>
    </row>
    <row r="1148" spans="2:3" x14ac:dyDescent="0.25">
      <c r="B1148" t="s">
        <v>8657</v>
      </c>
      <c r="C1148" t="s">
        <v>8655</v>
      </c>
    </row>
    <row r="1149" spans="2:3" x14ac:dyDescent="0.25">
      <c r="B1149" t="s">
        <v>8658</v>
      </c>
      <c r="C1149" t="s">
        <v>8655</v>
      </c>
    </row>
    <row r="1150" spans="2:3" x14ac:dyDescent="0.25">
      <c r="B1150" t="s">
        <v>8659</v>
      </c>
      <c r="C1150" t="s">
        <v>8655</v>
      </c>
    </row>
    <row r="1151" spans="2:3" x14ac:dyDescent="0.25">
      <c r="B1151" t="s">
        <v>8660</v>
      </c>
      <c r="C1151" t="s">
        <v>8655</v>
      </c>
    </row>
    <row r="1152" spans="2:3" x14ac:dyDescent="0.25">
      <c r="B1152" t="s">
        <v>8661</v>
      </c>
      <c r="C1152" t="s">
        <v>8655</v>
      </c>
    </row>
    <row r="1153" spans="2:3" x14ac:dyDescent="0.25">
      <c r="B1153" t="s">
        <v>8662</v>
      </c>
      <c r="C1153" t="s">
        <v>8655</v>
      </c>
    </row>
    <row r="1154" spans="2:3" x14ac:dyDescent="0.25">
      <c r="B1154" t="s">
        <v>8663</v>
      </c>
      <c r="C1154" t="s">
        <v>8655</v>
      </c>
    </row>
    <row r="1155" spans="2:3" x14ac:dyDescent="0.25">
      <c r="B1155" t="s">
        <v>8664</v>
      </c>
      <c r="C1155" t="s">
        <v>8655</v>
      </c>
    </row>
    <row r="1156" spans="2:3" x14ac:dyDescent="0.25">
      <c r="B1156" t="s">
        <v>8665</v>
      </c>
      <c r="C1156" t="s">
        <v>8654</v>
      </c>
    </row>
    <row r="1157" spans="2:3" x14ac:dyDescent="0.25">
      <c r="B1157" t="s">
        <v>8666</v>
      </c>
      <c r="C1157" t="s">
        <v>8665</v>
      </c>
    </row>
    <row r="1158" spans="2:3" x14ac:dyDescent="0.25">
      <c r="B1158" t="s">
        <v>8667</v>
      </c>
      <c r="C1158" t="s">
        <v>8665</v>
      </c>
    </row>
    <row r="1159" spans="2:3" x14ac:dyDescent="0.25">
      <c r="B1159" t="s">
        <v>8668</v>
      </c>
      <c r="C1159" t="s">
        <v>3694</v>
      </c>
    </row>
    <row r="1160" spans="2:3" x14ac:dyDescent="0.25">
      <c r="B1160" t="s">
        <v>5460</v>
      </c>
      <c r="C1160" t="s">
        <v>8668</v>
      </c>
    </row>
    <row r="1161" spans="2:3" x14ac:dyDescent="0.25">
      <c r="B1161" t="s">
        <v>8669</v>
      </c>
      <c r="C1161" t="s">
        <v>5460</v>
      </c>
    </row>
    <row r="1162" spans="2:3" x14ac:dyDescent="0.25">
      <c r="B1162" t="s">
        <v>5043</v>
      </c>
      <c r="C1162" t="s">
        <v>5460</v>
      </c>
    </row>
    <row r="1163" spans="2:3" x14ac:dyDescent="0.25">
      <c r="B1163" t="s">
        <v>8670</v>
      </c>
      <c r="C1163" t="s">
        <v>5460</v>
      </c>
    </row>
    <row r="1164" spans="2:3" x14ac:dyDescent="0.25">
      <c r="B1164" t="s">
        <v>8671</v>
      </c>
      <c r="C1164" t="s">
        <v>5460</v>
      </c>
    </row>
    <row r="1165" spans="2:3" x14ac:dyDescent="0.25">
      <c r="B1165" t="s">
        <v>8672</v>
      </c>
      <c r="C1165" t="s">
        <v>5460</v>
      </c>
    </row>
    <row r="1166" spans="2:3" x14ac:dyDescent="0.25">
      <c r="B1166" t="s">
        <v>5458</v>
      </c>
      <c r="C1166" t="s">
        <v>5460</v>
      </c>
    </row>
    <row r="1167" spans="2:3" x14ac:dyDescent="0.25">
      <c r="B1167" t="s">
        <v>8673</v>
      </c>
      <c r="C1167" t="s">
        <v>8668</v>
      </c>
    </row>
    <row r="1168" spans="2:3" x14ac:dyDescent="0.25">
      <c r="B1168" t="s">
        <v>8674</v>
      </c>
      <c r="C1168" t="s">
        <v>8673</v>
      </c>
    </row>
    <row r="1169" spans="2:3" x14ac:dyDescent="0.25">
      <c r="B1169" t="s">
        <v>8675</v>
      </c>
      <c r="C1169" t="s">
        <v>8673</v>
      </c>
    </row>
    <row r="1170" spans="2:3" x14ac:dyDescent="0.25">
      <c r="B1170" t="s">
        <v>4822</v>
      </c>
      <c r="C1170" t="s">
        <v>3694</v>
      </c>
    </row>
    <row r="1171" spans="2:3" x14ac:dyDescent="0.25">
      <c r="B1171" t="s">
        <v>4824</v>
      </c>
      <c r="C1171" t="s">
        <v>4822</v>
      </c>
    </row>
    <row r="1172" spans="2:3" x14ac:dyDescent="0.25">
      <c r="B1172" t="s">
        <v>4830</v>
      </c>
      <c r="C1172" t="s">
        <v>4824</v>
      </c>
    </row>
    <row r="1173" spans="2:3" x14ac:dyDescent="0.25">
      <c r="B1173" t="s">
        <v>4827</v>
      </c>
      <c r="C1173" t="s">
        <v>4822</v>
      </c>
    </row>
    <row r="1174" spans="2:3" x14ac:dyDescent="0.25">
      <c r="B1174" t="s">
        <v>4833</v>
      </c>
      <c r="C1174" t="s">
        <v>4827</v>
      </c>
    </row>
    <row r="1175" spans="2:3" x14ac:dyDescent="0.25">
      <c r="B1175" t="s">
        <v>4835</v>
      </c>
      <c r="C1175" t="s">
        <v>4827</v>
      </c>
    </row>
    <row r="1176" spans="2:3" x14ac:dyDescent="0.25">
      <c r="B1176" t="s">
        <v>6416</v>
      </c>
      <c r="C1176" t="s">
        <v>3679</v>
      </c>
    </row>
    <row r="1177" spans="2:3" x14ac:dyDescent="0.25">
      <c r="B1177" t="s">
        <v>6417</v>
      </c>
      <c r="C1177" t="s">
        <v>6416</v>
      </c>
    </row>
    <row r="1178" spans="2:3" x14ac:dyDescent="0.25">
      <c r="B1178" t="s">
        <v>6419</v>
      </c>
      <c r="C1178" t="s">
        <v>6417</v>
      </c>
    </row>
    <row r="1179" spans="2:3" x14ac:dyDescent="0.25">
      <c r="B1179" t="s">
        <v>6418</v>
      </c>
      <c r="C1179" t="s">
        <v>6416</v>
      </c>
    </row>
    <row r="1180" spans="2:3" x14ac:dyDescent="0.25">
      <c r="B1180" t="s">
        <v>6420</v>
      </c>
      <c r="C1180" t="s">
        <v>6418</v>
      </c>
    </row>
    <row r="1181" spans="2:3" x14ac:dyDescent="0.25">
      <c r="B1181" t="s">
        <v>6421</v>
      </c>
      <c r="C1181" t="s">
        <v>6418</v>
      </c>
    </row>
    <row r="1182" spans="2:3" x14ac:dyDescent="0.25">
      <c r="B1182" t="s">
        <v>8676</v>
      </c>
      <c r="C1182" t="s">
        <v>3681</v>
      </c>
    </row>
    <row r="1183" spans="2:3" x14ac:dyDescent="0.25">
      <c r="B1183" t="s">
        <v>8677</v>
      </c>
      <c r="C1183" t="s">
        <v>8676</v>
      </c>
    </row>
    <row r="1184" spans="2:3" x14ac:dyDescent="0.25">
      <c r="B1184" t="s">
        <v>8678</v>
      </c>
      <c r="C1184" t="s">
        <v>8676</v>
      </c>
    </row>
    <row r="1185" spans="2:3" x14ac:dyDescent="0.25">
      <c r="B1185" t="s">
        <v>8679</v>
      </c>
      <c r="C1185" t="s">
        <v>8676</v>
      </c>
    </row>
    <row r="1186" spans="2:3" x14ac:dyDescent="0.25">
      <c r="B1186" t="s">
        <v>8680</v>
      </c>
      <c r="C1186" t="s">
        <v>8676</v>
      </c>
    </row>
    <row r="1187" spans="2:3" x14ac:dyDescent="0.25">
      <c r="B1187" t="s">
        <v>8681</v>
      </c>
      <c r="C1187" t="s">
        <v>8676</v>
      </c>
    </row>
    <row r="1188" spans="2:3" x14ac:dyDescent="0.25">
      <c r="B1188" t="s">
        <v>8682</v>
      </c>
      <c r="C1188" t="s">
        <v>8676</v>
      </c>
    </row>
    <row r="1189" spans="2:3" x14ac:dyDescent="0.25">
      <c r="B1189" t="s">
        <v>8683</v>
      </c>
      <c r="C1189" t="s">
        <v>8676</v>
      </c>
    </row>
    <row r="1190" spans="2:3" x14ac:dyDescent="0.25">
      <c r="B1190" t="s">
        <v>8684</v>
      </c>
      <c r="C1190" t="s">
        <v>8683</v>
      </c>
    </row>
    <row r="1191" spans="2:3" x14ac:dyDescent="0.25">
      <c r="B1191" t="s">
        <v>8685</v>
      </c>
      <c r="C1191" t="s">
        <v>8683</v>
      </c>
    </row>
    <row r="1192" spans="2:3" x14ac:dyDescent="0.25">
      <c r="B1192" t="s">
        <v>8686</v>
      </c>
      <c r="C1192" t="s">
        <v>8683</v>
      </c>
    </row>
    <row r="1193" spans="2:3" x14ac:dyDescent="0.25">
      <c r="B1193" t="s">
        <v>8687</v>
      </c>
      <c r="C1193" t="s">
        <v>8683</v>
      </c>
    </row>
    <row r="1194" spans="2:3" x14ac:dyDescent="0.25">
      <c r="B1194" t="s">
        <v>8688</v>
      </c>
      <c r="C1194" t="s">
        <v>8687</v>
      </c>
    </row>
    <row r="1195" spans="2:3" x14ac:dyDescent="0.25">
      <c r="B1195" t="s">
        <v>8689</v>
      </c>
      <c r="C1195" t="s">
        <v>8687</v>
      </c>
    </row>
    <row r="1196" spans="2:3" x14ac:dyDescent="0.25">
      <c r="B1196" t="s">
        <v>8690</v>
      </c>
      <c r="C1196" t="s">
        <v>8687</v>
      </c>
    </row>
    <row r="1197" spans="2:3" x14ac:dyDescent="0.25">
      <c r="B1197" t="s">
        <v>3645</v>
      </c>
      <c r="C1197" t="s">
        <v>8676</v>
      </c>
    </row>
    <row r="1198" spans="2:3" x14ac:dyDescent="0.25">
      <c r="B1198" t="s">
        <v>3643</v>
      </c>
      <c r="C1198" t="s">
        <v>3645</v>
      </c>
    </row>
    <row r="1199" spans="2:3" x14ac:dyDescent="0.25">
      <c r="B1199" t="s">
        <v>8691</v>
      </c>
      <c r="C1199" t="s">
        <v>8676</v>
      </c>
    </row>
    <row r="1200" spans="2:3" x14ac:dyDescent="0.25">
      <c r="B1200" t="s">
        <v>8692</v>
      </c>
      <c r="C1200" t="s">
        <v>8691</v>
      </c>
    </row>
    <row r="1201" spans="2:3" x14ac:dyDescent="0.25">
      <c r="B1201" t="s">
        <v>8693</v>
      </c>
      <c r="C1201" t="s">
        <v>8691</v>
      </c>
    </row>
    <row r="1202" spans="2:3" x14ac:dyDescent="0.25">
      <c r="B1202" t="s">
        <v>8694</v>
      </c>
      <c r="C1202" t="s">
        <v>8691</v>
      </c>
    </row>
    <row r="1203" spans="2:3" x14ac:dyDescent="0.25">
      <c r="B1203" t="s">
        <v>8695</v>
      </c>
      <c r="C1203" t="s">
        <v>8676</v>
      </c>
    </row>
    <row r="1204" spans="2:3" x14ac:dyDescent="0.25">
      <c r="B1204" t="s">
        <v>8696</v>
      </c>
      <c r="C1204" t="s">
        <v>8676</v>
      </c>
    </row>
    <row r="1205" spans="2:3" x14ac:dyDescent="0.25">
      <c r="B1205" t="s">
        <v>8697</v>
      </c>
      <c r="C1205" t="s">
        <v>8676</v>
      </c>
    </row>
    <row r="1206" spans="2:3" x14ac:dyDescent="0.25">
      <c r="B1206" t="s">
        <v>7934</v>
      </c>
      <c r="C1206" t="s">
        <v>3681</v>
      </c>
    </row>
    <row r="1207" spans="2:3" x14ac:dyDescent="0.25">
      <c r="B1207" t="s">
        <v>8698</v>
      </c>
      <c r="C1207" t="s">
        <v>2435</v>
      </c>
    </row>
    <row r="1208" spans="2:3" x14ac:dyDescent="0.25">
      <c r="B1208" t="s">
        <v>8699</v>
      </c>
      <c r="C1208" t="s">
        <v>8698</v>
      </c>
    </row>
    <row r="1209" spans="2:3" x14ac:dyDescent="0.25">
      <c r="B1209" t="s">
        <v>2161</v>
      </c>
      <c r="C1209" t="s">
        <v>8699</v>
      </c>
    </row>
    <row r="1210" spans="2:3" x14ac:dyDescent="0.25">
      <c r="B1210" t="s">
        <v>8700</v>
      </c>
      <c r="C1210" t="s">
        <v>2161</v>
      </c>
    </row>
    <row r="1211" spans="2:3" x14ac:dyDescent="0.25">
      <c r="B1211" t="s">
        <v>8701</v>
      </c>
      <c r="C1211" t="s">
        <v>2161</v>
      </c>
    </row>
    <row r="1212" spans="2:3" x14ac:dyDescent="0.25">
      <c r="B1212" t="s">
        <v>2159</v>
      </c>
      <c r="C1212" t="s">
        <v>2161</v>
      </c>
    </row>
    <row r="1213" spans="2:3" x14ac:dyDescent="0.25">
      <c r="B1213" t="s">
        <v>2162</v>
      </c>
      <c r="C1213" t="s">
        <v>2161</v>
      </c>
    </row>
    <row r="1214" spans="2:3" x14ac:dyDescent="0.25">
      <c r="B1214" t="s">
        <v>2164</v>
      </c>
      <c r="C1214" t="s">
        <v>2162</v>
      </c>
    </row>
    <row r="1215" spans="2:3" x14ac:dyDescent="0.25">
      <c r="B1215" t="s">
        <v>2166</v>
      </c>
      <c r="C1215" t="s">
        <v>2162</v>
      </c>
    </row>
    <row r="1216" spans="2:3" x14ac:dyDescent="0.25">
      <c r="B1216" t="s">
        <v>2168</v>
      </c>
      <c r="C1216" t="s">
        <v>2162</v>
      </c>
    </row>
    <row r="1217" spans="2:3" x14ac:dyDescent="0.25">
      <c r="B1217" t="s">
        <v>2172</v>
      </c>
      <c r="C1217" t="s">
        <v>2168</v>
      </c>
    </row>
    <row r="1218" spans="2:3" x14ac:dyDescent="0.25">
      <c r="B1218" t="s">
        <v>2170</v>
      </c>
      <c r="C1218" t="s">
        <v>2172</v>
      </c>
    </row>
    <row r="1219" spans="2:3" x14ac:dyDescent="0.25">
      <c r="B1219" t="s">
        <v>3042</v>
      </c>
      <c r="C1219" t="s">
        <v>2170</v>
      </c>
    </row>
    <row r="1220" spans="2:3" x14ac:dyDescent="0.25">
      <c r="B1220" t="s">
        <v>3249</v>
      </c>
      <c r="C1220" t="s">
        <v>2170</v>
      </c>
    </row>
    <row r="1221" spans="2:3" x14ac:dyDescent="0.25">
      <c r="B1221" t="s">
        <v>3251</v>
      </c>
      <c r="C1221" t="s">
        <v>2170</v>
      </c>
    </row>
    <row r="1222" spans="2:3" x14ac:dyDescent="0.25">
      <c r="B1222" t="s">
        <v>3253</v>
      </c>
      <c r="C1222" t="s">
        <v>2170</v>
      </c>
    </row>
    <row r="1223" spans="2:3" x14ac:dyDescent="0.25">
      <c r="B1223" t="s">
        <v>3255</v>
      </c>
      <c r="C1223" t="s">
        <v>2170</v>
      </c>
    </row>
    <row r="1224" spans="2:3" x14ac:dyDescent="0.25">
      <c r="B1224" t="s">
        <v>3257</v>
      </c>
      <c r="C1224" t="s">
        <v>2170</v>
      </c>
    </row>
    <row r="1225" spans="2:3" x14ac:dyDescent="0.25">
      <c r="B1225" t="s">
        <v>3259</v>
      </c>
      <c r="C1225" t="s">
        <v>2170</v>
      </c>
    </row>
    <row r="1226" spans="2:3" x14ac:dyDescent="0.25">
      <c r="B1226" t="s">
        <v>3261</v>
      </c>
      <c r="C1226" t="s">
        <v>2170</v>
      </c>
    </row>
    <row r="1227" spans="2:3" x14ac:dyDescent="0.25">
      <c r="B1227" t="s">
        <v>3263</v>
      </c>
      <c r="C1227" t="s">
        <v>2170</v>
      </c>
    </row>
    <row r="1228" spans="2:3" x14ac:dyDescent="0.25">
      <c r="B1228" t="s">
        <v>3265</v>
      </c>
      <c r="C1228" t="s">
        <v>2170</v>
      </c>
    </row>
    <row r="1229" spans="2:3" x14ac:dyDescent="0.25">
      <c r="B1229" t="s">
        <v>4579</v>
      </c>
      <c r="C1229" t="s">
        <v>3265</v>
      </c>
    </row>
    <row r="1230" spans="2:3" x14ac:dyDescent="0.25">
      <c r="B1230" t="s">
        <v>2173</v>
      </c>
      <c r="C1230" t="s">
        <v>2172</v>
      </c>
    </row>
    <row r="1231" spans="2:3" x14ac:dyDescent="0.25">
      <c r="B1231" t="s">
        <v>3200</v>
      </c>
      <c r="C1231" t="s">
        <v>2173</v>
      </c>
    </row>
    <row r="1232" spans="2:3" x14ac:dyDescent="0.25">
      <c r="B1232" t="s">
        <v>2177</v>
      </c>
      <c r="C1232" t="s">
        <v>2168</v>
      </c>
    </row>
    <row r="1233" spans="2:3" x14ac:dyDescent="0.25">
      <c r="B1233" t="s">
        <v>2175</v>
      </c>
      <c r="C1233" t="s">
        <v>2177</v>
      </c>
    </row>
    <row r="1234" spans="2:3" x14ac:dyDescent="0.25">
      <c r="B1234" t="s">
        <v>3045</v>
      </c>
      <c r="C1234" t="s">
        <v>2175</v>
      </c>
    </row>
    <row r="1235" spans="2:3" x14ac:dyDescent="0.25">
      <c r="B1235" t="s">
        <v>3047</v>
      </c>
      <c r="C1235" t="s">
        <v>2175</v>
      </c>
    </row>
    <row r="1236" spans="2:3" x14ac:dyDescent="0.25">
      <c r="B1236" t="s">
        <v>3049</v>
      </c>
      <c r="C1236" t="s">
        <v>2175</v>
      </c>
    </row>
    <row r="1237" spans="2:3" x14ac:dyDescent="0.25">
      <c r="B1237" t="s">
        <v>3051</v>
      </c>
      <c r="C1237" t="s">
        <v>2175</v>
      </c>
    </row>
    <row r="1238" spans="2:3" x14ac:dyDescent="0.25">
      <c r="B1238" t="s">
        <v>3053</v>
      </c>
      <c r="C1238" t="s">
        <v>2175</v>
      </c>
    </row>
    <row r="1239" spans="2:3" x14ac:dyDescent="0.25">
      <c r="B1239" t="s">
        <v>3055</v>
      </c>
      <c r="C1239" t="s">
        <v>2175</v>
      </c>
    </row>
    <row r="1240" spans="2:3" x14ac:dyDescent="0.25">
      <c r="B1240" t="s">
        <v>3057</v>
      </c>
      <c r="C1240" t="s">
        <v>2175</v>
      </c>
    </row>
    <row r="1241" spans="2:3" x14ac:dyDescent="0.25">
      <c r="B1241" t="s">
        <v>3059</v>
      </c>
      <c r="C1241" t="s">
        <v>2175</v>
      </c>
    </row>
    <row r="1242" spans="2:3" x14ac:dyDescent="0.25">
      <c r="B1242" t="s">
        <v>3061</v>
      </c>
      <c r="C1242" t="s">
        <v>2175</v>
      </c>
    </row>
    <row r="1243" spans="2:3" x14ac:dyDescent="0.25">
      <c r="B1243" t="s">
        <v>3063</v>
      </c>
      <c r="C1243" t="s">
        <v>2175</v>
      </c>
    </row>
    <row r="1244" spans="2:3" x14ac:dyDescent="0.25">
      <c r="B1244" t="s">
        <v>4581</v>
      </c>
      <c r="C1244" t="s">
        <v>3063</v>
      </c>
    </row>
    <row r="1245" spans="2:3" x14ac:dyDescent="0.25">
      <c r="B1245" t="s">
        <v>2178</v>
      </c>
      <c r="C1245" t="s">
        <v>2177</v>
      </c>
    </row>
    <row r="1246" spans="2:3" x14ac:dyDescent="0.25">
      <c r="B1246" t="s">
        <v>3201</v>
      </c>
      <c r="C1246" t="s">
        <v>2178</v>
      </c>
    </row>
    <row r="1247" spans="2:3" x14ac:dyDescent="0.25">
      <c r="B1247" t="s">
        <v>3202</v>
      </c>
      <c r="C1247" t="s">
        <v>2178</v>
      </c>
    </row>
    <row r="1248" spans="2:3" x14ac:dyDescent="0.25">
      <c r="B1248" t="s">
        <v>3203</v>
      </c>
      <c r="C1248" t="s">
        <v>2178</v>
      </c>
    </row>
    <row r="1249" spans="2:3" x14ac:dyDescent="0.25">
      <c r="B1249" t="s">
        <v>3204</v>
      </c>
      <c r="C1249" t="s">
        <v>2178</v>
      </c>
    </row>
    <row r="1250" spans="2:3" x14ac:dyDescent="0.25">
      <c r="B1250" t="s">
        <v>2182</v>
      </c>
      <c r="C1250" t="s">
        <v>2168</v>
      </c>
    </row>
    <row r="1251" spans="2:3" x14ac:dyDescent="0.25">
      <c r="B1251" t="s">
        <v>2180</v>
      </c>
      <c r="C1251" t="s">
        <v>2182</v>
      </c>
    </row>
    <row r="1252" spans="2:3" x14ac:dyDescent="0.25">
      <c r="B1252" t="s">
        <v>3066</v>
      </c>
      <c r="C1252" t="s">
        <v>2180</v>
      </c>
    </row>
    <row r="1253" spans="2:3" x14ac:dyDescent="0.25">
      <c r="B1253" t="s">
        <v>3068</v>
      </c>
      <c r="C1253" t="s">
        <v>2180</v>
      </c>
    </row>
    <row r="1254" spans="2:3" x14ac:dyDescent="0.25">
      <c r="B1254" t="s">
        <v>3070</v>
      </c>
      <c r="C1254" t="s">
        <v>2180</v>
      </c>
    </row>
    <row r="1255" spans="2:3" x14ac:dyDescent="0.25">
      <c r="B1255" t="s">
        <v>3072</v>
      </c>
      <c r="C1255" t="s">
        <v>2180</v>
      </c>
    </row>
    <row r="1256" spans="2:3" x14ac:dyDescent="0.25">
      <c r="B1256" t="s">
        <v>3074</v>
      </c>
      <c r="C1256" t="s">
        <v>2180</v>
      </c>
    </row>
    <row r="1257" spans="2:3" x14ac:dyDescent="0.25">
      <c r="B1257" t="s">
        <v>3076</v>
      </c>
      <c r="C1257" t="s">
        <v>2180</v>
      </c>
    </row>
    <row r="1258" spans="2:3" x14ac:dyDescent="0.25">
      <c r="B1258" t="s">
        <v>3078</v>
      </c>
      <c r="C1258" t="s">
        <v>2180</v>
      </c>
    </row>
    <row r="1259" spans="2:3" x14ac:dyDescent="0.25">
      <c r="B1259" t="s">
        <v>3080</v>
      </c>
      <c r="C1259" t="s">
        <v>2180</v>
      </c>
    </row>
    <row r="1260" spans="2:3" x14ac:dyDescent="0.25">
      <c r="B1260" t="s">
        <v>3082</v>
      </c>
      <c r="C1260" t="s">
        <v>2180</v>
      </c>
    </row>
    <row r="1261" spans="2:3" x14ac:dyDescent="0.25">
      <c r="B1261" t="s">
        <v>3084</v>
      </c>
      <c r="C1261" t="s">
        <v>2180</v>
      </c>
    </row>
    <row r="1262" spans="2:3" x14ac:dyDescent="0.25">
      <c r="B1262" t="s">
        <v>4583</v>
      </c>
      <c r="C1262" t="s">
        <v>3084</v>
      </c>
    </row>
    <row r="1263" spans="2:3" x14ac:dyDescent="0.25">
      <c r="B1263" t="s">
        <v>2183</v>
      </c>
      <c r="C1263" t="s">
        <v>2182</v>
      </c>
    </row>
    <row r="1264" spans="2:3" x14ac:dyDescent="0.25">
      <c r="B1264" t="s">
        <v>3205</v>
      </c>
      <c r="C1264" t="s">
        <v>2183</v>
      </c>
    </row>
    <row r="1265" spans="2:3" x14ac:dyDescent="0.25">
      <c r="B1265" t="s">
        <v>2187</v>
      </c>
      <c r="C1265" t="s">
        <v>2168</v>
      </c>
    </row>
    <row r="1266" spans="2:3" x14ac:dyDescent="0.25">
      <c r="B1266" t="s">
        <v>2185</v>
      </c>
      <c r="C1266" t="s">
        <v>2187</v>
      </c>
    </row>
    <row r="1267" spans="2:3" x14ac:dyDescent="0.25">
      <c r="B1267" t="s">
        <v>3087</v>
      </c>
      <c r="C1267" t="s">
        <v>2185</v>
      </c>
    </row>
    <row r="1268" spans="2:3" x14ac:dyDescent="0.25">
      <c r="B1268" t="s">
        <v>3089</v>
      </c>
      <c r="C1268" t="s">
        <v>2185</v>
      </c>
    </row>
    <row r="1269" spans="2:3" x14ac:dyDescent="0.25">
      <c r="B1269" t="s">
        <v>3091</v>
      </c>
      <c r="C1269" t="s">
        <v>2185</v>
      </c>
    </row>
    <row r="1270" spans="2:3" x14ac:dyDescent="0.25">
      <c r="B1270" t="s">
        <v>3093</v>
      </c>
      <c r="C1270" t="s">
        <v>2185</v>
      </c>
    </row>
    <row r="1271" spans="2:3" x14ac:dyDescent="0.25">
      <c r="B1271" t="s">
        <v>3095</v>
      </c>
      <c r="C1271" t="s">
        <v>2185</v>
      </c>
    </row>
    <row r="1272" spans="2:3" x14ac:dyDescent="0.25">
      <c r="B1272" t="s">
        <v>3097</v>
      </c>
      <c r="C1272" t="s">
        <v>2185</v>
      </c>
    </row>
    <row r="1273" spans="2:3" x14ac:dyDescent="0.25">
      <c r="B1273" t="s">
        <v>3099</v>
      </c>
      <c r="C1273" t="s">
        <v>2185</v>
      </c>
    </row>
    <row r="1274" spans="2:3" x14ac:dyDescent="0.25">
      <c r="B1274" t="s">
        <v>3101</v>
      </c>
      <c r="C1274" t="s">
        <v>2185</v>
      </c>
    </row>
    <row r="1275" spans="2:3" x14ac:dyDescent="0.25">
      <c r="B1275" t="s">
        <v>3103</v>
      </c>
      <c r="C1275" t="s">
        <v>2185</v>
      </c>
    </row>
    <row r="1276" spans="2:3" x14ac:dyDescent="0.25">
      <c r="B1276" t="s">
        <v>3105</v>
      </c>
      <c r="C1276" t="s">
        <v>2185</v>
      </c>
    </row>
    <row r="1277" spans="2:3" x14ac:dyDescent="0.25">
      <c r="B1277" t="s">
        <v>4589</v>
      </c>
      <c r="C1277" t="s">
        <v>3105</v>
      </c>
    </row>
    <row r="1278" spans="2:3" x14ac:dyDescent="0.25">
      <c r="B1278" t="s">
        <v>2188</v>
      </c>
      <c r="C1278" t="s">
        <v>2187</v>
      </c>
    </row>
    <row r="1279" spans="2:3" x14ac:dyDescent="0.25">
      <c r="B1279" t="s">
        <v>3206</v>
      </c>
      <c r="C1279" t="s">
        <v>2188</v>
      </c>
    </row>
    <row r="1280" spans="2:3" x14ac:dyDescent="0.25">
      <c r="B1280" t="s">
        <v>2245</v>
      </c>
      <c r="C1280" t="s">
        <v>2168</v>
      </c>
    </row>
    <row r="1281" spans="2:3" x14ac:dyDescent="0.25">
      <c r="B1281" t="s">
        <v>2243</v>
      </c>
      <c r="C1281" t="s">
        <v>2245</v>
      </c>
    </row>
    <row r="1282" spans="2:3" x14ac:dyDescent="0.25">
      <c r="B1282" t="s">
        <v>3108</v>
      </c>
      <c r="C1282" t="s">
        <v>2243</v>
      </c>
    </row>
    <row r="1283" spans="2:3" x14ac:dyDescent="0.25">
      <c r="B1283" t="s">
        <v>3110</v>
      </c>
      <c r="C1283" t="s">
        <v>2243</v>
      </c>
    </row>
    <row r="1284" spans="2:3" x14ac:dyDescent="0.25">
      <c r="B1284" t="s">
        <v>3112</v>
      </c>
      <c r="C1284" t="s">
        <v>2243</v>
      </c>
    </row>
    <row r="1285" spans="2:3" x14ac:dyDescent="0.25">
      <c r="B1285" t="s">
        <v>3114</v>
      </c>
      <c r="C1285" t="s">
        <v>2243</v>
      </c>
    </row>
    <row r="1286" spans="2:3" x14ac:dyDescent="0.25">
      <c r="B1286" t="s">
        <v>3116</v>
      </c>
      <c r="C1286" t="s">
        <v>2243</v>
      </c>
    </row>
    <row r="1287" spans="2:3" x14ac:dyDescent="0.25">
      <c r="B1287" t="s">
        <v>3118</v>
      </c>
      <c r="C1287" t="s">
        <v>2243</v>
      </c>
    </row>
    <row r="1288" spans="2:3" x14ac:dyDescent="0.25">
      <c r="B1288" t="s">
        <v>3120</v>
      </c>
      <c r="C1288" t="s">
        <v>2243</v>
      </c>
    </row>
    <row r="1289" spans="2:3" x14ac:dyDescent="0.25">
      <c r="B1289" t="s">
        <v>3122</v>
      </c>
      <c r="C1289" t="s">
        <v>2243</v>
      </c>
    </row>
    <row r="1290" spans="2:3" x14ac:dyDescent="0.25">
      <c r="B1290" t="s">
        <v>3124</v>
      </c>
      <c r="C1290" t="s">
        <v>2243</v>
      </c>
    </row>
    <row r="1291" spans="2:3" x14ac:dyDescent="0.25">
      <c r="B1291" t="s">
        <v>3126</v>
      </c>
      <c r="C1291" t="s">
        <v>2243</v>
      </c>
    </row>
    <row r="1292" spans="2:3" x14ac:dyDescent="0.25">
      <c r="B1292" t="s">
        <v>4585</v>
      </c>
      <c r="C1292" t="s">
        <v>3126</v>
      </c>
    </row>
    <row r="1293" spans="2:3" x14ac:dyDescent="0.25">
      <c r="B1293" t="s">
        <v>2246</v>
      </c>
      <c r="C1293" t="s">
        <v>2245</v>
      </c>
    </row>
    <row r="1294" spans="2:3" x14ac:dyDescent="0.25">
      <c r="B1294" t="s">
        <v>3207</v>
      </c>
      <c r="C1294" t="s">
        <v>2246</v>
      </c>
    </row>
    <row r="1295" spans="2:3" x14ac:dyDescent="0.25">
      <c r="B1295" t="s">
        <v>2250</v>
      </c>
      <c r="C1295" t="s">
        <v>2168</v>
      </c>
    </row>
    <row r="1296" spans="2:3" x14ac:dyDescent="0.25">
      <c r="B1296" t="s">
        <v>2248</v>
      </c>
      <c r="C1296" t="s">
        <v>2250</v>
      </c>
    </row>
    <row r="1297" spans="2:3" x14ac:dyDescent="0.25">
      <c r="B1297" t="s">
        <v>3129</v>
      </c>
      <c r="C1297" t="s">
        <v>2248</v>
      </c>
    </row>
    <row r="1298" spans="2:3" x14ac:dyDescent="0.25">
      <c r="B1298" t="s">
        <v>3131</v>
      </c>
      <c r="C1298" t="s">
        <v>2248</v>
      </c>
    </row>
    <row r="1299" spans="2:3" x14ac:dyDescent="0.25">
      <c r="B1299" t="s">
        <v>3133</v>
      </c>
      <c r="C1299" t="s">
        <v>2248</v>
      </c>
    </row>
    <row r="1300" spans="2:3" x14ac:dyDescent="0.25">
      <c r="B1300" t="s">
        <v>3135</v>
      </c>
      <c r="C1300" t="s">
        <v>2248</v>
      </c>
    </row>
    <row r="1301" spans="2:3" x14ac:dyDescent="0.25">
      <c r="B1301" t="s">
        <v>3137</v>
      </c>
      <c r="C1301" t="s">
        <v>2248</v>
      </c>
    </row>
    <row r="1302" spans="2:3" x14ac:dyDescent="0.25">
      <c r="B1302" t="s">
        <v>3139</v>
      </c>
      <c r="C1302" t="s">
        <v>2248</v>
      </c>
    </row>
    <row r="1303" spans="2:3" x14ac:dyDescent="0.25">
      <c r="B1303" t="s">
        <v>3141</v>
      </c>
      <c r="C1303" t="s">
        <v>2248</v>
      </c>
    </row>
    <row r="1304" spans="2:3" x14ac:dyDescent="0.25">
      <c r="B1304" t="s">
        <v>3143</v>
      </c>
      <c r="C1304" t="s">
        <v>2248</v>
      </c>
    </row>
    <row r="1305" spans="2:3" x14ac:dyDescent="0.25">
      <c r="B1305" t="s">
        <v>3145</v>
      </c>
      <c r="C1305" t="s">
        <v>2248</v>
      </c>
    </row>
    <row r="1306" spans="2:3" x14ac:dyDescent="0.25">
      <c r="B1306" t="s">
        <v>3147</v>
      </c>
      <c r="C1306" t="s">
        <v>2248</v>
      </c>
    </row>
    <row r="1307" spans="2:3" x14ac:dyDescent="0.25">
      <c r="B1307" t="s">
        <v>4587</v>
      </c>
      <c r="C1307" t="s">
        <v>3147</v>
      </c>
    </row>
    <row r="1308" spans="2:3" x14ac:dyDescent="0.25">
      <c r="B1308" t="s">
        <v>2251</v>
      </c>
      <c r="C1308" t="s">
        <v>2250</v>
      </c>
    </row>
    <row r="1309" spans="2:3" x14ac:dyDescent="0.25">
      <c r="B1309" t="s">
        <v>3208</v>
      </c>
      <c r="C1309" t="s">
        <v>2251</v>
      </c>
    </row>
    <row r="1310" spans="2:3" x14ac:dyDescent="0.25">
      <c r="B1310" t="s">
        <v>2192</v>
      </c>
      <c r="C1310" t="s">
        <v>8699</v>
      </c>
    </row>
    <row r="1311" spans="2:3" x14ac:dyDescent="0.25">
      <c r="B1311" t="s">
        <v>2190</v>
      </c>
      <c r="C1311" t="s">
        <v>2192</v>
      </c>
    </row>
    <row r="1312" spans="2:3" x14ac:dyDescent="0.25">
      <c r="B1312" t="s">
        <v>2193</v>
      </c>
      <c r="C1312" t="s">
        <v>2190</v>
      </c>
    </row>
    <row r="1313" spans="2:3" x14ac:dyDescent="0.25">
      <c r="B1313" t="s">
        <v>3189</v>
      </c>
      <c r="C1313" t="s">
        <v>2190</v>
      </c>
    </row>
    <row r="1314" spans="2:3" x14ac:dyDescent="0.25">
      <c r="B1314" t="s">
        <v>2195</v>
      </c>
      <c r="C1314" t="s">
        <v>2192</v>
      </c>
    </row>
    <row r="1315" spans="2:3" x14ac:dyDescent="0.25">
      <c r="B1315" t="s">
        <v>2197</v>
      </c>
      <c r="C1315" t="s">
        <v>2192</v>
      </c>
    </row>
    <row r="1316" spans="2:3" x14ac:dyDescent="0.25">
      <c r="B1316" t="s">
        <v>2199</v>
      </c>
      <c r="C1316" t="s">
        <v>2192</v>
      </c>
    </row>
    <row r="1317" spans="2:3" x14ac:dyDescent="0.25">
      <c r="B1317" t="s">
        <v>2201</v>
      </c>
      <c r="C1317" t="s">
        <v>2192</v>
      </c>
    </row>
    <row r="1318" spans="2:3" x14ac:dyDescent="0.25">
      <c r="B1318" t="s">
        <v>2203</v>
      </c>
      <c r="C1318" t="s">
        <v>2192</v>
      </c>
    </row>
    <row r="1319" spans="2:3" x14ac:dyDescent="0.25">
      <c r="B1319" t="s">
        <v>2205</v>
      </c>
      <c r="C1319" t="s">
        <v>2203</v>
      </c>
    </row>
    <row r="1320" spans="2:3" x14ac:dyDescent="0.25">
      <c r="B1320" t="s">
        <v>2207</v>
      </c>
      <c r="C1320" t="s">
        <v>2203</v>
      </c>
    </row>
    <row r="1321" spans="2:3" x14ac:dyDescent="0.25">
      <c r="B1321" t="s">
        <v>2209</v>
      </c>
      <c r="C1321" t="s">
        <v>2207</v>
      </c>
    </row>
    <row r="1322" spans="2:3" x14ac:dyDescent="0.25">
      <c r="B1322" t="s">
        <v>2211</v>
      </c>
      <c r="C1322" t="s">
        <v>2207</v>
      </c>
    </row>
    <row r="1323" spans="2:3" x14ac:dyDescent="0.25">
      <c r="B1323" t="s">
        <v>2213</v>
      </c>
      <c r="C1323" t="s">
        <v>2211</v>
      </c>
    </row>
    <row r="1324" spans="2:3" x14ac:dyDescent="0.25">
      <c r="B1324" t="s">
        <v>2215</v>
      </c>
      <c r="C1324" t="s">
        <v>2211</v>
      </c>
    </row>
    <row r="1325" spans="2:3" x14ac:dyDescent="0.25">
      <c r="B1325" t="s">
        <v>2217</v>
      </c>
      <c r="C1325" t="s">
        <v>2207</v>
      </c>
    </row>
    <row r="1326" spans="2:3" x14ac:dyDescent="0.25">
      <c r="B1326" t="s">
        <v>2219</v>
      </c>
      <c r="C1326" t="s">
        <v>2207</v>
      </c>
    </row>
    <row r="1327" spans="2:3" x14ac:dyDescent="0.25">
      <c r="B1327" t="s">
        <v>7939</v>
      </c>
      <c r="C1327" t="s">
        <v>2203</v>
      </c>
    </row>
    <row r="1328" spans="2:3" x14ac:dyDescent="0.25">
      <c r="B1328" t="s">
        <v>8702</v>
      </c>
      <c r="C1328" t="s">
        <v>2203</v>
      </c>
    </row>
    <row r="1329" spans="2:3" x14ac:dyDescent="0.25">
      <c r="B1329" t="s">
        <v>3190</v>
      </c>
      <c r="C1329" t="s">
        <v>2192</v>
      </c>
    </row>
    <row r="1330" spans="2:3" x14ac:dyDescent="0.25">
      <c r="B1330" t="s">
        <v>2544</v>
      </c>
      <c r="C1330" t="s">
        <v>8699</v>
      </c>
    </row>
    <row r="1331" spans="2:3" x14ac:dyDescent="0.25">
      <c r="B1331" t="s">
        <v>2542</v>
      </c>
      <c r="C1331" t="s">
        <v>2544</v>
      </c>
    </row>
    <row r="1332" spans="2:3" x14ac:dyDescent="0.25">
      <c r="B1332" t="s">
        <v>2545</v>
      </c>
      <c r="C1332" t="s">
        <v>2544</v>
      </c>
    </row>
    <row r="1333" spans="2:3" x14ac:dyDescent="0.25">
      <c r="B1333" t="s">
        <v>2547</v>
      </c>
      <c r="C1333" t="s">
        <v>2544</v>
      </c>
    </row>
    <row r="1334" spans="2:3" x14ac:dyDescent="0.25">
      <c r="B1334" t="s">
        <v>5238</v>
      </c>
      <c r="C1334" t="s">
        <v>8699</v>
      </c>
    </row>
    <row r="1335" spans="2:3" x14ac:dyDescent="0.25">
      <c r="B1335" t="s">
        <v>2234</v>
      </c>
      <c r="C1335" t="s">
        <v>8698</v>
      </c>
    </row>
    <row r="1336" spans="2:3" x14ac:dyDescent="0.25">
      <c r="B1336" t="s">
        <v>2223</v>
      </c>
      <c r="C1336" t="s">
        <v>2234</v>
      </c>
    </row>
    <row r="1337" spans="2:3" x14ac:dyDescent="0.25">
      <c r="B1337" t="s">
        <v>8703</v>
      </c>
      <c r="C1337" t="s">
        <v>2223</v>
      </c>
    </row>
    <row r="1338" spans="2:3" x14ac:dyDescent="0.25">
      <c r="B1338" t="s">
        <v>2221</v>
      </c>
      <c r="C1338" t="s">
        <v>2223</v>
      </c>
    </row>
    <row r="1339" spans="2:3" x14ac:dyDescent="0.25">
      <c r="B1339" t="s">
        <v>2224</v>
      </c>
      <c r="C1339" t="s">
        <v>2223</v>
      </c>
    </row>
    <row r="1340" spans="2:3" x14ac:dyDescent="0.25">
      <c r="B1340" t="s">
        <v>2228</v>
      </c>
      <c r="C1340" t="s">
        <v>2224</v>
      </c>
    </row>
    <row r="1341" spans="2:3" x14ac:dyDescent="0.25">
      <c r="B1341" t="s">
        <v>2230</v>
      </c>
      <c r="C1341" t="s">
        <v>2224</v>
      </c>
    </row>
    <row r="1342" spans="2:3" x14ac:dyDescent="0.25">
      <c r="B1342" t="s">
        <v>2255</v>
      </c>
      <c r="C1342" t="s">
        <v>2230</v>
      </c>
    </row>
    <row r="1343" spans="2:3" x14ac:dyDescent="0.25">
      <c r="B1343" t="s">
        <v>2253</v>
      </c>
      <c r="C1343" t="s">
        <v>2255</v>
      </c>
    </row>
    <row r="1344" spans="2:3" x14ac:dyDescent="0.25">
      <c r="B1344" t="s">
        <v>2256</v>
      </c>
      <c r="C1344" t="s">
        <v>2253</v>
      </c>
    </row>
    <row r="1345" spans="2:3" x14ac:dyDescent="0.25">
      <c r="B1345" t="s">
        <v>3228</v>
      </c>
      <c r="C1345" t="s">
        <v>2256</v>
      </c>
    </row>
    <row r="1346" spans="2:3" x14ac:dyDescent="0.25">
      <c r="B1346" t="s">
        <v>3229</v>
      </c>
      <c r="C1346" t="s">
        <v>2256</v>
      </c>
    </row>
    <row r="1347" spans="2:3" x14ac:dyDescent="0.25">
      <c r="B1347" t="s">
        <v>2263</v>
      </c>
      <c r="C1347" t="s">
        <v>2253</v>
      </c>
    </row>
    <row r="1348" spans="2:3" x14ac:dyDescent="0.25">
      <c r="B1348" t="s">
        <v>3230</v>
      </c>
      <c r="C1348" t="s">
        <v>2263</v>
      </c>
    </row>
    <row r="1349" spans="2:3" x14ac:dyDescent="0.25">
      <c r="B1349" t="s">
        <v>3231</v>
      </c>
      <c r="C1349" t="s">
        <v>2263</v>
      </c>
    </row>
    <row r="1350" spans="2:3" x14ac:dyDescent="0.25">
      <c r="B1350" t="s">
        <v>2269</v>
      </c>
      <c r="C1350" t="s">
        <v>2255</v>
      </c>
    </row>
    <row r="1351" spans="2:3" x14ac:dyDescent="0.25">
      <c r="B1351" t="s">
        <v>8704</v>
      </c>
      <c r="C1351" t="s">
        <v>2269</v>
      </c>
    </row>
    <row r="1352" spans="2:3" x14ac:dyDescent="0.25">
      <c r="B1352" t="s">
        <v>2273</v>
      </c>
      <c r="C1352" t="s">
        <v>2230</v>
      </c>
    </row>
    <row r="1353" spans="2:3" x14ac:dyDescent="0.25">
      <c r="B1353" t="s">
        <v>2271</v>
      </c>
      <c r="C1353" t="s">
        <v>2273</v>
      </c>
    </row>
    <row r="1354" spans="2:3" x14ac:dyDescent="0.25">
      <c r="B1354" t="s">
        <v>2274</v>
      </c>
      <c r="C1354" t="s">
        <v>2271</v>
      </c>
    </row>
    <row r="1355" spans="2:3" x14ac:dyDescent="0.25">
      <c r="B1355" t="s">
        <v>2276</v>
      </c>
      <c r="C1355" t="s">
        <v>2271</v>
      </c>
    </row>
    <row r="1356" spans="2:3" x14ac:dyDescent="0.25">
      <c r="B1356" t="s">
        <v>3226</v>
      </c>
      <c r="C1356" t="s">
        <v>2276</v>
      </c>
    </row>
    <row r="1357" spans="2:3" x14ac:dyDescent="0.25">
      <c r="B1357" t="s">
        <v>3227</v>
      </c>
      <c r="C1357" t="s">
        <v>2276</v>
      </c>
    </row>
    <row r="1358" spans="2:3" x14ac:dyDescent="0.25">
      <c r="B1358" t="s">
        <v>2283</v>
      </c>
      <c r="C1358" t="s">
        <v>2273</v>
      </c>
    </row>
    <row r="1359" spans="2:3" x14ac:dyDescent="0.25">
      <c r="B1359" t="s">
        <v>8705</v>
      </c>
      <c r="C1359" t="s">
        <v>2283</v>
      </c>
    </row>
    <row r="1360" spans="2:3" x14ac:dyDescent="0.25">
      <c r="B1360" t="s">
        <v>2287</v>
      </c>
      <c r="C1360" t="s">
        <v>2230</v>
      </c>
    </row>
    <row r="1361" spans="2:3" x14ac:dyDescent="0.25">
      <c r="B1361" t="s">
        <v>2285</v>
      </c>
      <c r="C1361" t="s">
        <v>2287</v>
      </c>
    </row>
    <row r="1362" spans="2:3" x14ac:dyDescent="0.25">
      <c r="B1362" t="s">
        <v>2288</v>
      </c>
      <c r="C1362" t="s">
        <v>2285</v>
      </c>
    </row>
    <row r="1363" spans="2:3" x14ac:dyDescent="0.25">
      <c r="B1363" t="s">
        <v>3222</v>
      </c>
      <c r="C1363" t="s">
        <v>2288</v>
      </c>
    </row>
    <row r="1364" spans="2:3" x14ac:dyDescent="0.25">
      <c r="B1364" t="s">
        <v>3223</v>
      </c>
      <c r="C1364" t="s">
        <v>2288</v>
      </c>
    </row>
    <row r="1365" spans="2:3" x14ac:dyDescent="0.25">
      <c r="B1365" t="s">
        <v>2295</v>
      </c>
      <c r="C1365" t="s">
        <v>2285</v>
      </c>
    </row>
    <row r="1366" spans="2:3" x14ac:dyDescent="0.25">
      <c r="B1366" t="s">
        <v>3224</v>
      </c>
      <c r="C1366" t="s">
        <v>2295</v>
      </c>
    </row>
    <row r="1367" spans="2:3" x14ac:dyDescent="0.25">
      <c r="B1367" t="s">
        <v>3225</v>
      </c>
      <c r="C1367" t="s">
        <v>2295</v>
      </c>
    </row>
    <row r="1368" spans="2:3" x14ac:dyDescent="0.25">
      <c r="B1368" t="s">
        <v>2301</v>
      </c>
      <c r="C1368" t="s">
        <v>2287</v>
      </c>
    </row>
    <row r="1369" spans="2:3" x14ac:dyDescent="0.25">
      <c r="B1369" t="s">
        <v>8706</v>
      </c>
      <c r="C1369" t="s">
        <v>2301</v>
      </c>
    </row>
    <row r="1370" spans="2:3" x14ac:dyDescent="0.25">
      <c r="B1370" t="s">
        <v>8707</v>
      </c>
      <c r="C1370" t="s">
        <v>2230</v>
      </c>
    </row>
    <row r="1371" spans="2:3" x14ac:dyDescent="0.25">
      <c r="B1371" t="s">
        <v>2305</v>
      </c>
      <c r="C1371" t="s">
        <v>2234</v>
      </c>
    </row>
    <row r="1372" spans="2:3" x14ac:dyDescent="0.25">
      <c r="B1372" t="s">
        <v>2303</v>
      </c>
      <c r="C1372" t="s">
        <v>2305</v>
      </c>
    </row>
    <row r="1373" spans="2:3" x14ac:dyDescent="0.25">
      <c r="B1373" t="s">
        <v>2306</v>
      </c>
      <c r="C1373" t="s">
        <v>2305</v>
      </c>
    </row>
    <row r="1374" spans="2:3" x14ac:dyDescent="0.25">
      <c r="B1374" t="s">
        <v>2308</v>
      </c>
      <c r="C1374" t="s">
        <v>2305</v>
      </c>
    </row>
    <row r="1375" spans="2:3" x14ac:dyDescent="0.25">
      <c r="B1375" t="s">
        <v>2551</v>
      </c>
      <c r="C1375" t="s">
        <v>2234</v>
      </c>
    </row>
    <row r="1376" spans="2:3" x14ac:dyDescent="0.25">
      <c r="B1376" t="s">
        <v>2549</v>
      </c>
      <c r="C1376" t="s">
        <v>2551</v>
      </c>
    </row>
    <row r="1377" spans="2:3" x14ac:dyDescent="0.25">
      <c r="B1377" t="s">
        <v>2552</v>
      </c>
      <c r="C1377" t="s">
        <v>2551</v>
      </c>
    </row>
    <row r="1378" spans="2:3" x14ac:dyDescent="0.25">
      <c r="B1378" t="s">
        <v>2554</v>
      </c>
      <c r="C1378" t="s">
        <v>2551</v>
      </c>
    </row>
    <row r="1379" spans="2:3" x14ac:dyDescent="0.25">
      <c r="B1379" t="s">
        <v>2232</v>
      </c>
      <c r="C1379" t="s">
        <v>2234</v>
      </c>
    </row>
    <row r="1380" spans="2:3" x14ac:dyDescent="0.25">
      <c r="B1380" t="s">
        <v>2235</v>
      </c>
      <c r="C1380" t="s">
        <v>2232</v>
      </c>
    </row>
    <row r="1381" spans="2:3" x14ac:dyDescent="0.25">
      <c r="B1381" t="s">
        <v>2237</v>
      </c>
      <c r="C1381" t="s">
        <v>2232</v>
      </c>
    </row>
    <row r="1382" spans="2:3" x14ac:dyDescent="0.25">
      <c r="B1382" t="s">
        <v>2239</v>
      </c>
      <c r="C1382" t="s">
        <v>2232</v>
      </c>
    </row>
    <row r="1383" spans="2:3" x14ac:dyDescent="0.25">
      <c r="B1383" t="s">
        <v>2241</v>
      </c>
      <c r="C1383" t="s">
        <v>2232</v>
      </c>
    </row>
    <row r="1384" spans="2:3" x14ac:dyDescent="0.25">
      <c r="B1384" t="s">
        <v>4208</v>
      </c>
      <c r="C1384" t="s">
        <v>2435</v>
      </c>
    </row>
    <row r="1385" spans="2:3" x14ac:dyDescent="0.25">
      <c r="B1385" t="s">
        <v>4210</v>
      </c>
      <c r="C1385" t="s">
        <v>4208</v>
      </c>
    </row>
    <row r="1386" spans="2:3" x14ac:dyDescent="0.25">
      <c r="B1386" t="s">
        <v>4212</v>
      </c>
      <c r="C1386" t="s">
        <v>4210</v>
      </c>
    </row>
    <row r="1387" spans="2:3" x14ac:dyDescent="0.25">
      <c r="B1387" t="s">
        <v>4214</v>
      </c>
      <c r="C1387" t="s">
        <v>4210</v>
      </c>
    </row>
    <row r="1388" spans="2:3" x14ac:dyDescent="0.25">
      <c r="B1388" t="s">
        <v>4216</v>
      </c>
      <c r="C1388" t="s">
        <v>4210</v>
      </c>
    </row>
    <row r="1389" spans="2:3" x14ac:dyDescent="0.25">
      <c r="B1389" t="s">
        <v>4218</v>
      </c>
      <c r="C1389" t="s">
        <v>4210</v>
      </c>
    </row>
    <row r="1390" spans="2:3" x14ac:dyDescent="0.25">
      <c r="B1390" t="s">
        <v>4288</v>
      </c>
      <c r="C1390" t="s">
        <v>4208</v>
      </c>
    </row>
    <row r="1391" spans="2:3" x14ac:dyDescent="0.25">
      <c r="B1391" t="s">
        <v>8708</v>
      </c>
      <c r="C1391" t="s">
        <v>4288</v>
      </c>
    </row>
    <row r="1392" spans="2:3" x14ac:dyDescent="0.25">
      <c r="B1392" t="s">
        <v>8709</v>
      </c>
      <c r="C1392" t="s">
        <v>4288</v>
      </c>
    </row>
    <row r="1393" spans="2:3" x14ac:dyDescent="0.25">
      <c r="B1393" t="s">
        <v>8710</v>
      </c>
      <c r="C1393" t="s">
        <v>4288</v>
      </c>
    </row>
    <row r="1394" spans="2:3" x14ac:dyDescent="0.25">
      <c r="B1394" t="s">
        <v>8711</v>
      </c>
      <c r="C1394" t="s">
        <v>8710</v>
      </c>
    </row>
    <row r="1395" spans="2:3" x14ac:dyDescent="0.25">
      <c r="B1395" t="s">
        <v>8712</v>
      </c>
      <c r="C1395" t="s">
        <v>8710</v>
      </c>
    </row>
    <row r="1396" spans="2:3" x14ac:dyDescent="0.25">
      <c r="B1396" t="s">
        <v>8713</v>
      </c>
      <c r="C1396" t="s">
        <v>8710</v>
      </c>
    </row>
    <row r="1397" spans="2:3" x14ac:dyDescent="0.25">
      <c r="B1397" t="s">
        <v>8714</v>
      </c>
      <c r="C1397" t="s">
        <v>4288</v>
      </c>
    </row>
    <row r="1398" spans="2:3" x14ac:dyDescent="0.25">
      <c r="B1398" t="s">
        <v>4290</v>
      </c>
      <c r="C1398" t="s">
        <v>4208</v>
      </c>
    </row>
    <row r="1399" spans="2:3" x14ac:dyDescent="0.25">
      <c r="B1399" t="s">
        <v>5832</v>
      </c>
      <c r="C1399" t="s">
        <v>4290</v>
      </c>
    </row>
    <row r="1400" spans="2:3" x14ac:dyDescent="0.25">
      <c r="B1400" t="s">
        <v>5834</v>
      </c>
      <c r="C1400" t="s">
        <v>4290</v>
      </c>
    </row>
    <row r="1401" spans="2:3" x14ac:dyDescent="0.25">
      <c r="B1401" t="s">
        <v>2640</v>
      </c>
      <c r="C1401" t="s">
        <v>4290</v>
      </c>
    </row>
    <row r="1402" spans="2:3" x14ac:dyDescent="0.25">
      <c r="B1402" t="s">
        <v>2015</v>
      </c>
      <c r="C1402" t="s">
        <v>2640</v>
      </c>
    </row>
    <row r="1403" spans="2:3" x14ac:dyDescent="0.25">
      <c r="B1403" t="s">
        <v>2013</v>
      </c>
      <c r="C1403" t="s">
        <v>2015</v>
      </c>
    </row>
    <row r="1404" spans="2:3" x14ac:dyDescent="0.25">
      <c r="B1404" t="s">
        <v>2744</v>
      </c>
      <c r="C1404" t="s">
        <v>2013</v>
      </c>
    </row>
    <row r="1405" spans="2:3" x14ac:dyDescent="0.25">
      <c r="B1405" t="s">
        <v>4293</v>
      </c>
      <c r="C1405" t="s">
        <v>2744</v>
      </c>
    </row>
    <row r="1406" spans="2:3" x14ac:dyDescent="0.25">
      <c r="B1406" t="s">
        <v>4295</v>
      </c>
      <c r="C1406" t="s">
        <v>4293</v>
      </c>
    </row>
    <row r="1407" spans="2:3" x14ac:dyDescent="0.25">
      <c r="B1407" t="s">
        <v>4297</v>
      </c>
      <c r="C1407" t="s">
        <v>4293</v>
      </c>
    </row>
    <row r="1408" spans="2:3" x14ac:dyDescent="0.25">
      <c r="B1408" t="s">
        <v>4299</v>
      </c>
      <c r="C1408" t="s">
        <v>4293</v>
      </c>
    </row>
    <row r="1409" spans="2:3" x14ac:dyDescent="0.25">
      <c r="B1409" t="s">
        <v>4303</v>
      </c>
      <c r="C1409" t="s">
        <v>2744</v>
      </c>
    </row>
    <row r="1410" spans="2:3" x14ac:dyDescent="0.25">
      <c r="B1410" t="s">
        <v>4305</v>
      </c>
      <c r="C1410" t="s">
        <v>4303</v>
      </c>
    </row>
    <row r="1411" spans="2:3" x14ac:dyDescent="0.25">
      <c r="B1411" t="s">
        <v>4307</v>
      </c>
      <c r="C1411" t="s">
        <v>4303</v>
      </c>
    </row>
    <row r="1412" spans="2:3" x14ac:dyDescent="0.25">
      <c r="B1412" t="s">
        <v>4311</v>
      </c>
      <c r="C1412" t="s">
        <v>2744</v>
      </c>
    </row>
    <row r="1413" spans="2:3" x14ac:dyDescent="0.25">
      <c r="B1413" t="s">
        <v>4313</v>
      </c>
      <c r="C1413" t="s">
        <v>4311</v>
      </c>
    </row>
    <row r="1414" spans="2:3" x14ac:dyDescent="0.25">
      <c r="B1414" t="s">
        <v>4317</v>
      </c>
      <c r="C1414" t="s">
        <v>4311</v>
      </c>
    </row>
    <row r="1415" spans="2:3" x14ac:dyDescent="0.25">
      <c r="B1415" t="s">
        <v>4321</v>
      </c>
      <c r="C1415" t="s">
        <v>2744</v>
      </c>
    </row>
    <row r="1416" spans="2:3" x14ac:dyDescent="0.25">
      <c r="B1416" t="s">
        <v>4323</v>
      </c>
      <c r="C1416" t="s">
        <v>4321</v>
      </c>
    </row>
    <row r="1417" spans="2:3" x14ac:dyDescent="0.25">
      <c r="B1417" t="s">
        <v>4325</v>
      </c>
      <c r="C1417" t="s">
        <v>4321</v>
      </c>
    </row>
    <row r="1418" spans="2:3" x14ac:dyDescent="0.25">
      <c r="B1418" t="s">
        <v>4315</v>
      </c>
      <c r="C1418" t="s">
        <v>4321</v>
      </c>
    </row>
    <row r="1419" spans="2:3" x14ac:dyDescent="0.25">
      <c r="B1419" t="s">
        <v>4319</v>
      </c>
      <c r="C1419" t="s">
        <v>4321</v>
      </c>
    </row>
    <row r="1420" spans="2:3" x14ac:dyDescent="0.25">
      <c r="B1420" t="s">
        <v>4327</v>
      </c>
      <c r="C1420" t="s">
        <v>2744</v>
      </c>
    </row>
    <row r="1421" spans="2:3" x14ac:dyDescent="0.25">
      <c r="B1421" t="s">
        <v>4329</v>
      </c>
      <c r="C1421" t="s">
        <v>2744</v>
      </c>
    </row>
    <row r="1422" spans="2:3" x14ac:dyDescent="0.25">
      <c r="B1422" t="s">
        <v>5822</v>
      </c>
      <c r="C1422" t="s">
        <v>2744</v>
      </c>
    </row>
    <row r="1423" spans="2:3" x14ac:dyDescent="0.25">
      <c r="B1423" t="s">
        <v>4301</v>
      </c>
      <c r="C1423" t="s">
        <v>2744</v>
      </c>
    </row>
    <row r="1424" spans="2:3" x14ac:dyDescent="0.25">
      <c r="B1424" t="s">
        <v>4309</v>
      </c>
      <c r="C1424" t="s">
        <v>4301</v>
      </c>
    </row>
    <row r="1425" spans="2:3" x14ac:dyDescent="0.25">
      <c r="B1425" t="s">
        <v>2746</v>
      </c>
      <c r="C1425" t="s">
        <v>2013</v>
      </c>
    </row>
    <row r="1426" spans="2:3" x14ac:dyDescent="0.25">
      <c r="B1426" t="s">
        <v>2748</v>
      </c>
      <c r="C1426" t="s">
        <v>2013</v>
      </c>
    </row>
    <row r="1427" spans="2:3" x14ac:dyDescent="0.25">
      <c r="B1427" t="s">
        <v>2750</v>
      </c>
      <c r="C1427" t="s">
        <v>2013</v>
      </c>
    </row>
    <row r="1428" spans="2:3" x14ac:dyDescent="0.25">
      <c r="B1428" t="s">
        <v>2752</v>
      </c>
      <c r="C1428" t="s">
        <v>2013</v>
      </c>
    </row>
    <row r="1429" spans="2:3" x14ac:dyDescent="0.25">
      <c r="B1429" t="s">
        <v>2754</v>
      </c>
      <c r="C1429" t="s">
        <v>2013</v>
      </c>
    </row>
    <row r="1430" spans="2:3" x14ac:dyDescent="0.25">
      <c r="B1430" t="s">
        <v>2756</v>
      </c>
      <c r="C1430" t="s">
        <v>2013</v>
      </c>
    </row>
    <row r="1431" spans="2:3" x14ac:dyDescent="0.25">
      <c r="B1431" t="s">
        <v>2758</v>
      </c>
      <c r="C1431" t="s">
        <v>2013</v>
      </c>
    </row>
    <row r="1432" spans="2:3" x14ac:dyDescent="0.25">
      <c r="B1432" t="s">
        <v>2760</v>
      </c>
      <c r="C1432" t="s">
        <v>2013</v>
      </c>
    </row>
    <row r="1433" spans="2:3" x14ac:dyDescent="0.25">
      <c r="B1433" t="s">
        <v>4331</v>
      </c>
      <c r="C1433" t="s">
        <v>2760</v>
      </c>
    </row>
    <row r="1434" spans="2:3" x14ac:dyDescent="0.25">
      <c r="B1434" t="s">
        <v>4333</v>
      </c>
      <c r="C1434" t="s">
        <v>2760</v>
      </c>
    </row>
    <row r="1435" spans="2:3" x14ac:dyDescent="0.25">
      <c r="B1435" t="s">
        <v>2762</v>
      </c>
      <c r="C1435" t="s">
        <v>2013</v>
      </c>
    </row>
    <row r="1436" spans="2:3" x14ac:dyDescent="0.25">
      <c r="B1436" t="s">
        <v>2764</v>
      </c>
      <c r="C1436" t="s">
        <v>2013</v>
      </c>
    </row>
    <row r="1437" spans="2:3" x14ac:dyDescent="0.25">
      <c r="B1437" t="s">
        <v>2016</v>
      </c>
      <c r="C1437" t="s">
        <v>2015</v>
      </c>
    </row>
    <row r="1438" spans="2:3" x14ac:dyDescent="0.25">
      <c r="B1438" t="s">
        <v>3174</v>
      </c>
      <c r="C1438" t="s">
        <v>2016</v>
      </c>
    </row>
    <row r="1439" spans="2:3" x14ac:dyDescent="0.25">
      <c r="B1439" t="s">
        <v>8715</v>
      </c>
      <c r="C1439" t="s">
        <v>2016</v>
      </c>
    </row>
    <row r="1440" spans="2:3" x14ac:dyDescent="0.25">
      <c r="B1440" t="s">
        <v>3336</v>
      </c>
      <c r="C1440" t="s">
        <v>2015</v>
      </c>
    </row>
    <row r="1441" spans="2:3" x14ac:dyDescent="0.25">
      <c r="B1441" t="s">
        <v>722</v>
      </c>
      <c r="C1441" t="s">
        <v>2015</v>
      </c>
    </row>
    <row r="1442" spans="2:3" x14ac:dyDescent="0.25">
      <c r="B1442" t="s">
        <v>2020</v>
      </c>
      <c r="C1442" t="s">
        <v>2640</v>
      </c>
    </row>
    <row r="1443" spans="2:3" x14ac:dyDescent="0.25">
      <c r="B1443" t="s">
        <v>2018</v>
      </c>
      <c r="C1443" t="s">
        <v>2020</v>
      </c>
    </row>
    <row r="1444" spans="2:3" x14ac:dyDescent="0.25">
      <c r="B1444" t="s">
        <v>2766</v>
      </c>
      <c r="C1444" t="s">
        <v>2018</v>
      </c>
    </row>
    <row r="1445" spans="2:3" x14ac:dyDescent="0.25">
      <c r="B1445" t="s">
        <v>2768</v>
      </c>
      <c r="C1445" t="s">
        <v>2018</v>
      </c>
    </row>
    <row r="1446" spans="2:3" x14ac:dyDescent="0.25">
      <c r="B1446" t="s">
        <v>2770</v>
      </c>
      <c r="C1446" t="s">
        <v>2018</v>
      </c>
    </row>
    <row r="1447" spans="2:3" x14ac:dyDescent="0.25">
      <c r="B1447" t="s">
        <v>2772</v>
      </c>
      <c r="C1447" t="s">
        <v>2018</v>
      </c>
    </row>
    <row r="1448" spans="2:3" x14ac:dyDescent="0.25">
      <c r="B1448" t="s">
        <v>2774</v>
      </c>
      <c r="C1448" t="s">
        <v>2018</v>
      </c>
    </row>
    <row r="1449" spans="2:3" x14ac:dyDescent="0.25">
      <c r="B1449" t="s">
        <v>2776</v>
      </c>
      <c r="C1449" t="s">
        <v>2018</v>
      </c>
    </row>
    <row r="1450" spans="2:3" x14ac:dyDescent="0.25">
      <c r="B1450" t="s">
        <v>2778</v>
      </c>
      <c r="C1450" t="s">
        <v>2018</v>
      </c>
    </row>
    <row r="1451" spans="2:3" x14ac:dyDescent="0.25">
      <c r="B1451" t="s">
        <v>2780</v>
      </c>
      <c r="C1451" t="s">
        <v>2018</v>
      </c>
    </row>
    <row r="1452" spans="2:3" x14ac:dyDescent="0.25">
      <c r="B1452" t="s">
        <v>2782</v>
      </c>
      <c r="C1452" t="s">
        <v>2018</v>
      </c>
    </row>
    <row r="1453" spans="2:3" x14ac:dyDescent="0.25">
      <c r="B1453" t="s">
        <v>2784</v>
      </c>
      <c r="C1453" t="s">
        <v>2018</v>
      </c>
    </row>
    <row r="1454" spans="2:3" x14ac:dyDescent="0.25">
      <c r="B1454" t="s">
        <v>4335</v>
      </c>
      <c r="C1454" t="s">
        <v>2784</v>
      </c>
    </row>
    <row r="1455" spans="2:3" x14ac:dyDescent="0.25">
      <c r="B1455" t="s">
        <v>2021</v>
      </c>
      <c r="C1455" t="s">
        <v>2020</v>
      </c>
    </row>
    <row r="1456" spans="2:3" x14ac:dyDescent="0.25">
      <c r="B1456" t="s">
        <v>3175</v>
      </c>
      <c r="C1456" t="s">
        <v>2021</v>
      </c>
    </row>
    <row r="1457" spans="2:3" x14ac:dyDescent="0.25">
      <c r="B1457" t="s">
        <v>3176</v>
      </c>
      <c r="C1457" t="s">
        <v>2021</v>
      </c>
    </row>
    <row r="1458" spans="2:3" x14ac:dyDescent="0.25">
      <c r="B1458" t="s">
        <v>2025</v>
      </c>
      <c r="C1458" t="s">
        <v>2640</v>
      </c>
    </row>
    <row r="1459" spans="2:3" x14ac:dyDescent="0.25">
      <c r="B1459" t="s">
        <v>2023</v>
      </c>
      <c r="C1459" t="s">
        <v>2025</v>
      </c>
    </row>
    <row r="1460" spans="2:3" x14ac:dyDescent="0.25">
      <c r="B1460" t="s">
        <v>2786</v>
      </c>
      <c r="C1460" t="s">
        <v>2023</v>
      </c>
    </row>
    <row r="1461" spans="2:3" x14ac:dyDescent="0.25">
      <c r="B1461" t="s">
        <v>2788</v>
      </c>
      <c r="C1461" t="s">
        <v>2023</v>
      </c>
    </row>
    <row r="1462" spans="2:3" x14ac:dyDescent="0.25">
      <c r="B1462" t="s">
        <v>2790</v>
      </c>
      <c r="C1462" t="s">
        <v>2023</v>
      </c>
    </row>
    <row r="1463" spans="2:3" x14ac:dyDescent="0.25">
      <c r="B1463" t="s">
        <v>2792</v>
      </c>
      <c r="C1463" t="s">
        <v>2023</v>
      </c>
    </row>
    <row r="1464" spans="2:3" x14ac:dyDescent="0.25">
      <c r="B1464" t="s">
        <v>2794</v>
      </c>
      <c r="C1464" t="s">
        <v>2023</v>
      </c>
    </row>
    <row r="1465" spans="2:3" x14ac:dyDescent="0.25">
      <c r="B1465" t="s">
        <v>2796</v>
      </c>
      <c r="C1465" t="s">
        <v>2023</v>
      </c>
    </row>
    <row r="1466" spans="2:3" x14ac:dyDescent="0.25">
      <c r="B1466" t="s">
        <v>2798</v>
      </c>
      <c r="C1466" t="s">
        <v>2023</v>
      </c>
    </row>
    <row r="1467" spans="2:3" x14ac:dyDescent="0.25">
      <c r="B1467" t="s">
        <v>2800</v>
      </c>
      <c r="C1467" t="s">
        <v>2023</v>
      </c>
    </row>
    <row r="1468" spans="2:3" x14ac:dyDescent="0.25">
      <c r="B1468" t="s">
        <v>2802</v>
      </c>
      <c r="C1468" t="s">
        <v>2023</v>
      </c>
    </row>
    <row r="1469" spans="2:3" x14ac:dyDescent="0.25">
      <c r="B1469" t="s">
        <v>2804</v>
      </c>
      <c r="C1469" t="s">
        <v>2023</v>
      </c>
    </row>
    <row r="1470" spans="2:3" x14ac:dyDescent="0.25">
      <c r="B1470" t="s">
        <v>4347</v>
      </c>
      <c r="C1470" t="s">
        <v>2804</v>
      </c>
    </row>
    <row r="1471" spans="2:3" x14ac:dyDescent="0.25">
      <c r="B1471" t="s">
        <v>2026</v>
      </c>
      <c r="C1471" t="s">
        <v>2025</v>
      </c>
    </row>
    <row r="1472" spans="2:3" x14ac:dyDescent="0.25">
      <c r="B1472" t="s">
        <v>2806</v>
      </c>
      <c r="C1472" t="s">
        <v>2026</v>
      </c>
    </row>
    <row r="1473" spans="2:3" x14ac:dyDescent="0.25">
      <c r="B1473" t="s">
        <v>2030</v>
      </c>
      <c r="C1473" t="s">
        <v>2640</v>
      </c>
    </row>
    <row r="1474" spans="2:3" x14ac:dyDescent="0.25">
      <c r="B1474" t="s">
        <v>2028</v>
      </c>
      <c r="C1474" t="s">
        <v>2030</v>
      </c>
    </row>
    <row r="1475" spans="2:3" x14ac:dyDescent="0.25">
      <c r="B1475" t="s">
        <v>2808</v>
      </c>
      <c r="C1475" t="s">
        <v>2028</v>
      </c>
    </row>
    <row r="1476" spans="2:3" x14ac:dyDescent="0.25">
      <c r="B1476" t="s">
        <v>2810</v>
      </c>
      <c r="C1476" t="s">
        <v>2028</v>
      </c>
    </row>
    <row r="1477" spans="2:3" x14ac:dyDescent="0.25">
      <c r="B1477" t="s">
        <v>2812</v>
      </c>
      <c r="C1477" t="s">
        <v>2028</v>
      </c>
    </row>
    <row r="1478" spans="2:3" x14ac:dyDescent="0.25">
      <c r="B1478" t="s">
        <v>2814</v>
      </c>
      <c r="C1478" t="s">
        <v>2028</v>
      </c>
    </row>
    <row r="1479" spans="2:3" x14ac:dyDescent="0.25">
      <c r="B1479" t="s">
        <v>2816</v>
      </c>
      <c r="C1479" t="s">
        <v>2028</v>
      </c>
    </row>
    <row r="1480" spans="2:3" x14ac:dyDescent="0.25">
      <c r="B1480" t="s">
        <v>2818</v>
      </c>
      <c r="C1480" t="s">
        <v>2028</v>
      </c>
    </row>
    <row r="1481" spans="2:3" x14ac:dyDescent="0.25">
      <c r="B1481" t="s">
        <v>2820</v>
      </c>
      <c r="C1481" t="s">
        <v>2028</v>
      </c>
    </row>
    <row r="1482" spans="2:3" x14ac:dyDescent="0.25">
      <c r="B1482" t="s">
        <v>2822</v>
      </c>
      <c r="C1482" t="s">
        <v>2028</v>
      </c>
    </row>
    <row r="1483" spans="2:3" x14ac:dyDescent="0.25">
      <c r="B1483" t="s">
        <v>2824</v>
      </c>
      <c r="C1483" t="s">
        <v>2028</v>
      </c>
    </row>
    <row r="1484" spans="2:3" x14ac:dyDescent="0.25">
      <c r="B1484" t="s">
        <v>2826</v>
      </c>
      <c r="C1484" t="s">
        <v>2028</v>
      </c>
    </row>
    <row r="1485" spans="2:3" x14ac:dyDescent="0.25">
      <c r="B1485" t="s">
        <v>4349</v>
      </c>
      <c r="C1485" t="s">
        <v>2826</v>
      </c>
    </row>
    <row r="1486" spans="2:3" x14ac:dyDescent="0.25">
      <c r="B1486" t="s">
        <v>2031</v>
      </c>
      <c r="C1486" t="s">
        <v>2030</v>
      </c>
    </row>
    <row r="1487" spans="2:3" x14ac:dyDescent="0.25">
      <c r="B1487" t="s">
        <v>3177</v>
      </c>
      <c r="C1487" t="s">
        <v>2031</v>
      </c>
    </row>
    <row r="1488" spans="2:3" x14ac:dyDescent="0.25">
      <c r="B1488" t="s">
        <v>2035</v>
      </c>
      <c r="C1488" t="s">
        <v>2640</v>
      </c>
    </row>
    <row r="1489" spans="2:3" x14ac:dyDescent="0.25">
      <c r="B1489" t="s">
        <v>2033</v>
      </c>
      <c r="C1489" t="s">
        <v>2035</v>
      </c>
    </row>
    <row r="1490" spans="2:3" x14ac:dyDescent="0.25">
      <c r="B1490" t="s">
        <v>2828</v>
      </c>
      <c r="C1490" t="s">
        <v>2033</v>
      </c>
    </row>
    <row r="1491" spans="2:3" x14ac:dyDescent="0.25">
      <c r="B1491" t="s">
        <v>2830</v>
      </c>
      <c r="C1491" t="s">
        <v>2033</v>
      </c>
    </row>
    <row r="1492" spans="2:3" x14ac:dyDescent="0.25">
      <c r="B1492" t="s">
        <v>2832</v>
      </c>
      <c r="C1492" t="s">
        <v>2033</v>
      </c>
    </row>
    <row r="1493" spans="2:3" x14ac:dyDescent="0.25">
      <c r="B1493" t="s">
        <v>2834</v>
      </c>
      <c r="C1493" t="s">
        <v>2033</v>
      </c>
    </row>
    <row r="1494" spans="2:3" x14ac:dyDescent="0.25">
      <c r="B1494" t="s">
        <v>2836</v>
      </c>
      <c r="C1494" t="s">
        <v>2033</v>
      </c>
    </row>
    <row r="1495" spans="2:3" x14ac:dyDescent="0.25">
      <c r="B1495" t="s">
        <v>2838</v>
      </c>
      <c r="C1495" t="s">
        <v>2033</v>
      </c>
    </row>
    <row r="1496" spans="2:3" x14ac:dyDescent="0.25">
      <c r="B1496" t="s">
        <v>2840</v>
      </c>
      <c r="C1496" t="s">
        <v>2033</v>
      </c>
    </row>
    <row r="1497" spans="2:3" x14ac:dyDescent="0.25">
      <c r="B1497" t="s">
        <v>2842</v>
      </c>
      <c r="C1497" t="s">
        <v>2033</v>
      </c>
    </row>
    <row r="1498" spans="2:3" x14ac:dyDescent="0.25">
      <c r="B1498" t="s">
        <v>2844</v>
      </c>
      <c r="C1498" t="s">
        <v>2033</v>
      </c>
    </row>
    <row r="1499" spans="2:3" x14ac:dyDescent="0.25">
      <c r="B1499" t="s">
        <v>2846</v>
      </c>
      <c r="C1499" t="s">
        <v>2033</v>
      </c>
    </row>
    <row r="1500" spans="2:3" x14ac:dyDescent="0.25">
      <c r="B1500" t="s">
        <v>4351</v>
      </c>
      <c r="C1500" t="s">
        <v>2846</v>
      </c>
    </row>
    <row r="1501" spans="2:3" x14ac:dyDescent="0.25">
      <c r="B1501" t="s">
        <v>2036</v>
      </c>
      <c r="C1501" t="s">
        <v>2035</v>
      </c>
    </row>
    <row r="1502" spans="2:3" x14ac:dyDescent="0.25">
      <c r="B1502" t="s">
        <v>3178</v>
      </c>
      <c r="C1502" t="s">
        <v>2036</v>
      </c>
    </row>
    <row r="1503" spans="2:3" x14ac:dyDescent="0.25">
      <c r="B1503" t="s">
        <v>3179</v>
      </c>
      <c r="C1503" t="s">
        <v>2036</v>
      </c>
    </row>
    <row r="1504" spans="2:3" x14ac:dyDescent="0.25">
      <c r="B1504" t="s">
        <v>2040</v>
      </c>
      <c r="C1504" t="s">
        <v>2640</v>
      </c>
    </row>
    <row r="1505" spans="2:3" x14ac:dyDescent="0.25">
      <c r="B1505" t="s">
        <v>2038</v>
      </c>
      <c r="C1505" t="s">
        <v>2040</v>
      </c>
    </row>
    <row r="1506" spans="2:3" x14ac:dyDescent="0.25">
      <c r="B1506" t="s">
        <v>2848</v>
      </c>
      <c r="C1506" t="s">
        <v>2038</v>
      </c>
    </row>
    <row r="1507" spans="2:3" x14ac:dyDescent="0.25">
      <c r="B1507" t="s">
        <v>2850</v>
      </c>
      <c r="C1507" t="s">
        <v>2038</v>
      </c>
    </row>
    <row r="1508" spans="2:3" x14ac:dyDescent="0.25">
      <c r="B1508" t="s">
        <v>2852</v>
      </c>
      <c r="C1508" t="s">
        <v>2038</v>
      </c>
    </row>
    <row r="1509" spans="2:3" x14ac:dyDescent="0.25">
      <c r="B1509" t="s">
        <v>2854</v>
      </c>
      <c r="C1509" t="s">
        <v>2038</v>
      </c>
    </row>
    <row r="1510" spans="2:3" x14ac:dyDescent="0.25">
      <c r="B1510" t="s">
        <v>2856</v>
      </c>
      <c r="C1510" t="s">
        <v>2038</v>
      </c>
    </row>
    <row r="1511" spans="2:3" x14ac:dyDescent="0.25">
      <c r="B1511" t="s">
        <v>2858</v>
      </c>
      <c r="C1511" t="s">
        <v>2038</v>
      </c>
    </row>
    <row r="1512" spans="2:3" x14ac:dyDescent="0.25">
      <c r="B1512" t="s">
        <v>2860</v>
      </c>
      <c r="C1512" t="s">
        <v>2038</v>
      </c>
    </row>
    <row r="1513" spans="2:3" x14ac:dyDescent="0.25">
      <c r="B1513" t="s">
        <v>2862</v>
      </c>
      <c r="C1513" t="s">
        <v>2038</v>
      </c>
    </row>
    <row r="1514" spans="2:3" x14ac:dyDescent="0.25">
      <c r="B1514" t="s">
        <v>2864</v>
      </c>
      <c r="C1514" t="s">
        <v>2038</v>
      </c>
    </row>
    <row r="1515" spans="2:3" x14ac:dyDescent="0.25">
      <c r="B1515" t="s">
        <v>2866</v>
      </c>
      <c r="C1515" t="s">
        <v>2038</v>
      </c>
    </row>
    <row r="1516" spans="2:3" x14ac:dyDescent="0.25">
      <c r="B1516" t="s">
        <v>4353</v>
      </c>
      <c r="C1516" t="s">
        <v>2866</v>
      </c>
    </row>
    <row r="1517" spans="2:3" x14ac:dyDescent="0.25">
      <c r="B1517" t="s">
        <v>2041</v>
      </c>
      <c r="C1517" t="s">
        <v>2040</v>
      </c>
    </row>
    <row r="1518" spans="2:3" x14ac:dyDescent="0.25">
      <c r="B1518" t="s">
        <v>3180</v>
      </c>
      <c r="C1518" t="s">
        <v>2041</v>
      </c>
    </row>
    <row r="1519" spans="2:3" x14ac:dyDescent="0.25">
      <c r="B1519" t="s">
        <v>2045</v>
      </c>
      <c r="C1519" t="s">
        <v>2640</v>
      </c>
    </row>
    <row r="1520" spans="2:3" x14ac:dyDescent="0.25">
      <c r="B1520" t="s">
        <v>2043</v>
      </c>
      <c r="C1520" t="s">
        <v>2045</v>
      </c>
    </row>
    <row r="1521" spans="2:3" x14ac:dyDescent="0.25">
      <c r="B1521" t="s">
        <v>2868</v>
      </c>
      <c r="C1521" t="s">
        <v>2043</v>
      </c>
    </row>
    <row r="1522" spans="2:3" x14ac:dyDescent="0.25">
      <c r="B1522" t="s">
        <v>2870</v>
      </c>
      <c r="C1522" t="s">
        <v>2043</v>
      </c>
    </row>
    <row r="1523" spans="2:3" x14ac:dyDescent="0.25">
      <c r="B1523" t="s">
        <v>2872</v>
      </c>
      <c r="C1523" t="s">
        <v>2043</v>
      </c>
    </row>
    <row r="1524" spans="2:3" x14ac:dyDescent="0.25">
      <c r="B1524" t="s">
        <v>2874</v>
      </c>
      <c r="C1524" t="s">
        <v>2043</v>
      </c>
    </row>
    <row r="1525" spans="2:3" x14ac:dyDescent="0.25">
      <c r="B1525" t="s">
        <v>2876</v>
      </c>
      <c r="C1525" t="s">
        <v>2043</v>
      </c>
    </row>
    <row r="1526" spans="2:3" x14ac:dyDescent="0.25">
      <c r="B1526" t="s">
        <v>2878</v>
      </c>
      <c r="C1526" t="s">
        <v>2043</v>
      </c>
    </row>
    <row r="1527" spans="2:3" x14ac:dyDescent="0.25">
      <c r="B1527" t="s">
        <v>2880</v>
      </c>
      <c r="C1527" t="s">
        <v>2043</v>
      </c>
    </row>
    <row r="1528" spans="2:3" x14ac:dyDescent="0.25">
      <c r="B1528" t="s">
        <v>2882</v>
      </c>
      <c r="C1528" t="s">
        <v>2043</v>
      </c>
    </row>
    <row r="1529" spans="2:3" x14ac:dyDescent="0.25">
      <c r="B1529" t="s">
        <v>2884</v>
      </c>
      <c r="C1529" t="s">
        <v>2043</v>
      </c>
    </row>
    <row r="1530" spans="2:3" x14ac:dyDescent="0.25">
      <c r="B1530" t="s">
        <v>2886</v>
      </c>
      <c r="C1530" t="s">
        <v>2043</v>
      </c>
    </row>
    <row r="1531" spans="2:3" x14ac:dyDescent="0.25">
      <c r="B1531" t="s">
        <v>4355</v>
      </c>
      <c r="C1531" t="s">
        <v>2886</v>
      </c>
    </row>
    <row r="1532" spans="2:3" x14ac:dyDescent="0.25">
      <c r="B1532" t="s">
        <v>2046</v>
      </c>
      <c r="C1532" t="s">
        <v>2045</v>
      </c>
    </row>
    <row r="1533" spans="2:3" x14ac:dyDescent="0.25">
      <c r="B1533" t="s">
        <v>3181</v>
      </c>
      <c r="C1533" t="s">
        <v>2046</v>
      </c>
    </row>
    <row r="1534" spans="2:3" x14ac:dyDescent="0.25">
      <c r="B1534" t="s">
        <v>8716</v>
      </c>
      <c r="C1534" t="s">
        <v>2046</v>
      </c>
    </row>
    <row r="1535" spans="2:3" x14ac:dyDescent="0.25">
      <c r="B1535" t="s">
        <v>4357</v>
      </c>
      <c r="C1535" t="s">
        <v>4290</v>
      </c>
    </row>
    <row r="1536" spans="2:3" x14ac:dyDescent="0.25">
      <c r="B1536" t="s">
        <v>4359</v>
      </c>
      <c r="C1536" t="s">
        <v>4290</v>
      </c>
    </row>
    <row r="1537" spans="2:3" x14ac:dyDescent="0.25">
      <c r="B1537" t="s">
        <v>5836</v>
      </c>
      <c r="C1537" t="s">
        <v>4208</v>
      </c>
    </row>
    <row r="1538" spans="2:3" x14ac:dyDescent="0.25">
      <c r="B1538" t="s">
        <v>5838</v>
      </c>
      <c r="C1538" t="s">
        <v>5836</v>
      </c>
    </row>
    <row r="1539" spans="2:3" x14ac:dyDescent="0.25">
      <c r="B1539" t="s">
        <v>5840</v>
      </c>
      <c r="C1539" t="s">
        <v>5836</v>
      </c>
    </row>
    <row r="1540" spans="2:3" x14ac:dyDescent="0.25">
      <c r="B1540" t="s">
        <v>5842</v>
      </c>
      <c r="C1540" t="s">
        <v>5836</v>
      </c>
    </row>
    <row r="1541" spans="2:3" x14ac:dyDescent="0.25">
      <c r="B1541" t="s">
        <v>5844</v>
      </c>
      <c r="C1541" t="s">
        <v>5842</v>
      </c>
    </row>
    <row r="1542" spans="2:3" x14ac:dyDescent="0.25">
      <c r="B1542" t="s">
        <v>5846</v>
      </c>
      <c r="C1542" t="s">
        <v>5842</v>
      </c>
    </row>
    <row r="1543" spans="2:3" x14ac:dyDescent="0.25">
      <c r="B1543" t="s">
        <v>5848</v>
      </c>
      <c r="C1543" t="s">
        <v>5842</v>
      </c>
    </row>
    <row r="1544" spans="2:3" x14ac:dyDescent="0.25">
      <c r="B1544" t="s">
        <v>5850</v>
      </c>
      <c r="C1544" t="s">
        <v>5842</v>
      </c>
    </row>
    <row r="1545" spans="2:3" x14ac:dyDescent="0.25">
      <c r="B1545" t="s">
        <v>5324</v>
      </c>
      <c r="C1545" t="s">
        <v>5836</v>
      </c>
    </row>
    <row r="1546" spans="2:3" x14ac:dyDescent="0.25">
      <c r="B1546" t="s">
        <v>5333</v>
      </c>
      <c r="C1546" t="s">
        <v>5324</v>
      </c>
    </row>
    <row r="1547" spans="2:3" x14ac:dyDescent="0.25">
      <c r="B1547" t="s">
        <v>5331</v>
      </c>
      <c r="C1547" t="s">
        <v>5333</v>
      </c>
    </row>
    <row r="1548" spans="2:3" x14ac:dyDescent="0.25">
      <c r="B1548" t="s">
        <v>5334</v>
      </c>
      <c r="C1548" t="s">
        <v>5331</v>
      </c>
    </row>
    <row r="1549" spans="2:3" x14ac:dyDescent="0.25">
      <c r="B1549" t="s">
        <v>5336</v>
      </c>
      <c r="C1549" t="s">
        <v>5331</v>
      </c>
    </row>
    <row r="1550" spans="2:3" x14ac:dyDescent="0.25">
      <c r="B1550" t="s">
        <v>5338</v>
      </c>
      <c r="C1550" t="s">
        <v>5331</v>
      </c>
    </row>
    <row r="1551" spans="2:3" x14ac:dyDescent="0.25">
      <c r="B1551" t="s">
        <v>5340</v>
      </c>
      <c r="C1551" t="s">
        <v>5331</v>
      </c>
    </row>
    <row r="1552" spans="2:3" x14ac:dyDescent="0.25">
      <c r="B1552" t="s">
        <v>5342</v>
      </c>
      <c r="C1552" t="s">
        <v>5333</v>
      </c>
    </row>
    <row r="1553" spans="2:3" x14ac:dyDescent="0.25">
      <c r="B1553" t="s">
        <v>5344</v>
      </c>
      <c r="C1553" t="s">
        <v>5342</v>
      </c>
    </row>
    <row r="1554" spans="2:3" x14ac:dyDescent="0.25">
      <c r="B1554" t="s">
        <v>5346</v>
      </c>
      <c r="C1554" t="s">
        <v>5342</v>
      </c>
    </row>
    <row r="1555" spans="2:3" x14ac:dyDescent="0.25">
      <c r="B1555" t="s">
        <v>5958</v>
      </c>
      <c r="C1555" t="s">
        <v>5333</v>
      </c>
    </row>
    <row r="1556" spans="2:3" x14ac:dyDescent="0.25">
      <c r="B1556" t="s">
        <v>8717</v>
      </c>
      <c r="C1556" t="s">
        <v>5324</v>
      </c>
    </row>
    <row r="1557" spans="2:3" x14ac:dyDescent="0.25">
      <c r="B1557" t="s">
        <v>5322</v>
      </c>
      <c r="C1557" t="s">
        <v>5324</v>
      </c>
    </row>
    <row r="1558" spans="2:3" x14ac:dyDescent="0.25">
      <c r="B1558" t="s">
        <v>5325</v>
      </c>
      <c r="C1558" t="s">
        <v>5322</v>
      </c>
    </row>
    <row r="1559" spans="2:3" x14ac:dyDescent="0.25">
      <c r="B1559" t="s">
        <v>5327</v>
      </c>
      <c r="C1559" t="s">
        <v>5322</v>
      </c>
    </row>
    <row r="1560" spans="2:3" x14ac:dyDescent="0.25">
      <c r="B1560" t="s">
        <v>5329</v>
      </c>
      <c r="C1560" t="s">
        <v>5322</v>
      </c>
    </row>
    <row r="1561" spans="2:3" x14ac:dyDescent="0.25">
      <c r="B1561" t="s">
        <v>5955</v>
      </c>
      <c r="C1561" t="s">
        <v>5322</v>
      </c>
    </row>
    <row r="1562" spans="2:3" x14ac:dyDescent="0.25">
      <c r="B1562" t="s">
        <v>5854</v>
      </c>
      <c r="C1562" t="s">
        <v>4208</v>
      </c>
    </row>
    <row r="1563" spans="2:3" x14ac:dyDescent="0.25">
      <c r="B1563" t="s">
        <v>5856</v>
      </c>
      <c r="C1563" t="s">
        <v>5854</v>
      </c>
    </row>
    <row r="1564" spans="2:3" x14ac:dyDescent="0.25">
      <c r="B1564" t="s">
        <v>5858</v>
      </c>
      <c r="C1564" t="s">
        <v>5854</v>
      </c>
    </row>
    <row r="1565" spans="2:3" x14ac:dyDescent="0.25">
      <c r="B1565" t="s">
        <v>5860</v>
      </c>
      <c r="C1565" t="s">
        <v>5854</v>
      </c>
    </row>
    <row r="1566" spans="2:3" x14ac:dyDescent="0.25">
      <c r="B1566" t="s">
        <v>5863</v>
      </c>
      <c r="C1566" t="s">
        <v>5860</v>
      </c>
    </row>
    <row r="1567" spans="2:3" x14ac:dyDescent="0.25">
      <c r="B1567" t="s">
        <v>5865</v>
      </c>
      <c r="C1567" t="s">
        <v>5860</v>
      </c>
    </row>
    <row r="1568" spans="2:3" x14ac:dyDescent="0.25">
      <c r="B1568" t="s">
        <v>5867</v>
      </c>
      <c r="C1568" t="s">
        <v>5860</v>
      </c>
    </row>
    <row r="1569" spans="2:3" x14ac:dyDescent="0.25">
      <c r="B1569" t="s">
        <v>5869</v>
      </c>
      <c r="C1569" t="s">
        <v>5860</v>
      </c>
    </row>
    <row r="1570" spans="2:3" x14ac:dyDescent="0.25">
      <c r="B1570" t="s">
        <v>4242</v>
      </c>
      <c r="C1570" t="s">
        <v>5860</v>
      </c>
    </row>
    <row r="1571" spans="2:3" x14ac:dyDescent="0.25">
      <c r="B1571" t="s">
        <v>5350</v>
      </c>
      <c r="C1571" t="s">
        <v>5854</v>
      </c>
    </row>
    <row r="1572" spans="2:3" x14ac:dyDescent="0.25">
      <c r="B1572" t="s">
        <v>5360</v>
      </c>
      <c r="C1572" t="s">
        <v>5350</v>
      </c>
    </row>
    <row r="1573" spans="2:3" x14ac:dyDescent="0.25">
      <c r="B1573" t="s">
        <v>5358</v>
      </c>
      <c r="C1573" t="s">
        <v>5360</v>
      </c>
    </row>
    <row r="1574" spans="2:3" x14ac:dyDescent="0.25">
      <c r="B1574" t="s">
        <v>5361</v>
      </c>
      <c r="C1574" t="s">
        <v>5358</v>
      </c>
    </row>
    <row r="1575" spans="2:3" x14ac:dyDescent="0.25">
      <c r="B1575" t="s">
        <v>5363</v>
      </c>
      <c r="C1575" t="s">
        <v>5358</v>
      </c>
    </row>
    <row r="1576" spans="2:3" x14ac:dyDescent="0.25">
      <c r="B1576" t="s">
        <v>5365</v>
      </c>
      <c r="C1576" t="s">
        <v>5358</v>
      </c>
    </row>
    <row r="1577" spans="2:3" x14ac:dyDescent="0.25">
      <c r="B1577" t="s">
        <v>5367</v>
      </c>
      <c r="C1577" t="s">
        <v>5358</v>
      </c>
    </row>
    <row r="1578" spans="2:3" x14ac:dyDescent="0.25">
      <c r="B1578" t="s">
        <v>5369</v>
      </c>
      <c r="C1578" t="s">
        <v>5358</v>
      </c>
    </row>
    <row r="1579" spans="2:3" x14ac:dyDescent="0.25">
      <c r="B1579" t="s">
        <v>5371</v>
      </c>
      <c r="C1579" t="s">
        <v>5358</v>
      </c>
    </row>
    <row r="1580" spans="2:3" x14ac:dyDescent="0.25">
      <c r="B1580" t="s">
        <v>5373</v>
      </c>
      <c r="C1580" t="s">
        <v>5358</v>
      </c>
    </row>
    <row r="1581" spans="2:3" x14ac:dyDescent="0.25">
      <c r="B1581" t="s">
        <v>5375</v>
      </c>
      <c r="C1581" t="s">
        <v>5360</v>
      </c>
    </row>
    <row r="1582" spans="2:3" x14ac:dyDescent="0.25">
      <c r="B1582" t="s">
        <v>5377</v>
      </c>
      <c r="C1582" t="s">
        <v>5375</v>
      </c>
    </row>
    <row r="1583" spans="2:3" x14ac:dyDescent="0.25">
      <c r="B1583" t="s">
        <v>5379</v>
      </c>
      <c r="C1583" t="s">
        <v>5375</v>
      </c>
    </row>
    <row r="1584" spans="2:3" x14ac:dyDescent="0.25">
      <c r="B1584" t="s">
        <v>5381</v>
      </c>
      <c r="C1584" t="s">
        <v>5375</v>
      </c>
    </row>
    <row r="1585" spans="2:3" x14ac:dyDescent="0.25">
      <c r="B1585" t="s">
        <v>5383</v>
      </c>
      <c r="C1585" t="s">
        <v>5375</v>
      </c>
    </row>
    <row r="1586" spans="2:3" x14ac:dyDescent="0.25">
      <c r="B1586" t="s">
        <v>5385</v>
      </c>
      <c r="C1586" t="s">
        <v>5375</v>
      </c>
    </row>
    <row r="1587" spans="2:3" x14ac:dyDescent="0.25">
      <c r="B1587" t="s">
        <v>5387</v>
      </c>
      <c r="C1587" t="s">
        <v>5375</v>
      </c>
    </row>
    <row r="1588" spans="2:3" x14ac:dyDescent="0.25">
      <c r="B1588" t="s">
        <v>5389</v>
      </c>
      <c r="C1588" t="s">
        <v>5375</v>
      </c>
    </row>
    <row r="1589" spans="2:3" x14ac:dyDescent="0.25">
      <c r="B1589" t="s">
        <v>5391</v>
      </c>
      <c r="C1589" t="s">
        <v>5375</v>
      </c>
    </row>
    <row r="1590" spans="2:3" x14ac:dyDescent="0.25">
      <c r="B1590" t="s">
        <v>5348</v>
      </c>
      <c r="C1590" t="s">
        <v>5350</v>
      </c>
    </row>
    <row r="1591" spans="2:3" x14ac:dyDescent="0.25">
      <c r="B1591" t="s">
        <v>5351</v>
      </c>
      <c r="C1591" t="s">
        <v>5348</v>
      </c>
    </row>
    <row r="1592" spans="2:3" x14ac:dyDescent="0.25">
      <c r="B1592" t="s">
        <v>5353</v>
      </c>
      <c r="C1592" t="s">
        <v>5348</v>
      </c>
    </row>
    <row r="1593" spans="2:3" x14ac:dyDescent="0.25">
      <c r="B1593" t="s">
        <v>5355</v>
      </c>
      <c r="C1593" t="s">
        <v>5348</v>
      </c>
    </row>
    <row r="1594" spans="2:3" x14ac:dyDescent="0.25">
      <c r="B1594" t="s">
        <v>5357</v>
      </c>
      <c r="C1594" t="s">
        <v>5348</v>
      </c>
    </row>
    <row r="1595" spans="2:3" x14ac:dyDescent="0.25">
      <c r="B1595" t="s">
        <v>5873</v>
      </c>
      <c r="C1595" t="s">
        <v>4208</v>
      </c>
    </row>
    <row r="1596" spans="2:3" x14ac:dyDescent="0.25">
      <c r="B1596" t="s">
        <v>5875</v>
      </c>
      <c r="C1596" t="s">
        <v>5873</v>
      </c>
    </row>
    <row r="1597" spans="2:3" x14ac:dyDescent="0.25">
      <c r="B1597" t="s">
        <v>5877</v>
      </c>
      <c r="C1597" t="s">
        <v>5875</v>
      </c>
    </row>
    <row r="1598" spans="2:3" x14ac:dyDescent="0.25">
      <c r="B1598" t="s">
        <v>5395</v>
      </c>
      <c r="C1598" t="s">
        <v>5875</v>
      </c>
    </row>
    <row r="1599" spans="2:3" x14ac:dyDescent="0.25">
      <c r="B1599" t="s">
        <v>5399</v>
      </c>
      <c r="C1599" t="s">
        <v>5395</v>
      </c>
    </row>
    <row r="1600" spans="2:3" x14ac:dyDescent="0.25">
      <c r="B1600" t="s">
        <v>5397</v>
      </c>
      <c r="C1600" t="s">
        <v>5399</v>
      </c>
    </row>
    <row r="1601" spans="2:3" x14ac:dyDescent="0.25">
      <c r="B1601" t="s">
        <v>5400</v>
      </c>
      <c r="C1601" t="s">
        <v>5399</v>
      </c>
    </row>
    <row r="1602" spans="2:3" x14ac:dyDescent="0.25">
      <c r="B1602" t="s">
        <v>5402</v>
      </c>
      <c r="C1602" t="s">
        <v>5400</v>
      </c>
    </row>
    <row r="1603" spans="2:3" x14ac:dyDescent="0.25">
      <c r="B1603" t="s">
        <v>5404</v>
      </c>
      <c r="C1603" t="s">
        <v>5400</v>
      </c>
    </row>
    <row r="1604" spans="2:3" x14ac:dyDescent="0.25">
      <c r="B1604" t="s">
        <v>5406</v>
      </c>
      <c r="C1604" t="s">
        <v>5400</v>
      </c>
    </row>
    <row r="1605" spans="2:3" x14ac:dyDescent="0.25">
      <c r="B1605" t="s">
        <v>5408</v>
      </c>
      <c r="C1605" t="s">
        <v>5400</v>
      </c>
    </row>
    <row r="1606" spans="2:3" x14ac:dyDescent="0.25">
      <c r="B1606" t="s">
        <v>5410</v>
      </c>
      <c r="C1606" t="s">
        <v>5399</v>
      </c>
    </row>
    <row r="1607" spans="2:3" x14ac:dyDescent="0.25">
      <c r="B1607" t="s">
        <v>5412</v>
      </c>
      <c r="C1607" t="s">
        <v>5399</v>
      </c>
    </row>
    <row r="1608" spans="2:3" x14ac:dyDescent="0.25">
      <c r="B1608" t="s">
        <v>5414</v>
      </c>
      <c r="C1608" t="s">
        <v>5399</v>
      </c>
    </row>
    <row r="1609" spans="2:3" x14ac:dyDescent="0.25">
      <c r="B1609" t="s">
        <v>5393</v>
      </c>
      <c r="C1609" t="s">
        <v>5395</v>
      </c>
    </row>
    <row r="1610" spans="2:3" x14ac:dyDescent="0.25">
      <c r="B1610" t="s">
        <v>5396</v>
      </c>
      <c r="C1610" t="s">
        <v>5393</v>
      </c>
    </row>
    <row r="1611" spans="2:3" x14ac:dyDescent="0.25">
      <c r="B1611" t="s">
        <v>5957</v>
      </c>
      <c r="C1611" t="s">
        <v>5393</v>
      </c>
    </row>
    <row r="1612" spans="2:3" x14ac:dyDescent="0.25">
      <c r="B1612" t="s">
        <v>5884</v>
      </c>
      <c r="C1612" t="s">
        <v>5875</v>
      </c>
    </row>
    <row r="1613" spans="2:3" x14ac:dyDescent="0.25">
      <c r="B1613" t="s">
        <v>5886</v>
      </c>
      <c r="C1613" t="s">
        <v>5875</v>
      </c>
    </row>
    <row r="1614" spans="2:3" x14ac:dyDescent="0.25">
      <c r="B1614" t="s">
        <v>5888</v>
      </c>
      <c r="C1614" t="s">
        <v>5875</v>
      </c>
    </row>
    <row r="1615" spans="2:3" x14ac:dyDescent="0.25">
      <c r="B1615" t="s">
        <v>5890</v>
      </c>
      <c r="C1615" t="s">
        <v>5873</v>
      </c>
    </row>
    <row r="1616" spans="2:3" x14ac:dyDescent="0.25">
      <c r="B1616" t="s">
        <v>5892</v>
      </c>
      <c r="C1616" t="s">
        <v>5873</v>
      </c>
    </row>
    <row r="1617" spans="2:3" x14ac:dyDescent="0.25">
      <c r="B1617" t="s">
        <v>5894</v>
      </c>
      <c r="C1617" t="s">
        <v>5873</v>
      </c>
    </row>
    <row r="1618" spans="2:3" x14ac:dyDescent="0.25">
      <c r="B1618" t="s">
        <v>5896</v>
      </c>
      <c r="C1618" t="s">
        <v>5873</v>
      </c>
    </row>
    <row r="1619" spans="2:3" x14ac:dyDescent="0.25">
      <c r="B1619" t="s">
        <v>5220</v>
      </c>
      <c r="C1619" t="s">
        <v>4208</v>
      </c>
    </row>
    <row r="1620" spans="2:3" x14ac:dyDescent="0.25">
      <c r="B1620" t="s">
        <v>5222</v>
      </c>
      <c r="C1620" t="s">
        <v>4208</v>
      </c>
    </row>
    <row r="1621" spans="2:3" x14ac:dyDescent="0.25">
      <c r="B1621" t="s">
        <v>5799</v>
      </c>
      <c r="C1621" t="s">
        <v>4208</v>
      </c>
    </row>
    <row r="1622" spans="2:3" x14ac:dyDescent="0.25">
      <c r="B1622" t="s">
        <v>5801</v>
      </c>
      <c r="C1622" t="s">
        <v>5799</v>
      </c>
    </row>
    <row r="1623" spans="2:3" x14ac:dyDescent="0.25">
      <c r="B1623" t="s">
        <v>5803</v>
      </c>
      <c r="C1623" t="s">
        <v>5799</v>
      </c>
    </row>
    <row r="1624" spans="2:3" x14ac:dyDescent="0.25">
      <c r="B1624" t="s">
        <v>5805</v>
      </c>
      <c r="C1624" t="s">
        <v>5799</v>
      </c>
    </row>
    <row r="1625" spans="2:3" x14ac:dyDescent="0.25">
      <c r="B1625" t="s">
        <v>5807</v>
      </c>
      <c r="C1625" t="s">
        <v>5799</v>
      </c>
    </row>
    <row r="1626" spans="2:3" x14ac:dyDescent="0.25">
      <c r="B1626" t="s">
        <v>4367</v>
      </c>
      <c r="C1626" t="s">
        <v>2435</v>
      </c>
    </row>
    <row r="1627" spans="2:3" x14ac:dyDescent="0.25">
      <c r="B1627" t="s">
        <v>4369</v>
      </c>
      <c r="C1627" t="s">
        <v>4367</v>
      </c>
    </row>
    <row r="1628" spans="2:3" x14ac:dyDescent="0.25">
      <c r="B1628" t="s">
        <v>2607</v>
      </c>
      <c r="C1628" t="s">
        <v>4367</v>
      </c>
    </row>
    <row r="1629" spans="2:3" x14ac:dyDescent="0.25">
      <c r="B1629" t="s">
        <v>2605</v>
      </c>
      <c r="C1629" t="s">
        <v>2607</v>
      </c>
    </row>
    <row r="1630" spans="2:3" x14ac:dyDescent="0.25">
      <c r="B1630" t="s">
        <v>4372</v>
      </c>
      <c r="C1630" t="s">
        <v>2607</v>
      </c>
    </row>
    <row r="1631" spans="2:3" x14ac:dyDescent="0.25">
      <c r="B1631" t="s">
        <v>8718</v>
      </c>
      <c r="C1631" t="s">
        <v>4372</v>
      </c>
    </row>
    <row r="1632" spans="2:3" x14ac:dyDescent="0.25">
      <c r="B1632" t="s">
        <v>8719</v>
      </c>
      <c r="C1632" t="s">
        <v>4372</v>
      </c>
    </row>
    <row r="1633" spans="2:3" x14ac:dyDescent="0.25">
      <c r="B1633" t="s">
        <v>8720</v>
      </c>
      <c r="C1633" t="s">
        <v>4372</v>
      </c>
    </row>
    <row r="1634" spans="2:3" x14ac:dyDescent="0.25">
      <c r="B1634" t="s">
        <v>4374</v>
      </c>
      <c r="C1634" t="s">
        <v>2607</v>
      </c>
    </row>
    <row r="1635" spans="2:3" x14ac:dyDescent="0.25">
      <c r="B1635" t="s">
        <v>4377</v>
      </c>
      <c r="C1635" t="s">
        <v>4367</v>
      </c>
    </row>
    <row r="1636" spans="2:3" x14ac:dyDescent="0.25">
      <c r="B1636" t="s">
        <v>4379</v>
      </c>
      <c r="C1636" t="s">
        <v>4377</v>
      </c>
    </row>
    <row r="1637" spans="2:3" x14ac:dyDescent="0.25">
      <c r="B1637" t="s">
        <v>4381</v>
      </c>
      <c r="C1637" t="s">
        <v>4379</v>
      </c>
    </row>
    <row r="1638" spans="2:3" x14ac:dyDescent="0.25">
      <c r="B1638" t="s">
        <v>4383</v>
      </c>
      <c r="C1638" t="s">
        <v>4379</v>
      </c>
    </row>
    <row r="1639" spans="2:3" x14ac:dyDescent="0.25">
      <c r="B1639" t="s">
        <v>4385</v>
      </c>
      <c r="C1639" t="s">
        <v>4377</v>
      </c>
    </row>
    <row r="1640" spans="2:3" x14ac:dyDescent="0.25">
      <c r="B1640" t="s">
        <v>4387</v>
      </c>
      <c r="C1640" t="s">
        <v>4385</v>
      </c>
    </row>
    <row r="1641" spans="2:3" x14ac:dyDescent="0.25">
      <c r="B1641" t="s">
        <v>4389</v>
      </c>
      <c r="C1641" t="s">
        <v>4385</v>
      </c>
    </row>
    <row r="1642" spans="2:3" x14ac:dyDescent="0.25">
      <c r="B1642" t="s">
        <v>4391</v>
      </c>
      <c r="C1642" t="s">
        <v>4377</v>
      </c>
    </row>
    <row r="1643" spans="2:3" x14ac:dyDescent="0.25">
      <c r="B1643" t="s">
        <v>4393</v>
      </c>
      <c r="C1643" t="s">
        <v>4391</v>
      </c>
    </row>
    <row r="1644" spans="2:3" x14ac:dyDescent="0.25">
      <c r="B1644" t="s">
        <v>4395</v>
      </c>
      <c r="C1644" t="s">
        <v>4391</v>
      </c>
    </row>
    <row r="1645" spans="2:3" x14ac:dyDescent="0.25">
      <c r="B1645" t="s">
        <v>4397</v>
      </c>
      <c r="C1645" t="s">
        <v>4377</v>
      </c>
    </row>
    <row r="1646" spans="2:3" x14ac:dyDescent="0.25">
      <c r="B1646" t="s">
        <v>4399</v>
      </c>
      <c r="C1646" t="s">
        <v>4397</v>
      </c>
    </row>
    <row r="1647" spans="2:3" x14ac:dyDescent="0.25">
      <c r="B1647" t="s">
        <v>4401</v>
      </c>
      <c r="C1647" t="s">
        <v>4397</v>
      </c>
    </row>
    <row r="1648" spans="2:3" x14ac:dyDescent="0.25">
      <c r="B1648" t="s">
        <v>4403</v>
      </c>
      <c r="C1648" t="s">
        <v>4377</v>
      </c>
    </row>
    <row r="1649" spans="2:3" x14ac:dyDescent="0.25">
      <c r="B1649" t="s">
        <v>4405</v>
      </c>
      <c r="C1649" t="s">
        <v>4403</v>
      </c>
    </row>
    <row r="1650" spans="2:3" x14ac:dyDescent="0.25">
      <c r="B1650" t="s">
        <v>4407</v>
      </c>
      <c r="C1650" t="s">
        <v>4403</v>
      </c>
    </row>
    <row r="1651" spans="2:3" x14ac:dyDescent="0.25">
      <c r="B1651" t="s">
        <v>4409</v>
      </c>
      <c r="C1651" t="s">
        <v>4377</v>
      </c>
    </row>
    <row r="1652" spans="2:3" x14ac:dyDescent="0.25">
      <c r="B1652" t="s">
        <v>4411</v>
      </c>
      <c r="C1652" t="s">
        <v>4409</v>
      </c>
    </row>
    <row r="1653" spans="2:3" x14ac:dyDescent="0.25">
      <c r="B1653" t="s">
        <v>4413</v>
      </c>
      <c r="C1653" t="s">
        <v>4409</v>
      </c>
    </row>
    <row r="1654" spans="2:3" x14ac:dyDescent="0.25">
      <c r="B1654" t="s">
        <v>4415</v>
      </c>
      <c r="C1654" t="s">
        <v>4409</v>
      </c>
    </row>
    <row r="1655" spans="2:3" x14ac:dyDescent="0.25">
      <c r="B1655" t="s">
        <v>4417</v>
      </c>
      <c r="C1655" t="s">
        <v>4377</v>
      </c>
    </row>
    <row r="1656" spans="2:3" x14ac:dyDescent="0.25">
      <c r="B1656" t="s">
        <v>4419</v>
      </c>
      <c r="C1656" t="s">
        <v>4417</v>
      </c>
    </row>
    <row r="1657" spans="2:3" x14ac:dyDescent="0.25">
      <c r="B1657" t="s">
        <v>4421</v>
      </c>
      <c r="C1657" t="s">
        <v>4417</v>
      </c>
    </row>
    <row r="1658" spans="2:3" x14ac:dyDescent="0.25">
      <c r="B1658" t="s">
        <v>4423</v>
      </c>
      <c r="C1658" t="s">
        <v>4377</v>
      </c>
    </row>
    <row r="1659" spans="2:3" x14ac:dyDescent="0.25">
      <c r="B1659" t="s">
        <v>4425</v>
      </c>
      <c r="C1659" t="s">
        <v>4423</v>
      </c>
    </row>
    <row r="1660" spans="2:3" x14ac:dyDescent="0.25">
      <c r="B1660" t="s">
        <v>4427</v>
      </c>
      <c r="C1660" t="s">
        <v>4377</v>
      </c>
    </row>
    <row r="1661" spans="2:3" x14ac:dyDescent="0.25">
      <c r="B1661" t="s">
        <v>4429</v>
      </c>
      <c r="C1661" t="s">
        <v>4427</v>
      </c>
    </row>
    <row r="1662" spans="2:3" x14ac:dyDescent="0.25">
      <c r="B1662" t="s">
        <v>4431</v>
      </c>
      <c r="C1662" t="s">
        <v>4427</v>
      </c>
    </row>
    <row r="1663" spans="2:3" x14ac:dyDescent="0.25">
      <c r="B1663" t="s">
        <v>8721</v>
      </c>
      <c r="C1663" t="s">
        <v>4377</v>
      </c>
    </row>
    <row r="1664" spans="2:3" x14ac:dyDescent="0.25">
      <c r="B1664" t="s">
        <v>4433</v>
      </c>
      <c r="C1664" t="s">
        <v>4367</v>
      </c>
    </row>
    <row r="1665" spans="2:3" x14ac:dyDescent="0.25">
      <c r="B1665" t="s">
        <v>8722</v>
      </c>
      <c r="C1665" t="s">
        <v>4433</v>
      </c>
    </row>
    <row r="1666" spans="2:3" x14ac:dyDescent="0.25">
      <c r="B1666" t="s">
        <v>8723</v>
      </c>
      <c r="C1666" t="s">
        <v>4433</v>
      </c>
    </row>
    <row r="1667" spans="2:3" x14ac:dyDescent="0.25">
      <c r="B1667" t="s">
        <v>8724</v>
      </c>
      <c r="C1667" t="s">
        <v>4367</v>
      </c>
    </row>
    <row r="1668" spans="2:3" x14ac:dyDescent="0.25">
      <c r="B1668" t="s">
        <v>8725</v>
      </c>
      <c r="C1668" t="s">
        <v>8724</v>
      </c>
    </row>
    <row r="1669" spans="2:3" x14ac:dyDescent="0.25">
      <c r="B1669" t="s">
        <v>4435</v>
      </c>
      <c r="C1669" t="s">
        <v>8724</v>
      </c>
    </row>
    <row r="1670" spans="2:3" x14ac:dyDescent="0.25">
      <c r="B1670" t="s">
        <v>4437</v>
      </c>
      <c r="C1670" t="s">
        <v>4435</v>
      </c>
    </row>
    <row r="1671" spans="2:3" x14ac:dyDescent="0.25">
      <c r="B1671" t="s">
        <v>8726</v>
      </c>
      <c r="C1671" t="s">
        <v>4437</v>
      </c>
    </row>
    <row r="1672" spans="2:3" x14ac:dyDescent="0.25">
      <c r="B1672" t="s">
        <v>4439</v>
      </c>
      <c r="C1672" t="s">
        <v>4435</v>
      </c>
    </row>
    <row r="1673" spans="2:3" x14ac:dyDescent="0.25">
      <c r="B1673" t="s">
        <v>4441</v>
      </c>
      <c r="C1673" t="s">
        <v>4435</v>
      </c>
    </row>
    <row r="1674" spans="2:3" x14ac:dyDescent="0.25">
      <c r="B1674" t="s">
        <v>4445</v>
      </c>
      <c r="C1674" t="s">
        <v>4435</v>
      </c>
    </row>
    <row r="1675" spans="2:3" x14ac:dyDescent="0.25">
      <c r="B1675" t="s">
        <v>4447</v>
      </c>
      <c r="C1675" t="s">
        <v>4435</v>
      </c>
    </row>
    <row r="1676" spans="2:3" x14ac:dyDescent="0.25">
      <c r="B1676" t="s">
        <v>4449</v>
      </c>
      <c r="C1676" t="s">
        <v>4435</v>
      </c>
    </row>
    <row r="1677" spans="2:3" x14ac:dyDescent="0.25">
      <c r="B1677" t="s">
        <v>4451</v>
      </c>
      <c r="C1677" t="s">
        <v>8724</v>
      </c>
    </row>
    <row r="1678" spans="2:3" x14ac:dyDescent="0.25">
      <c r="B1678" t="s">
        <v>4453</v>
      </c>
      <c r="C1678" t="s">
        <v>4451</v>
      </c>
    </row>
    <row r="1679" spans="2:3" x14ac:dyDescent="0.25">
      <c r="B1679" t="s">
        <v>4455</v>
      </c>
      <c r="C1679" t="s">
        <v>4451</v>
      </c>
    </row>
    <row r="1680" spans="2:3" x14ac:dyDescent="0.25">
      <c r="B1680" t="s">
        <v>4457</v>
      </c>
      <c r="C1680" t="s">
        <v>4451</v>
      </c>
    </row>
    <row r="1681" spans="2:3" x14ac:dyDescent="0.25">
      <c r="B1681" t="s">
        <v>4459</v>
      </c>
      <c r="C1681" t="s">
        <v>4451</v>
      </c>
    </row>
    <row r="1682" spans="2:3" x14ac:dyDescent="0.25">
      <c r="B1682" t="s">
        <v>4461</v>
      </c>
      <c r="C1682" t="s">
        <v>4451</v>
      </c>
    </row>
    <row r="1683" spans="2:3" x14ac:dyDescent="0.25">
      <c r="B1683" t="s">
        <v>4463</v>
      </c>
      <c r="C1683" t="s">
        <v>4451</v>
      </c>
    </row>
    <row r="1684" spans="2:3" x14ac:dyDescent="0.25">
      <c r="B1684" t="s">
        <v>4467</v>
      </c>
      <c r="C1684" t="s">
        <v>4451</v>
      </c>
    </row>
    <row r="1685" spans="2:3" x14ac:dyDescent="0.25">
      <c r="B1685" t="s">
        <v>8727</v>
      </c>
      <c r="C1685" t="s">
        <v>4467</v>
      </c>
    </row>
    <row r="1686" spans="2:3" x14ac:dyDescent="0.25">
      <c r="B1686" t="s">
        <v>4465</v>
      </c>
      <c r="C1686" t="s">
        <v>4451</v>
      </c>
    </row>
    <row r="1687" spans="2:3" x14ac:dyDescent="0.25">
      <c r="B1687" t="s">
        <v>4469</v>
      </c>
      <c r="C1687" t="s">
        <v>8724</v>
      </c>
    </row>
    <row r="1688" spans="2:3" x14ac:dyDescent="0.25">
      <c r="B1688" t="s">
        <v>4471</v>
      </c>
      <c r="C1688" t="s">
        <v>4469</v>
      </c>
    </row>
    <row r="1689" spans="2:3" x14ac:dyDescent="0.25">
      <c r="B1689" t="s">
        <v>4483</v>
      </c>
      <c r="C1689" t="s">
        <v>4469</v>
      </c>
    </row>
    <row r="1690" spans="2:3" x14ac:dyDescent="0.25">
      <c r="B1690" t="s">
        <v>4762</v>
      </c>
      <c r="C1690" t="s">
        <v>4483</v>
      </c>
    </row>
    <row r="1691" spans="2:3" x14ac:dyDescent="0.25">
      <c r="B1691" t="s">
        <v>1625</v>
      </c>
      <c r="C1691" t="s">
        <v>4483</v>
      </c>
    </row>
    <row r="1692" spans="2:3" x14ac:dyDescent="0.25">
      <c r="B1692" t="s">
        <v>1635</v>
      </c>
      <c r="C1692" t="s">
        <v>1625</v>
      </c>
    </row>
    <row r="1693" spans="2:3" x14ac:dyDescent="0.25">
      <c r="B1693" t="s">
        <v>1636</v>
      </c>
      <c r="C1693" t="s">
        <v>1625</v>
      </c>
    </row>
    <row r="1694" spans="2:3" x14ac:dyDescent="0.25">
      <c r="B1694" t="s">
        <v>4485</v>
      </c>
      <c r="C1694" t="s">
        <v>4469</v>
      </c>
    </row>
    <row r="1695" spans="2:3" x14ac:dyDescent="0.25">
      <c r="B1695" t="s">
        <v>3215</v>
      </c>
      <c r="C1695" t="s">
        <v>4469</v>
      </c>
    </row>
    <row r="1696" spans="2:3" x14ac:dyDescent="0.25">
      <c r="B1696" t="s">
        <v>7997</v>
      </c>
      <c r="C1696" t="s">
        <v>3215</v>
      </c>
    </row>
    <row r="1697" spans="2:3" x14ac:dyDescent="0.25">
      <c r="B1697" t="s">
        <v>4769</v>
      </c>
      <c r="C1697" t="s">
        <v>4469</v>
      </c>
    </row>
    <row r="1698" spans="2:3" x14ac:dyDescent="0.25">
      <c r="B1698" t="s">
        <v>4492</v>
      </c>
      <c r="C1698" t="s">
        <v>4469</v>
      </c>
    </row>
    <row r="1699" spans="2:3" x14ac:dyDescent="0.25">
      <c r="B1699" t="s">
        <v>4498</v>
      </c>
      <c r="C1699" t="s">
        <v>4469</v>
      </c>
    </row>
    <row r="1700" spans="2:3" x14ac:dyDescent="0.25">
      <c r="B1700" t="s">
        <v>2050</v>
      </c>
      <c r="C1700" t="s">
        <v>4367</v>
      </c>
    </row>
    <row r="1701" spans="2:3" x14ac:dyDescent="0.25">
      <c r="B1701" t="s">
        <v>4503</v>
      </c>
      <c r="C1701" t="s">
        <v>2050</v>
      </c>
    </row>
    <row r="1702" spans="2:3" x14ac:dyDescent="0.25">
      <c r="B1702" t="s">
        <v>1627</v>
      </c>
      <c r="C1702" t="s">
        <v>2050</v>
      </c>
    </row>
    <row r="1703" spans="2:3" x14ac:dyDescent="0.25">
      <c r="B1703" t="s">
        <v>1629</v>
      </c>
      <c r="C1703" t="s">
        <v>2050</v>
      </c>
    </row>
    <row r="1704" spans="2:3" x14ac:dyDescent="0.25">
      <c r="B1704" t="s">
        <v>2048</v>
      </c>
      <c r="C1704" t="s">
        <v>2050</v>
      </c>
    </row>
    <row r="1705" spans="2:3" x14ac:dyDescent="0.25">
      <c r="B1705" t="s">
        <v>2053</v>
      </c>
      <c r="C1705" t="s">
        <v>2048</v>
      </c>
    </row>
    <row r="1706" spans="2:3" x14ac:dyDescent="0.25">
      <c r="B1706" t="s">
        <v>2051</v>
      </c>
      <c r="C1706" t="s">
        <v>2053</v>
      </c>
    </row>
    <row r="1707" spans="2:3" x14ac:dyDescent="0.25">
      <c r="B1707" t="s">
        <v>2889</v>
      </c>
      <c r="C1707" t="s">
        <v>2051</v>
      </c>
    </row>
    <row r="1708" spans="2:3" x14ac:dyDescent="0.25">
      <c r="B1708" t="s">
        <v>2891</v>
      </c>
      <c r="C1708" t="s">
        <v>2051</v>
      </c>
    </row>
    <row r="1709" spans="2:3" x14ac:dyDescent="0.25">
      <c r="B1709" t="s">
        <v>2893</v>
      </c>
      <c r="C1709" t="s">
        <v>2051</v>
      </c>
    </row>
    <row r="1710" spans="2:3" x14ac:dyDescent="0.25">
      <c r="B1710" t="s">
        <v>2895</v>
      </c>
      <c r="C1710" t="s">
        <v>2051</v>
      </c>
    </row>
    <row r="1711" spans="2:3" x14ac:dyDescent="0.25">
      <c r="B1711" t="s">
        <v>2897</v>
      </c>
      <c r="C1711" t="s">
        <v>2051</v>
      </c>
    </row>
    <row r="1712" spans="2:3" x14ac:dyDescent="0.25">
      <c r="B1712" t="s">
        <v>2899</v>
      </c>
      <c r="C1712" t="s">
        <v>2051</v>
      </c>
    </row>
    <row r="1713" spans="2:3" x14ac:dyDescent="0.25">
      <c r="B1713" t="s">
        <v>2901</v>
      </c>
      <c r="C1713" t="s">
        <v>2051</v>
      </c>
    </row>
    <row r="1714" spans="2:3" x14ac:dyDescent="0.25">
      <c r="B1714" t="s">
        <v>2903</v>
      </c>
      <c r="C1714" t="s">
        <v>2051</v>
      </c>
    </row>
    <row r="1715" spans="2:3" x14ac:dyDescent="0.25">
      <c r="B1715" t="s">
        <v>2905</v>
      </c>
      <c r="C1715" t="s">
        <v>2051</v>
      </c>
    </row>
    <row r="1716" spans="2:3" x14ac:dyDescent="0.25">
      <c r="B1716" t="s">
        <v>2907</v>
      </c>
      <c r="C1716" t="s">
        <v>2051</v>
      </c>
    </row>
    <row r="1717" spans="2:3" x14ac:dyDescent="0.25">
      <c r="B1717" t="s">
        <v>4506</v>
      </c>
      <c r="C1717" t="s">
        <v>2907</v>
      </c>
    </row>
    <row r="1718" spans="2:3" x14ac:dyDescent="0.25">
      <c r="B1718" t="s">
        <v>2054</v>
      </c>
      <c r="C1718" t="s">
        <v>2053</v>
      </c>
    </row>
    <row r="1719" spans="2:3" x14ac:dyDescent="0.25">
      <c r="B1719" t="s">
        <v>3182</v>
      </c>
      <c r="C1719" t="s">
        <v>2054</v>
      </c>
    </row>
    <row r="1720" spans="2:3" x14ac:dyDescent="0.25">
      <c r="B1720" t="s">
        <v>2058</v>
      </c>
      <c r="C1720" t="s">
        <v>2048</v>
      </c>
    </row>
    <row r="1721" spans="2:3" x14ac:dyDescent="0.25">
      <c r="B1721" t="s">
        <v>2056</v>
      </c>
      <c r="C1721" t="s">
        <v>2058</v>
      </c>
    </row>
    <row r="1722" spans="2:3" x14ac:dyDescent="0.25">
      <c r="B1722" t="s">
        <v>2910</v>
      </c>
      <c r="C1722" t="s">
        <v>2056</v>
      </c>
    </row>
    <row r="1723" spans="2:3" x14ac:dyDescent="0.25">
      <c r="B1723" t="s">
        <v>2912</v>
      </c>
      <c r="C1723" t="s">
        <v>2056</v>
      </c>
    </row>
    <row r="1724" spans="2:3" x14ac:dyDescent="0.25">
      <c r="B1724" t="s">
        <v>2914</v>
      </c>
      <c r="C1724" t="s">
        <v>2056</v>
      </c>
    </row>
    <row r="1725" spans="2:3" x14ac:dyDescent="0.25">
      <c r="B1725" t="s">
        <v>2916</v>
      </c>
      <c r="C1725" t="s">
        <v>2056</v>
      </c>
    </row>
    <row r="1726" spans="2:3" x14ac:dyDescent="0.25">
      <c r="B1726" t="s">
        <v>2918</v>
      </c>
      <c r="C1726" t="s">
        <v>2056</v>
      </c>
    </row>
    <row r="1727" spans="2:3" x14ac:dyDescent="0.25">
      <c r="B1727" t="s">
        <v>2920</v>
      </c>
      <c r="C1727" t="s">
        <v>2056</v>
      </c>
    </row>
    <row r="1728" spans="2:3" x14ac:dyDescent="0.25">
      <c r="B1728" t="s">
        <v>2922</v>
      </c>
      <c r="C1728" t="s">
        <v>2056</v>
      </c>
    </row>
    <row r="1729" spans="2:3" x14ac:dyDescent="0.25">
      <c r="B1729" t="s">
        <v>2924</v>
      </c>
      <c r="C1729" t="s">
        <v>2056</v>
      </c>
    </row>
    <row r="1730" spans="2:3" x14ac:dyDescent="0.25">
      <c r="B1730" t="s">
        <v>2926</v>
      </c>
      <c r="C1730" t="s">
        <v>2056</v>
      </c>
    </row>
    <row r="1731" spans="2:3" x14ac:dyDescent="0.25">
      <c r="B1731" t="s">
        <v>2928</v>
      </c>
      <c r="C1731" t="s">
        <v>2056</v>
      </c>
    </row>
    <row r="1732" spans="2:3" x14ac:dyDescent="0.25">
      <c r="B1732" t="s">
        <v>4508</v>
      </c>
      <c r="C1732" t="s">
        <v>2928</v>
      </c>
    </row>
    <row r="1733" spans="2:3" x14ac:dyDescent="0.25">
      <c r="B1733" t="s">
        <v>2059</v>
      </c>
      <c r="C1733" t="s">
        <v>2058</v>
      </c>
    </row>
    <row r="1734" spans="2:3" x14ac:dyDescent="0.25">
      <c r="B1734" t="s">
        <v>3183</v>
      </c>
      <c r="C1734" t="s">
        <v>2059</v>
      </c>
    </row>
    <row r="1735" spans="2:3" x14ac:dyDescent="0.25">
      <c r="B1735" t="s">
        <v>2063</v>
      </c>
      <c r="C1735" t="s">
        <v>2048</v>
      </c>
    </row>
    <row r="1736" spans="2:3" x14ac:dyDescent="0.25">
      <c r="B1736" t="s">
        <v>2061</v>
      </c>
      <c r="C1736" t="s">
        <v>2063</v>
      </c>
    </row>
    <row r="1737" spans="2:3" x14ac:dyDescent="0.25">
      <c r="B1737" t="s">
        <v>2931</v>
      </c>
      <c r="C1737" t="s">
        <v>2061</v>
      </c>
    </row>
    <row r="1738" spans="2:3" x14ac:dyDescent="0.25">
      <c r="B1738" t="s">
        <v>2933</v>
      </c>
      <c r="C1738" t="s">
        <v>2061</v>
      </c>
    </row>
    <row r="1739" spans="2:3" x14ac:dyDescent="0.25">
      <c r="B1739" t="s">
        <v>2935</v>
      </c>
      <c r="C1739" t="s">
        <v>2061</v>
      </c>
    </row>
    <row r="1740" spans="2:3" x14ac:dyDescent="0.25">
      <c r="B1740" t="s">
        <v>2937</v>
      </c>
      <c r="C1740" t="s">
        <v>2061</v>
      </c>
    </row>
    <row r="1741" spans="2:3" x14ac:dyDescent="0.25">
      <c r="B1741" t="s">
        <v>2939</v>
      </c>
      <c r="C1741" t="s">
        <v>2061</v>
      </c>
    </row>
    <row r="1742" spans="2:3" x14ac:dyDescent="0.25">
      <c r="B1742" t="s">
        <v>2941</v>
      </c>
      <c r="C1742" t="s">
        <v>2061</v>
      </c>
    </row>
    <row r="1743" spans="2:3" x14ac:dyDescent="0.25">
      <c r="B1743" t="s">
        <v>2943</v>
      </c>
      <c r="C1743" t="s">
        <v>2061</v>
      </c>
    </row>
    <row r="1744" spans="2:3" x14ac:dyDescent="0.25">
      <c r="B1744" t="s">
        <v>2945</v>
      </c>
      <c r="C1744" t="s">
        <v>2061</v>
      </c>
    </row>
    <row r="1745" spans="2:3" x14ac:dyDescent="0.25">
      <c r="B1745" t="s">
        <v>2947</v>
      </c>
      <c r="C1745" t="s">
        <v>2061</v>
      </c>
    </row>
    <row r="1746" spans="2:3" x14ac:dyDescent="0.25">
      <c r="B1746" t="s">
        <v>2949</v>
      </c>
      <c r="C1746" t="s">
        <v>2061</v>
      </c>
    </row>
    <row r="1747" spans="2:3" x14ac:dyDescent="0.25">
      <c r="B1747" t="s">
        <v>4510</v>
      </c>
      <c r="C1747" t="s">
        <v>2949</v>
      </c>
    </row>
    <row r="1748" spans="2:3" x14ac:dyDescent="0.25">
      <c r="B1748" t="s">
        <v>2064</v>
      </c>
      <c r="C1748" t="s">
        <v>2063</v>
      </c>
    </row>
    <row r="1749" spans="2:3" x14ac:dyDescent="0.25">
      <c r="B1749" t="s">
        <v>3184</v>
      </c>
      <c r="C1749" t="s">
        <v>2064</v>
      </c>
    </row>
    <row r="1750" spans="2:3" x14ac:dyDescent="0.25">
      <c r="B1750" t="s">
        <v>2951</v>
      </c>
      <c r="C1750" t="s">
        <v>2048</v>
      </c>
    </row>
    <row r="1751" spans="2:3" x14ac:dyDescent="0.25">
      <c r="B1751" t="s">
        <v>8728</v>
      </c>
      <c r="C1751" t="s">
        <v>2951</v>
      </c>
    </row>
    <row r="1752" spans="2:3" x14ac:dyDescent="0.25">
      <c r="B1752" t="s">
        <v>2649</v>
      </c>
      <c r="C1752" t="s">
        <v>2951</v>
      </c>
    </row>
    <row r="1753" spans="2:3" x14ac:dyDescent="0.25">
      <c r="B1753" t="s">
        <v>2953</v>
      </c>
      <c r="C1753" t="s">
        <v>2649</v>
      </c>
    </row>
    <row r="1754" spans="2:3" x14ac:dyDescent="0.25">
      <c r="B1754" t="s">
        <v>2955</v>
      </c>
      <c r="C1754" t="s">
        <v>2649</v>
      </c>
    </row>
    <row r="1755" spans="2:3" x14ac:dyDescent="0.25">
      <c r="B1755" t="s">
        <v>2957</v>
      </c>
      <c r="C1755" t="s">
        <v>2649</v>
      </c>
    </row>
    <row r="1756" spans="2:3" x14ac:dyDescent="0.25">
      <c r="B1756" t="s">
        <v>2959</v>
      </c>
      <c r="C1756" t="s">
        <v>2649</v>
      </c>
    </row>
    <row r="1757" spans="2:3" x14ac:dyDescent="0.25">
      <c r="B1757" t="s">
        <v>2961</v>
      </c>
      <c r="C1757" t="s">
        <v>2649</v>
      </c>
    </row>
    <row r="1758" spans="2:3" x14ac:dyDescent="0.25">
      <c r="B1758" t="s">
        <v>2963</v>
      </c>
      <c r="C1758" t="s">
        <v>2649</v>
      </c>
    </row>
    <row r="1759" spans="2:3" x14ac:dyDescent="0.25">
      <c r="B1759" t="s">
        <v>2965</v>
      </c>
      <c r="C1759" t="s">
        <v>2649</v>
      </c>
    </row>
    <row r="1760" spans="2:3" x14ac:dyDescent="0.25">
      <c r="B1760" t="s">
        <v>2967</v>
      </c>
      <c r="C1760" t="s">
        <v>2649</v>
      </c>
    </row>
    <row r="1761" spans="2:3" x14ac:dyDescent="0.25">
      <c r="B1761" t="s">
        <v>3269</v>
      </c>
      <c r="C1761" t="s">
        <v>2649</v>
      </c>
    </row>
    <row r="1762" spans="2:3" x14ac:dyDescent="0.25">
      <c r="B1762" t="s">
        <v>2068</v>
      </c>
      <c r="C1762" t="s">
        <v>2951</v>
      </c>
    </row>
    <row r="1763" spans="2:3" x14ac:dyDescent="0.25">
      <c r="B1763" t="s">
        <v>2066</v>
      </c>
      <c r="C1763" t="s">
        <v>2068</v>
      </c>
    </row>
    <row r="1764" spans="2:3" x14ac:dyDescent="0.25">
      <c r="B1764" t="s">
        <v>2970</v>
      </c>
      <c r="C1764" t="s">
        <v>2951</v>
      </c>
    </row>
    <row r="1765" spans="2:3" x14ac:dyDescent="0.25">
      <c r="B1765" t="s">
        <v>2071</v>
      </c>
      <c r="C1765" t="s">
        <v>2048</v>
      </c>
    </row>
    <row r="1766" spans="2:3" x14ac:dyDescent="0.25">
      <c r="B1766" t="s">
        <v>2069</v>
      </c>
      <c r="C1766" t="s">
        <v>2071</v>
      </c>
    </row>
    <row r="1767" spans="2:3" x14ac:dyDescent="0.25">
      <c r="B1767" t="s">
        <v>2973</v>
      </c>
      <c r="C1767" t="s">
        <v>2069</v>
      </c>
    </row>
    <row r="1768" spans="2:3" x14ac:dyDescent="0.25">
      <c r="B1768" t="s">
        <v>4513</v>
      </c>
      <c r="C1768" t="s">
        <v>2973</v>
      </c>
    </row>
    <row r="1769" spans="2:3" x14ac:dyDescent="0.25">
      <c r="B1769" t="s">
        <v>4515</v>
      </c>
      <c r="C1769" t="s">
        <v>2973</v>
      </c>
    </row>
    <row r="1770" spans="2:3" x14ac:dyDescent="0.25">
      <c r="B1770" t="s">
        <v>4517</v>
      </c>
      <c r="C1770" t="s">
        <v>4515</v>
      </c>
    </row>
    <row r="1771" spans="2:3" x14ac:dyDescent="0.25">
      <c r="B1771" t="s">
        <v>4519</v>
      </c>
      <c r="C1771" t="s">
        <v>4515</v>
      </c>
    </row>
    <row r="1772" spans="2:3" x14ac:dyDescent="0.25">
      <c r="B1772" t="s">
        <v>4521</v>
      </c>
      <c r="C1772" t="s">
        <v>2973</v>
      </c>
    </row>
    <row r="1773" spans="2:3" x14ac:dyDescent="0.25">
      <c r="B1773" t="s">
        <v>4523</v>
      </c>
      <c r="C1773" t="s">
        <v>4521</v>
      </c>
    </row>
    <row r="1774" spans="2:3" x14ac:dyDescent="0.25">
      <c r="B1774" t="s">
        <v>4525</v>
      </c>
      <c r="C1774" t="s">
        <v>4521</v>
      </c>
    </row>
    <row r="1775" spans="2:3" x14ac:dyDescent="0.25">
      <c r="B1775" t="s">
        <v>4527</v>
      </c>
      <c r="C1775" t="s">
        <v>4521</v>
      </c>
    </row>
    <row r="1776" spans="2:3" x14ac:dyDescent="0.25">
      <c r="B1776" t="s">
        <v>2975</v>
      </c>
      <c r="C1776" t="s">
        <v>2069</v>
      </c>
    </row>
    <row r="1777" spans="2:3" x14ac:dyDescent="0.25">
      <c r="B1777" t="s">
        <v>2977</v>
      </c>
      <c r="C1777" t="s">
        <v>2069</v>
      </c>
    </row>
    <row r="1778" spans="2:3" x14ac:dyDescent="0.25">
      <c r="B1778" t="s">
        <v>2979</v>
      </c>
      <c r="C1778" t="s">
        <v>2069</v>
      </c>
    </row>
    <row r="1779" spans="2:3" x14ac:dyDescent="0.25">
      <c r="B1779" t="s">
        <v>2981</v>
      </c>
      <c r="C1779" t="s">
        <v>2069</v>
      </c>
    </row>
    <row r="1780" spans="2:3" x14ac:dyDescent="0.25">
      <c r="B1780" t="s">
        <v>2983</v>
      </c>
      <c r="C1780" t="s">
        <v>2069</v>
      </c>
    </row>
    <row r="1781" spans="2:3" x14ac:dyDescent="0.25">
      <c r="B1781" t="s">
        <v>2985</v>
      </c>
      <c r="C1781" t="s">
        <v>2069</v>
      </c>
    </row>
    <row r="1782" spans="2:3" x14ac:dyDescent="0.25">
      <c r="B1782" t="s">
        <v>2987</v>
      </c>
      <c r="C1782" t="s">
        <v>2069</v>
      </c>
    </row>
    <row r="1783" spans="2:3" x14ac:dyDescent="0.25">
      <c r="B1783" t="s">
        <v>2989</v>
      </c>
      <c r="C1783" t="s">
        <v>2069</v>
      </c>
    </row>
    <row r="1784" spans="2:3" x14ac:dyDescent="0.25">
      <c r="B1784" t="s">
        <v>8729</v>
      </c>
      <c r="C1784" t="s">
        <v>2989</v>
      </c>
    </row>
    <row r="1785" spans="2:3" x14ac:dyDescent="0.25">
      <c r="B1785" t="s">
        <v>2991</v>
      </c>
      <c r="C1785" t="s">
        <v>2069</v>
      </c>
    </row>
    <row r="1786" spans="2:3" x14ac:dyDescent="0.25">
      <c r="B1786" t="s">
        <v>4529</v>
      </c>
      <c r="C1786" t="s">
        <v>2991</v>
      </c>
    </row>
    <row r="1787" spans="2:3" x14ac:dyDescent="0.25">
      <c r="B1787" t="s">
        <v>2072</v>
      </c>
      <c r="C1787" t="s">
        <v>2071</v>
      </c>
    </row>
    <row r="1788" spans="2:3" x14ac:dyDescent="0.25">
      <c r="B1788" t="s">
        <v>3185</v>
      </c>
      <c r="C1788" t="s">
        <v>2072</v>
      </c>
    </row>
    <row r="1789" spans="2:3" x14ac:dyDescent="0.25">
      <c r="B1789" t="s">
        <v>3186</v>
      </c>
      <c r="C1789" t="s">
        <v>2072</v>
      </c>
    </row>
    <row r="1790" spans="2:3" x14ac:dyDescent="0.25">
      <c r="B1790" t="s">
        <v>4531</v>
      </c>
      <c r="C1790" t="s">
        <v>4367</v>
      </c>
    </row>
    <row r="1791" spans="2:3" x14ac:dyDescent="0.25">
      <c r="B1791" t="s">
        <v>4541</v>
      </c>
      <c r="C1791" t="s">
        <v>4531</v>
      </c>
    </row>
    <row r="1792" spans="2:3" x14ac:dyDescent="0.25">
      <c r="B1792" t="s">
        <v>4545</v>
      </c>
      <c r="C1792" t="s">
        <v>4531</v>
      </c>
    </row>
    <row r="1793" spans="2:3" x14ac:dyDescent="0.25">
      <c r="B1793" t="s">
        <v>4547</v>
      </c>
      <c r="C1793" t="s">
        <v>4531</v>
      </c>
    </row>
    <row r="1794" spans="2:3" x14ac:dyDescent="0.25">
      <c r="B1794" t="s">
        <v>8730</v>
      </c>
      <c r="C1794" t="s">
        <v>4547</v>
      </c>
    </row>
    <row r="1795" spans="2:3" x14ac:dyDescent="0.25">
      <c r="B1795" t="s">
        <v>4549</v>
      </c>
      <c r="C1795" t="s">
        <v>4531</v>
      </c>
    </row>
    <row r="1796" spans="2:3" x14ac:dyDescent="0.25">
      <c r="B1796" t="s">
        <v>4551</v>
      </c>
      <c r="C1796" t="s">
        <v>4531</v>
      </c>
    </row>
    <row r="1797" spans="2:3" x14ac:dyDescent="0.25">
      <c r="B1797" t="s">
        <v>4443</v>
      </c>
      <c r="C1797" t="s">
        <v>4551</v>
      </c>
    </row>
    <row r="1798" spans="2:3" x14ac:dyDescent="0.25">
      <c r="B1798" t="s">
        <v>8731</v>
      </c>
      <c r="C1798" t="s">
        <v>4551</v>
      </c>
    </row>
    <row r="1799" spans="2:3" x14ac:dyDescent="0.25">
      <c r="B1799" t="s">
        <v>4533</v>
      </c>
      <c r="C1799" t="s">
        <v>4531</v>
      </c>
    </row>
    <row r="1800" spans="2:3" x14ac:dyDescent="0.25">
      <c r="B1800" t="s">
        <v>8732</v>
      </c>
      <c r="C1800" t="s">
        <v>4533</v>
      </c>
    </row>
    <row r="1801" spans="2:3" x14ac:dyDescent="0.25">
      <c r="B1801" t="s">
        <v>4539</v>
      </c>
      <c r="C1801" t="s">
        <v>4533</v>
      </c>
    </row>
    <row r="1802" spans="2:3" x14ac:dyDescent="0.25">
      <c r="B1802" t="s">
        <v>4535</v>
      </c>
      <c r="C1802" t="s">
        <v>4533</v>
      </c>
    </row>
    <row r="1803" spans="2:3" x14ac:dyDescent="0.25">
      <c r="B1803" t="s">
        <v>4537</v>
      </c>
      <c r="C1803" t="s">
        <v>4533</v>
      </c>
    </row>
    <row r="1804" spans="2:3" x14ac:dyDescent="0.25">
      <c r="B1804" t="s">
        <v>4543</v>
      </c>
      <c r="C1804" t="s">
        <v>4533</v>
      </c>
    </row>
    <row r="1805" spans="2:3" x14ac:dyDescent="0.25">
      <c r="B1805" t="s">
        <v>8733</v>
      </c>
      <c r="C1805" t="s">
        <v>4533</v>
      </c>
    </row>
    <row r="1806" spans="2:3" x14ac:dyDescent="0.25">
      <c r="B1806" t="s">
        <v>8734</v>
      </c>
      <c r="C1806" t="s">
        <v>4531</v>
      </c>
    </row>
    <row r="1807" spans="2:3" x14ac:dyDescent="0.25">
      <c r="B1807" t="s">
        <v>8735</v>
      </c>
      <c r="C1807" t="s">
        <v>4531</v>
      </c>
    </row>
    <row r="1808" spans="2:3" x14ac:dyDescent="0.25">
      <c r="B1808" t="s">
        <v>4557</v>
      </c>
      <c r="C1808" t="s">
        <v>8735</v>
      </c>
    </row>
    <row r="1809" spans="2:3" x14ac:dyDescent="0.25">
      <c r="B1809" t="s">
        <v>8736</v>
      </c>
      <c r="C1809" t="s">
        <v>4367</v>
      </c>
    </row>
    <row r="1810" spans="2:3" x14ac:dyDescent="0.25">
      <c r="B1810" t="s">
        <v>8737</v>
      </c>
      <c r="C1810" t="s">
        <v>8736</v>
      </c>
    </row>
    <row r="1811" spans="2:3" x14ac:dyDescent="0.25">
      <c r="B1811" t="s">
        <v>8738</v>
      </c>
      <c r="C1811" t="s">
        <v>8736</v>
      </c>
    </row>
    <row r="1812" spans="2:3" x14ac:dyDescent="0.25">
      <c r="B1812" t="s">
        <v>8739</v>
      </c>
      <c r="C1812" t="s">
        <v>8736</v>
      </c>
    </row>
    <row r="1813" spans="2:3" x14ac:dyDescent="0.25">
      <c r="B1813" t="s">
        <v>8740</v>
      </c>
      <c r="C1813" t="s">
        <v>8739</v>
      </c>
    </row>
    <row r="1814" spans="2:3" x14ac:dyDescent="0.25">
      <c r="B1814" t="s">
        <v>8741</v>
      </c>
      <c r="C1814" t="s">
        <v>8736</v>
      </c>
    </row>
    <row r="1815" spans="2:3" x14ac:dyDescent="0.25">
      <c r="B1815" t="s">
        <v>4553</v>
      </c>
      <c r="C1815" t="s">
        <v>4367</v>
      </c>
    </row>
    <row r="1816" spans="2:3" x14ac:dyDescent="0.25">
      <c r="B1816" t="s">
        <v>4555</v>
      </c>
      <c r="C1816" t="s">
        <v>4553</v>
      </c>
    </row>
    <row r="1817" spans="2:3" x14ac:dyDescent="0.25">
      <c r="B1817" t="s">
        <v>1612</v>
      </c>
      <c r="C1817" t="s">
        <v>4367</v>
      </c>
    </row>
    <row r="1818" spans="2:3" x14ac:dyDescent="0.25">
      <c r="B1818" t="s">
        <v>4560</v>
      </c>
      <c r="C1818" t="s">
        <v>1612</v>
      </c>
    </row>
    <row r="1819" spans="2:3" x14ac:dyDescent="0.25">
      <c r="B1819" t="s">
        <v>4562</v>
      </c>
      <c r="C1819" t="s">
        <v>1612</v>
      </c>
    </row>
    <row r="1820" spans="2:3" x14ac:dyDescent="0.25">
      <c r="B1820" t="s">
        <v>4564</v>
      </c>
      <c r="C1820" t="s">
        <v>1612</v>
      </c>
    </row>
    <row r="1821" spans="2:3" x14ac:dyDescent="0.25">
      <c r="B1821" t="s">
        <v>1610</v>
      </c>
      <c r="C1821" t="s">
        <v>1612</v>
      </c>
    </row>
    <row r="1822" spans="2:3" x14ac:dyDescent="0.25">
      <c r="B1822" t="s">
        <v>1637</v>
      </c>
      <c r="C1822" t="s">
        <v>1610</v>
      </c>
    </row>
    <row r="1823" spans="2:3" x14ac:dyDescent="0.25">
      <c r="B1823" t="s">
        <v>4568</v>
      </c>
      <c r="C1823" t="s">
        <v>1637</v>
      </c>
    </row>
    <row r="1824" spans="2:3" x14ac:dyDescent="0.25">
      <c r="B1824" t="s">
        <v>4570</v>
      </c>
      <c r="C1824" t="s">
        <v>1637</v>
      </c>
    </row>
    <row r="1825" spans="2:3" x14ac:dyDescent="0.25">
      <c r="B1825" t="s">
        <v>1638</v>
      </c>
      <c r="C1825" t="s">
        <v>1610</v>
      </c>
    </row>
    <row r="1826" spans="2:3" x14ac:dyDescent="0.25">
      <c r="B1826" t="s">
        <v>5942</v>
      </c>
      <c r="C1826" t="s">
        <v>4367</v>
      </c>
    </row>
    <row r="1827" spans="2:3" x14ac:dyDescent="0.25">
      <c r="B1827" t="s">
        <v>5944</v>
      </c>
      <c r="C1827" t="s">
        <v>5942</v>
      </c>
    </row>
    <row r="1828" spans="2:3" x14ac:dyDescent="0.25">
      <c r="B1828" t="s">
        <v>5946</v>
      </c>
      <c r="C1828" t="s">
        <v>5942</v>
      </c>
    </row>
    <row r="1829" spans="2:3" x14ac:dyDescent="0.25">
      <c r="B1829" t="s">
        <v>5948</v>
      </c>
      <c r="C1829" t="s">
        <v>5942</v>
      </c>
    </row>
    <row r="1830" spans="2:3" x14ac:dyDescent="0.25">
      <c r="B1830" t="s">
        <v>5950</v>
      </c>
      <c r="C1830" t="s">
        <v>5942</v>
      </c>
    </row>
    <row r="1831" spans="2:3" x14ac:dyDescent="0.25">
      <c r="B1831" t="s">
        <v>5952</v>
      </c>
      <c r="C1831" t="s">
        <v>5942</v>
      </c>
    </row>
    <row r="1832" spans="2:3" x14ac:dyDescent="0.25">
      <c r="B1832" t="s">
        <v>4573</v>
      </c>
      <c r="C1832" t="s">
        <v>2435</v>
      </c>
    </row>
    <row r="1833" spans="2:3" x14ac:dyDescent="0.25">
      <c r="B1833" t="s">
        <v>2653</v>
      </c>
      <c r="C1833" t="s">
        <v>4573</v>
      </c>
    </row>
    <row r="1834" spans="2:3" x14ac:dyDescent="0.25">
      <c r="B1834" t="s">
        <v>8742</v>
      </c>
      <c r="C1834" t="s">
        <v>2653</v>
      </c>
    </row>
    <row r="1835" spans="2:3" x14ac:dyDescent="0.25">
      <c r="B1835" t="s">
        <v>8743</v>
      </c>
      <c r="C1835" t="s">
        <v>2653</v>
      </c>
    </row>
    <row r="1836" spans="2:3" x14ac:dyDescent="0.25">
      <c r="B1836" t="s">
        <v>8744</v>
      </c>
      <c r="C1836" t="s">
        <v>2653</v>
      </c>
    </row>
    <row r="1837" spans="2:3" x14ac:dyDescent="0.25">
      <c r="B1837" t="s">
        <v>1624</v>
      </c>
      <c r="C1837" t="s">
        <v>2435</v>
      </c>
    </row>
    <row r="1838" spans="2:3" x14ac:dyDescent="0.25">
      <c r="B1838" t="s">
        <v>1622</v>
      </c>
      <c r="C1838" t="s">
        <v>1624</v>
      </c>
    </row>
    <row r="1839" spans="2:3" x14ac:dyDescent="0.25">
      <c r="B1839" t="s">
        <v>2431</v>
      </c>
      <c r="C1839" t="s">
        <v>1622</v>
      </c>
    </row>
    <row r="1840" spans="2:3" x14ac:dyDescent="0.25">
      <c r="B1840" t="s">
        <v>2076</v>
      </c>
      <c r="C1840" t="s">
        <v>1622</v>
      </c>
    </row>
    <row r="1841" spans="2:3" x14ac:dyDescent="0.25">
      <c r="B1841" t="s">
        <v>2651</v>
      </c>
      <c r="C1841" t="s">
        <v>2076</v>
      </c>
    </row>
    <row r="1842" spans="2:3" x14ac:dyDescent="0.25">
      <c r="B1842" t="s">
        <v>2074</v>
      </c>
      <c r="C1842" t="s">
        <v>2076</v>
      </c>
    </row>
    <row r="1843" spans="2:3" x14ac:dyDescent="0.25">
      <c r="B1843" t="s">
        <v>2077</v>
      </c>
      <c r="C1843" t="s">
        <v>2076</v>
      </c>
    </row>
    <row r="1844" spans="2:3" x14ac:dyDescent="0.25">
      <c r="B1844" t="s">
        <v>2688</v>
      </c>
      <c r="C1844" t="s">
        <v>2435</v>
      </c>
    </row>
    <row r="1845" spans="2:3" x14ac:dyDescent="0.25">
      <c r="B1845" t="s">
        <v>2445</v>
      </c>
      <c r="C1845" t="s">
        <v>2688</v>
      </c>
    </row>
    <row r="1846" spans="2:3" x14ac:dyDescent="0.25">
      <c r="B1846" t="s">
        <v>2693</v>
      </c>
      <c r="C1846" t="s">
        <v>2445</v>
      </c>
    </row>
    <row r="1847" spans="2:3" x14ac:dyDescent="0.25">
      <c r="B1847" t="s">
        <v>8745</v>
      </c>
      <c r="C1847" t="s">
        <v>2693</v>
      </c>
    </row>
    <row r="1848" spans="2:3" x14ac:dyDescent="0.25">
      <c r="B1848" t="s">
        <v>8746</v>
      </c>
      <c r="C1848" t="s">
        <v>2693</v>
      </c>
    </row>
    <row r="1849" spans="2:3" x14ac:dyDescent="0.25">
      <c r="B1849" t="s">
        <v>8747</v>
      </c>
      <c r="C1849" t="s">
        <v>2693</v>
      </c>
    </row>
    <row r="1850" spans="2:3" x14ac:dyDescent="0.25">
      <c r="B1850" t="s">
        <v>8748</v>
      </c>
      <c r="C1850" t="s">
        <v>2693</v>
      </c>
    </row>
    <row r="1851" spans="2:3" x14ac:dyDescent="0.25">
      <c r="B1851" t="s">
        <v>2695</v>
      </c>
      <c r="C1851" t="s">
        <v>2445</v>
      </c>
    </row>
    <row r="1852" spans="2:3" x14ac:dyDescent="0.25">
      <c r="B1852" t="s">
        <v>2697</v>
      </c>
      <c r="C1852" t="s">
        <v>2445</v>
      </c>
    </row>
    <row r="1853" spans="2:3" x14ac:dyDescent="0.25">
      <c r="B1853" t="s">
        <v>2443</v>
      </c>
      <c r="C1853" t="s">
        <v>2445</v>
      </c>
    </row>
    <row r="1854" spans="2:3" x14ac:dyDescent="0.25">
      <c r="B1854" t="s">
        <v>2446</v>
      </c>
      <c r="C1854" t="s">
        <v>2443</v>
      </c>
    </row>
    <row r="1855" spans="2:3" x14ac:dyDescent="0.25">
      <c r="B1855" t="s">
        <v>2448</v>
      </c>
      <c r="C1855" t="s">
        <v>2446</v>
      </c>
    </row>
    <row r="1856" spans="2:3" x14ac:dyDescent="0.25">
      <c r="B1856" t="s">
        <v>2450</v>
      </c>
      <c r="C1856" t="s">
        <v>2448</v>
      </c>
    </row>
    <row r="1857" spans="2:3" x14ac:dyDescent="0.25">
      <c r="B1857" t="s">
        <v>2452</v>
      </c>
      <c r="C1857" t="s">
        <v>2448</v>
      </c>
    </row>
    <row r="1858" spans="2:3" x14ac:dyDescent="0.25">
      <c r="B1858" t="s">
        <v>2454</v>
      </c>
      <c r="C1858" t="s">
        <v>2446</v>
      </c>
    </row>
    <row r="1859" spans="2:3" x14ac:dyDescent="0.25">
      <c r="B1859" t="s">
        <v>2456</v>
      </c>
      <c r="C1859" t="s">
        <v>2443</v>
      </c>
    </row>
    <row r="1860" spans="2:3" x14ac:dyDescent="0.25">
      <c r="B1860" t="s">
        <v>2458</v>
      </c>
      <c r="C1860" t="s">
        <v>2456</v>
      </c>
    </row>
    <row r="1861" spans="2:3" x14ac:dyDescent="0.25">
      <c r="B1861" t="s">
        <v>2460</v>
      </c>
      <c r="C1861" t="s">
        <v>2458</v>
      </c>
    </row>
    <row r="1862" spans="2:3" x14ac:dyDescent="0.25">
      <c r="B1862" t="s">
        <v>2462</v>
      </c>
      <c r="C1862" t="s">
        <v>2458</v>
      </c>
    </row>
    <row r="1863" spans="2:3" x14ac:dyDescent="0.25">
      <c r="B1863" t="s">
        <v>2464</v>
      </c>
      <c r="C1863" t="s">
        <v>2456</v>
      </c>
    </row>
    <row r="1864" spans="2:3" x14ac:dyDescent="0.25">
      <c r="B1864" t="s">
        <v>2466</v>
      </c>
      <c r="C1864" t="s">
        <v>2445</v>
      </c>
    </row>
    <row r="1865" spans="2:3" x14ac:dyDescent="0.25">
      <c r="B1865" t="s">
        <v>2468</v>
      </c>
      <c r="C1865" t="s">
        <v>2445</v>
      </c>
    </row>
    <row r="1866" spans="2:3" x14ac:dyDescent="0.25">
      <c r="B1866" t="s">
        <v>2470</v>
      </c>
      <c r="C1866" t="s">
        <v>2445</v>
      </c>
    </row>
    <row r="1867" spans="2:3" x14ac:dyDescent="0.25">
      <c r="B1867" t="s">
        <v>8749</v>
      </c>
      <c r="C1867" t="s">
        <v>2445</v>
      </c>
    </row>
    <row r="1868" spans="2:3" x14ac:dyDescent="0.25">
      <c r="B1868" t="s">
        <v>1621</v>
      </c>
      <c r="C1868" t="s">
        <v>2688</v>
      </c>
    </row>
    <row r="1869" spans="2:3" x14ac:dyDescent="0.25">
      <c r="B1869" t="s">
        <v>2700</v>
      </c>
      <c r="C1869" t="s">
        <v>1621</v>
      </c>
    </row>
    <row r="1870" spans="2:3" x14ac:dyDescent="0.25">
      <c r="B1870" t="s">
        <v>8750</v>
      </c>
      <c r="C1870" t="s">
        <v>2700</v>
      </c>
    </row>
    <row r="1871" spans="2:3" x14ac:dyDescent="0.25">
      <c r="B1871" t="s">
        <v>8751</v>
      </c>
      <c r="C1871" t="s">
        <v>2700</v>
      </c>
    </row>
    <row r="1872" spans="2:3" x14ac:dyDescent="0.25">
      <c r="B1872" t="s">
        <v>8752</v>
      </c>
      <c r="C1872" t="s">
        <v>2700</v>
      </c>
    </row>
    <row r="1873" spans="2:3" x14ac:dyDescent="0.25">
      <c r="B1873" t="s">
        <v>8753</v>
      </c>
      <c r="C1873" t="s">
        <v>2700</v>
      </c>
    </row>
    <row r="1874" spans="2:3" x14ac:dyDescent="0.25">
      <c r="B1874" t="s">
        <v>2702</v>
      </c>
      <c r="C1874" t="s">
        <v>1621</v>
      </c>
    </row>
    <row r="1875" spans="2:3" x14ac:dyDescent="0.25">
      <c r="B1875" t="s">
        <v>2704</v>
      </c>
      <c r="C1875" t="s">
        <v>1621</v>
      </c>
    </row>
    <row r="1876" spans="2:3" x14ac:dyDescent="0.25">
      <c r="B1876" t="s">
        <v>2706</v>
      </c>
      <c r="C1876" t="s">
        <v>1621</v>
      </c>
    </row>
    <row r="1877" spans="2:3" x14ac:dyDescent="0.25">
      <c r="B1877" t="s">
        <v>2472</v>
      </c>
      <c r="C1877" t="s">
        <v>1621</v>
      </c>
    </row>
    <row r="1878" spans="2:3" x14ac:dyDescent="0.25">
      <c r="B1878" t="s">
        <v>2474</v>
      </c>
      <c r="C1878" t="s">
        <v>2472</v>
      </c>
    </row>
    <row r="1879" spans="2:3" x14ac:dyDescent="0.25">
      <c r="B1879" t="s">
        <v>2476</v>
      </c>
      <c r="C1879" t="s">
        <v>2474</v>
      </c>
    </row>
    <row r="1880" spans="2:3" x14ac:dyDescent="0.25">
      <c r="B1880" t="s">
        <v>2478</v>
      </c>
      <c r="C1880" t="s">
        <v>2476</v>
      </c>
    </row>
    <row r="1881" spans="2:3" x14ac:dyDescent="0.25">
      <c r="B1881" t="s">
        <v>2480</v>
      </c>
      <c r="C1881" t="s">
        <v>2476</v>
      </c>
    </row>
    <row r="1882" spans="2:3" x14ac:dyDescent="0.25">
      <c r="B1882" t="s">
        <v>2482</v>
      </c>
      <c r="C1882" t="s">
        <v>2474</v>
      </c>
    </row>
    <row r="1883" spans="2:3" x14ac:dyDescent="0.25">
      <c r="B1883" t="s">
        <v>2484</v>
      </c>
      <c r="C1883" t="s">
        <v>2472</v>
      </c>
    </row>
    <row r="1884" spans="2:3" x14ac:dyDescent="0.25">
      <c r="B1884" t="s">
        <v>2486</v>
      </c>
      <c r="C1884" t="s">
        <v>2484</v>
      </c>
    </row>
    <row r="1885" spans="2:3" x14ac:dyDescent="0.25">
      <c r="B1885" t="s">
        <v>2488</v>
      </c>
      <c r="C1885" t="s">
        <v>2486</v>
      </c>
    </row>
    <row r="1886" spans="2:3" x14ac:dyDescent="0.25">
      <c r="B1886" t="s">
        <v>2490</v>
      </c>
      <c r="C1886" t="s">
        <v>2486</v>
      </c>
    </row>
    <row r="1887" spans="2:3" x14ac:dyDescent="0.25">
      <c r="B1887" t="s">
        <v>2492</v>
      </c>
      <c r="C1887" t="s">
        <v>2484</v>
      </c>
    </row>
    <row r="1888" spans="2:3" x14ac:dyDescent="0.25">
      <c r="B1888" t="s">
        <v>2494</v>
      </c>
      <c r="C1888" t="s">
        <v>1621</v>
      </c>
    </row>
    <row r="1889" spans="2:3" x14ac:dyDescent="0.25">
      <c r="B1889" t="s">
        <v>2496</v>
      </c>
      <c r="C1889" t="s">
        <v>1621</v>
      </c>
    </row>
    <row r="1890" spans="2:3" x14ac:dyDescent="0.25">
      <c r="B1890" t="s">
        <v>8754</v>
      </c>
      <c r="C1890" t="s">
        <v>1621</v>
      </c>
    </row>
    <row r="1891" spans="2:3" x14ac:dyDescent="0.25">
      <c r="B1891" t="s">
        <v>2500</v>
      </c>
      <c r="C1891" t="s">
        <v>2688</v>
      </c>
    </row>
    <row r="1892" spans="2:3" x14ac:dyDescent="0.25">
      <c r="B1892" t="s">
        <v>2709</v>
      </c>
      <c r="C1892" t="s">
        <v>2500</v>
      </c>
    </row>
    <row r="1893" spans="2:3" x14ac:dyDescent="0.25">
      <c r="B1893" t="s">
        <v>8005</v>
      </c>
      <c r="C1893" t="s">
        <v>2709</v>
      </c>
    </row>
    <row r="1894" spans="2:3" x14ac:dyDescent="0.25">
      <c r="B1894" t="s">
        <v>8755</v>
      </c>
      <c r="C1894" t="s">
        <v>2709</v>
      </c>
    </row>
    <row r="1895" spans="2:3" x14ac:dyDescent="0.25">
      <c r="B1895" t="s">
        <v>8756</v>
      </c>
      <c r="C1895" t="s">
        <v>2709</v>
      </c>
    </row>
    <row r="1896" spans="2:3" x14ac:dyDescent="0.25">
      <c r="B1896" t="s">
        <v>8757</v>
      </c>
      <c r="C1896" t="s">
        <v>2709</v>
      </c>
    </row>
    <row r="1897" spans="2:3" x14ac:dyDescent="0.25">
      <c r="B1897" t="s">
        <v>2711</v>
      </c>
      <c r="C1897" t="s">
        <v>2500</v>
      </c>
    </row>
    <row r="1898" spans="2:3" x14ac:dyDescent="0.25">
      <c r="B1898" t="s">
        <v>2713</v>
      </c>
      <c r="C1898" t="s">
        <v>2500</v>
      </c>
    </row>
    <row r="1899" spans="2:3" x14ac:dyDescent="0.25">
      <c r="B1899" t="s">
        <v>2715</v>
      </c>
      <c r="C1899" t="s">
        <v>2500</v>
      </c>
    </row>
    <row r="1900" spans="2:3" x14ac:dyDescent="0.25">
      <c r="B1900" t="s">
        <v>2717</v>
      </c>
      <c r="C1900" t="s">
        <v>2500</v>
      </c>
    </row>
    <row r="1901" spans="2:3" x14ac:dyDescent="0.25">
      <c r="B1901" t="s">
        <v>2498</v>
      </c>
      <c r="C1901" t="s">
        <v>2500</v>
      </c>
    </row>
    <row r="1902" spans="2:3" x14ac:dyDescent="0.25">
      <c r="B1902" t="s">
        <v>2501</v>
      </c>
      <c r="C1902" t="s">
        <v>2498</v>
      </c>
    </row>
    <row r="1903" spans="2:3" x14ac:dyDescent="0.25">
      <c r="B1903" t="s">
        <v>2503</v>
      </c>
      <c r="C1903" t="s">
        <v>2501</v>
      </c>
    </row>
    <row r="1904" spans="2:3" x14ac:dyDescent="0.25">
      <c r="B1904" t="s">
        <v>2505</v>
      </c>
      <c r="C1904" t="s">
        <v>2503</v>
      </c>
    </row>
    <row r="1905" spans="2:3" x14ac:dyDescent="0.25">
      <c r="B1905" t="s">
        <v>2507</v>
      </c>
      <c r="C1905" t="s">
        <v>2503</v>
      </c>
    </row>
    <row r="1906" spans="2:3" x14ac:dyDescent="0.25">
      <c r="B1906" t="s">
        <v>2509</v>
      </c>
      <c r="C1906" t="s">
        <v>2501</v>
      </c>
    </row>
    <row r="1907" spans="2:3" x14ac:dyDescent="0.25">
      <c r="B1907" t="s">
        <v>2511</v>
      </c>
      <c r="C1907" t="s">
        <v>2500</v>
      </c>
    </row>
    <row r="1908" spans="2:3" x14ac:dyDescent="0.25">
      <c r="B1908" t="s">
        <v>8758</v>
      </c>
      <c r="C1908" t="s">
        <v>2500</v>
      </c>
    </row>
    <row r="1909" spans="2:3" x14ac:dyDescent="0.25">
      <c r="B1909" t="s">
        <v>2719</v>
      </c>
      <c r="C1909" t="s">
        <v>2688</v>
      </c>
    </row>
    <row r="1910" spans="2:3" x14ac:dyDescent="0.25">
      <c r="B1910" t="s">
        <v>8759</v>
      </c>
      <c r="C1910" t="s">
        <v>2688</v>
      </c>
    </row>
    <row r="1911" spans="2:3" x14ac:dyDescent="0.25">
      <c r="B1911" t="s">
        <v>8760</v>
      </c>
      <c r="C1911" t="s">
        <v>2688</v>
      </c>
    </row>
    <row r="1912" spans="2:3" x14ac:dyDescent="0.25">
      <c r="B1912" t="s">
        <v>8761</v>
      </c>
      <c r="C1912" t="s">
        <v>2688</v>
      </c>
    </row>
    <row r="1913" spans="2:3" x14ac:dyDescent="0.25">
      <c r="B1913" t="s">
        <v>4656</v>
      </c>
      <c r="C1913" t="s">
        <v>2688</v>
      </c>
    </row>
    <row r="1914" spans="2:3" x14ac:dyDescent="0.25">
      <c r="B1914" t="s">
        <v>4725</v>
      </c>
      <c r="C1914" t="s">
        <v>4656</v>
      </c>
    </row>
    <row r="1915" spans="2:3" x14ac:dyDescent="0.25">
      <c r="B1915" t="s">
        <v>4727</v>
      </c>
      <c r="C1915" t="s">
        <v>4656</v>
      </c>
    </row>
    <row r="1916" spans="2:3" x14ac:dyDescent="0.25">
      <c r="B1916" t="s">
        <v>2690</v>
      </c>
      <c r="C1916" t="s">
        <v>4656</v>
      </c>
    </row>
    <row r="1917" spans="2:3" x14ac:dyDescent="0.25">
      <c r="B1917" t="s">
        <v>4729</v>
      </c>
      <c r="C1917" t="s">
        <v>2688</v>
      </c>
    </row>
    <row r="1918" spans="2:3" x14ac:dyDescent="0.25">
      <c r="B1918" t="s">
        <v>4731</v>
      </c>
      <c r="C1918" t="s">
        <v>4729</v>
      </c>
    </row>
    <row r="1919" spans="2:3" x14ac:dyDescent="0.25">
      <c r="B1919" t="s">
        <v>4857</v>
      </c>
      <c r="C1919" t="s">
        <v>2688</v>
      </c>
    </row>
    <row r="1920" spans="2:3" x14ac:dyDescent="0.25">
      <c r="B1920" t="s">
        <v>6434</v>
      </c>
      <c r="C1920" t="s">
        <v>4857</v>
      </c>
    </row>
    <row r="1921" spans="2:3" x14ac:dyDescent="0.25">
      <c r="B1921" t="s">
        <v>6435</v>
      </c>
      <c r="C1921" t="s">
        <v>6434</v>
      </c>
    </row>
    <row r="1922" spans="2:3" x14ac:dyDescent="0.25">
      <c r="B1922" t="s">
        <v>6436</v>
      </c>
      <c r="C1922" t="s">
        <v>6434</v>
      </c>
    </row>
    <row r="1923" spans="2:3" x14ac:dyDescent="0.25">
      <c r="B1923" t="s">
        <v>6437</v>
      </c>
      <c r="C1923" t="s">
        <v>6434</v>
      </c>
    </row>
    <row r="1924" spans="2:3" x14ac:dyDescent="0.25">
      <c r="B1924" t="s">
        <v>4859</v>
      </c>
      <c r="C1924" t="s">
        <v>2688</v>
      </c>
    </row>
    <row r="1925" spans="2:3" x14ac:dyDescent="0.25">
      <c r="B1925" t="s">
        <v>4865</v>
      </c>
      <c r="C1925" t="s">
        <v>4859</v>
      </c>
    </row>
    <row r="1926" spans="2:3" x14ac:dyDescent="0.25">
      <c r="B1926" t="s">
        <v>4887</v>
      </c>
      <c r="C1926" t="s">
        <v>4865</v>
      </c>
    </row>
    <row r="1927" spans="2:3" x14ac:dyDescent="0.25">
      <c r="B1927" t="s">
        <v>4889</v>
      </c>
      <c r="C1927" t="s">
        <v>4865</v>
      </c>
    </row>
    <row r="1928" spans="2:3" x14ac:dyDescent="0.25">
      <c r="B1928" t="s">
        <v>4891</v>
      </c>
      <c r="C1928" t="s">
        <v>4865</v>
      </c>
    </row>
    <row r="1929" spans="2:3" x14ac:dyDescent="0.25">
      <c r="B1929" t="s">
        <v>4893</v>
      </c>
      <c r="C1929" t="s">
        <v>4865</v>
      </c>
    </row>
    <row r="1930" spans="2:3" x14ac:dyDescent="0.25">
      <c r="B1930" t="s">
        <v>4895</v>
      </c>
      <c r="C1930" t="s">
        <v>4865</v>
      </c>
    </row>
    <row r="1931" spans="2:3" x14ac:dyDescent="0.25">
      <c r="B1931" t="s">
        <v>4867</v>
      </c>
      <c r="C1931" t="s">
        <v>4859</v>
      </c>
    </row>
    <row r="1932" spans="2:3" x14ac:dyDescent="0.25">
      <c r="B1932" t="s">
        <v>4897</v>
      </c>
      <c r="C1932" t="s">
        <v>4867</v>
      </c>
    </row>
    <row r="1933" spans="2:3" x14ac:dyDescent="0.25">
      <c r="B1933" t="s">
        <v>4899</v>
      </c>
      <c r="C1933" t="s">
        <v>4867</v>
      </c>
    </row>
    <row r="1934" spans="2:3" x14ac:dyDescent="0.25">
      <c r="B1934" t="s">
        <v>4901</v>
      </c>
      <c r="C1934" t="s">
        <v>4867</v>
      </c>
    </row>
    <row r="1935" spans="2:3" x14ac:dyDescent="0.25">
      <c r="B1935" t="s">
        <v>4868</v>
      </c>
      <c r="C1935" t="s">
        <v>4859</v>
      </c>
    </row>
    <row r="1936" spans="2:3" x14ac:dyDescent="0.25">
      <c r="B1936" t="s">
        <v>4903</v>
      </c>
      <c r="C1936" t="s">
        <v>4868</v>
      </c>
    </row>
    <row r="1937" spans="2:3" x14ac:dyDescent="0.25">
      <c r="B1937" t="s">
        <v>4905</v>
      </c>
      <c r="C1937" t="s">
        <v>4868</v>
      </c>
    </row>
    <row r="1938" spans="2:3" x14ac:dyDescent="0.25">
      <c r="B1938" t="s">
        <v>4907</v>
      </c>
      <c r="C1938" t="s">
        <v>4868</v>
      </c>
    </row>
    <row r="1939" spans="2:3" x14ac:dyDescent="0.25">
      <c r="B1939" t="s">
        <v>4870</v>
      </c>
      <c r="C1939" t="s">
        <v>4859</v>
      </c>
    </row>
    <row r="1940" spans="2:3" x14ac:dyDescent="0.25">
      <c r="B1940" t="s">
        <v>4909</v>
      </c>
      <c r="C1940" t="s">
        <v>4870</v>
      </c>
    </row>
    <row r="1941" spans="2:3" x14ac:dyDescent="0.25">
      <c r="B1941" t="s">
        <v>4910</v>
      </c>
      <c r="C1941" t="s">
        <v>4870</v>
      </c>
    </row>
    <row r="1942" spans="2:3" x14ac:dyDescent="0.25">
      <c r="B1942" t="s">
        <v>4911</v>
      </c>
      <c r="C1942" t="s">
        <v>4870</v>
      </c>
    </row>
    <row r="1943" spans="2:3" x14ac:dyDescent="0.25">
      <c r="B1943" t="s">
        <v>4871</v>
      </c>
      <c r="C1943" t="s">
        <v>4859</v>
      </c>
    </row>
    <row r="1944" spans="2:3" x14ac:dyDescent="0.25">
      <c r="B1944" t="s">
        <v>4861</v>
      </c>
      <c r="C1944" t="s">
        <v>2688</v>
      </c>
    </row>
    <row r="1945" spans="2:3" x14ac:dyDescent="0.25">
      <c r="B1945" t="s">
        <v>4873</v>
      </c>
      <c r="C1945" t="s">
        <v>4861</v>
      </c>
    </row>
    <row r="1946" spans="2:3" x14ac:dyDescent="0.25">
      <c r="B1946" t="s">
        <v>4912</v>
      </c>
      <c r="C1946" t="s">
        <v>4873</v>
      </c>
    </row>
    <row r="1947" spans="2:3" x14ac:dyDescent="0.25">
      <c r="B1947" t="s">
        <v>4913</v>
      </c>
      <c r="C1947" t="s">
        <v>4873</v>
      </c>
    </row>
    <row r="1948" spans="2:3" x14ac:dyDescent="0.25">
      <c r="B1948" t="s">
        <v>4914</v>
      </c>
      <c r="C1948" t="s">
        <v>4873</v>
      </c>
    </row>
    <row r="1949" spans="2:3" x14ac:dyDescent="0.25">
      <c r="B1949" t="s">
        <v>4875</v>
      </c>
      <c r="C1949" t="s">
        <v>4861</v>
      </c>
    </row>
    <row r="1950" spans="2:3" x14ac:dyDescent="0.25">
      <c r="B1950" t="s">
        <v>4915</v>
      </c>
      <c r="C1950" t="s">
        <v>4875</v>
      </c>
    </row>
    <row r="1951" spans="2:3" x14ac:dyDescent="0.25">
      <c r="B1951" t="s">
        <v>4916</v>
      </c>
      <c r="C1951" t="s">
        <v>4875</v>
      </c>
    </row>
    <row r="1952" spans="2:3" x14ac:dyDescent="0.25">
      <c r="B1952" t="s">
        <v>4917</v>
      </c>
      <c r="C1952" t="s">
        <v>4875</v>
      </c>
    </row>
    <row r="1953" spans="2:3" x14ac:dyDescent="0.25">
      <c r="B1953" t="s">
        <v>4877</v>
      </c>
      <c r="C1953" t="s">
        <v>4861</v>
      </c>
    </row>
    <row r="1954" spans="2:3" x14ac:dyDescent="0.25">
      <c r="B1954" t="s">
        <v>4918</v>
      </c>
      <c r="C1954" t="s">
        <v>4877</v>
      </c>
    </row>
    <row r="1955" spans="2:3" x14ac:dyDescent="0.25">
      <c r="B1955" t="s">
        <v>4919</v>
      </c>
      <c r="C1955" t="s">
        <v>4877</v>
      </c>
    </row>
    <row r="1956" spans="2:3" x14ac:dyDescent="0.25">
      <c r="B1956" t="s">
        <v>4920</v>
      </c>
      <c r="C1956" t="s">
        <v>4877</v>
      </c>
    </row>
    <row r="1957" spans="2:3" x14ac:dyDescent="0.25">
      <c r="B1957" t="s">
        <v>4879</v>
      </c>
      <c r="C1957" t="s">
        <v>4861</v>
      </c>
    </row>
    <row r="1958" spans="2:3" x14ac:dyDescent="0.25">
      <c r="B1958" t="s">
        <v>4921</v>
      </c>
      <c r="C1958" t="s">
        <v>4879</v>
      </c>
    </row>
    <row r="1959" spans="2:3" x14ac:dyDescent="0.25">
      <c r="B1959" t="s">
        <v>4922</v>
      </c>
      <c r="C1959" t="s">
        <v>4879</v>
      </c>
    </row>
    <row r="1960" spans="2:3" x14ac:dyDescent="0.25">
      <c r="B1960" t="s">
        <v>4923</v>
      </c>
      <c r="C1960" t="s">
        <v>4879</v>
      </c>
    </row>
    <row r="1961" spans="2:3" x14ac:dyDescent="0.25">
      <c r="B1961" t="s">
        <v>4882</v>
      </c>
      <c r="C1961" t="s">
        <v>4861</v>
      </c>
    </row>
    <row r="1962" spans="2:3" x14ac:dyDescent="0.25">
      <c r="B1962" t="s">
        <v>4924</v>
      </c>
      <c r="C1962" t="s">
        <v>4882</v>
      </c>
    </row>
    <row r="1963" spans="2:3" x14ac:dyDescent="0.25">
      <c r="B1963" t="s">
        <v>4925</v>
      </c>
      <c r="C1963" t="s">
        <v>4882</v>
      </c>
    </row>
    <row r="1964" spans="2:3" x14ac:dyDescent="0.25">
      <c r="B1964" t="s">
        <v>4926</v>
      </c>
      <c r="C1964" t="s">
        <v>4882</v>
      </c>
    </row>
    <row r="1965" spans="2:3" x14ac:dyDescent="0.25">
      <c r="B1965" t="s">
        <v>4863</v>
      </c>
      <c r="C1965" t="s">
        <v>2688</v>
      </c>
    </row>
    <row r="1966" spans="2:3" x14ac:dyDescent="0.25">
      <c r="B1966" t="s">
        <v>4884</v>
      </c>
      <c r="C1966" t="s">
        <v>4863</v>
      </c>
    </row>
    <row r="1967" spans="2:3" x14ac:dyDescent="0.25">
      <c r="B1967" t="s">
        <v>2433</v>
      </c>
      <c r="C1967" t="s">
        <v>2435</v>
      </c>
    </row>
    <row r="1968" spans="2:3" x14ac:dyDescent="0.25">
      <c r="B1968" t="s">
        <v>3161</v>
      </c>
      <c r="C1968" t="s">
        <v>2433</v>
      </c>
    </row>
    <row r="1969" spans="2:3" x14ac:dyDescent="0.25">
      <c r="B1969" t="s">
        <v>8762</v>
      </c>
      <c r="C1969" t="s">
        <v>3161</v>
      </c>
    </row>
    <row r="1970" spans="2:3" x14ac:dyDescent="0.25">
      <c r="B1970" t="s">
        <v>8763</v>
      </c>
      <c r="C1970" t="s">
        <v>8762</v>
      </c>
    </row>
    <row r="1971" spans="2:3" x14ac:dyDescent="0.25">
      <c r="B1971" t="s">
        <v>8764</v>
      </c>
      <c r="C1971" t="s">
        <v>8762</v>
      </c>
    </row>
    <row r="1972" spans="2:3" x14ac:dyDescent="0.25">
      <c r="B1972" t="s">
        <v>8007</v>
      </c>
      <c r="C1972" t="s">
        <v>8762</v>
      </c>
    </row>
    <row r="1973" spans="2:3" x14ac:dyDescent="0.25">
      <c r="B1973" t="s">
        <v>8765</v>
      </c>
      <c r="C1973" t="s">
        <v>8762</v>
      </c>
    </row>
    <row r="1974" spans="2:3" x14ac:dyDescent="0.25">
      <c r="B1974" t="s">
        <v>8766</v>
      </c>
      <c r="C1974" t="s">
        <v>8762</v>
      </c>
    </row>
    <row r="1975" spans="2:3" x14ac:dyDescent="0.25">
      <c r="B1975" t="s">
        <v>8767</v>
      </c>
      <c r="C1975" t="s">
        <v>8762</v>
      </c>
    </row>
    <row r="1976" spans="2:3" x14ac:dyDescent="0.25">
      <c r="B1976" t="s">
        <v>8768</v>
      </c>
      <c r="C1976" t="s">
        <v>3161</v>
      </c>
    </row>
    <row r="1977" spans="2:3" x14ac:dyDescent="0.25">
      <c r="B1977" t="s">
        <v>8009</v>
      </c>
      <c r="C1977" t="s">
        <v>3161</v>
      </c>
    </row>
    <row r="1978" spans="2:3" x14ac:dyDescent="0.25">
      <c r="B1978" t="s">
        <v>8769</v>
      </c>
      <c r="C1978" t="s">
        <v>3161</v>
      </c>
    </row>
    <row r="1979" spans="2:3" x14ac:dyDescent="0.25">
      <c r="B1979" t="s">
        <v>8770</v>
      </c>
      <c r="C1979" t="s">
        <v>3161</v>
      </c>
    </row>
    <row r="1980" spans="2:3" x14ac:dyDescent="0.25">
      <c r="B1980" t="s">
        <v>8011</v>
      </c>
      <c r="C1980" t="s">
        <v>3161</v>
      </c>
    </row>
    <row r="1981" spans="2:3" x14ac:dyDescent="0.25">
      <c r="B1981" t="s">
        <v>8771</v>
      </c>
      <c r="C1981" t="s">
        <v>3161</v>
      </c>
    </row>
    <row r="1982" spans="2:3" x14ac:dyDescent="0.25">
      <c r="B1982" t="s">
        <v>8772</v>
      </c>
      <c r="C1982" t="s">
        <v>8771</v>
      </c>
    </row>
    <row r="1983" spans="2:3" x14ac:dyDescent="0.25">
      <c r="B1983" t="s">
        <v>7806</v>
      </c>
      <c r="C1983" t="s">
        <v>3161</v>
      </c>
    </row>
    <row r="1984" spans="2:3" x14ac:dyDescent="0.25">
      <c r="B1984" t="s">
        <v>7807</v>
      </c>
      <c r="C1984" t="s">
        <v>3161</v>
      </c>
    </row>
    <row r="1985" spans="2:3" x14ac:dyDescent="0.25">
      <c r="B1985" t="s">
        <v>3163</v>
      </c>
      <c r="C1985" t="s">
        <v>2433</v>
      </c>
    </row>
    <row r="1986" spans="2:3" x14ac:dyDescent="0.25">
      <c r="B1986" t="s">
        <v>3170</v>
      </c>
      <c r="C1986" t="s">
        <v>2433</v>
      </c>
    </row>
    <row r="1987" spans="2:3" x14ac:dyDescent="0.25">
      <c r="B1987" t="s">
        <v>8773</v>
      </c>
      <c r="C1987" t="s">
        <v>3170</v>
      </c>
    </row>
    <row r="1988" spans="2:3" x14ac:dyDescent="0.25">
      <c r="B1988" t="s">
        <v>2625</v>
      </c>
      <c r="C1988" t="s">
        <v>3170</v>
      </c>
    </row>
    <row r="1989" spans="2:3" x14ac:dyDescent="0.25">
      <c r="B1989" t="s">
        <v>5898</v>
      </c>
      <c r="C1989" t="s">
        <v>2625</v>
      </c>
    </row>
    <row r="1990" spans="2:3" x14ac:dyDescent="0.25">
      <c r="B1990" t="s">
        <v>8774</v>
      </c>
      <c r="C1990" t="s">
        <v>2625</v>
      </c>
    </row>
    <row r="1991" spans="2:3" x14ac:dyDescent="0.25">
      <c r="B1991" t="s">
        <v>8775</v>
      </c>
      <c r="C1991" t="s">
        <v>2625</v>
      </c>
    </row>
    <row r="1992" spans="2:3" x14ac:dyDescent="0.25">
      <c r="B1992" t="s">
        <v>2722</v>
      </c>
      <c r="C1992" t="s">
        <v>2625</v>
      </c>
    </row>
    <row r="1993" spans="2:3" x14ac:dyDescent="0.25">
      <c r="B1993" t="s">
        <v>2724</v>
      </c>
      <c r="C1993" t="s">
        <v>2625</v>
      </c>
    </row>
    <row r="1994" spans="2:3" x14ac:dyDescent="0.25">
      <c r="B1994" t="s">
        <v>5902</v>
      </c>
      <c r="C1994" t="s">
        <v>2625</v>
      </c>
    </row>
    <row r="1995" spans="2:3" x14ac:dyDescent="0.25">
      <c r="B1995" t="s">
        <v>8776</v>
      </c>
      <c r="C1995" t="s">
        <v>2625</v>
      </c>
    </row>
    <row r="1996" spans="2:3" x14ac:dyDescent="0.25">
      <c r="B1996" t="s">
        <v>8777</v>
      </c>
      <c r="C1996" t="s">
        <v>2625</v>
      </c>
    </row>
    <row r="1997" spans="2:3" x14ac:dyDescent="0.25">
      <c r="B1997" t="s">
        <v>5904</v>
      </c>
      <c r="C1997" t="s">
        <v>2625</v>
      </c>
    </row>
    <row r="1998" spans="2:3" x14ac:dyDescent="0.25">
      <c r="B1998" t="s">
        <v>2726</v>
      </c>
      <c r="C1998" t="s">
        <v>2625</v>
      </c>
    </row>
    <row r="1999" spans="2:3" x14ac:dyDescent="0.25">
      <c r="B1999" t="s">
        <v>2728</v>
      </c>
      <c r="C1999" t="s">
        <v>2625</v>
      </c>
    </row>
    <row r="2000" spans="2:3" x14ac:dyDescent="0.25">
      <c r="B2000" t="s">
        <v>2730</v>
      </c>
      <c r="C2000" t="s">
        <v>2625</v>
      </c>
    </row>
    <row r="2001" spans="2:3" x14ac:dyDescent="0.25">
      <c r="B2001" t="s">
        <v>8778</v>
      </c>
      <c r="C2001" t="s">
        <v>2625</v>
      </c>
    </row>
    <row r="2002" spans="2:3" x14ac:dyDescent="0.25">
      <c r="B2002" t="s">
        <v>8779</v>
      </c>
      <c r="C2002" t="s">
        <v>2625</v>
      </c>
    </row>
    <row r="2003" spans="2:3" x14ac:dyDescent="0.25">
      <c r="B2003" t="s">
        <v>2623</v>
      </c>
      <c r="C2003" t="s">
        <v>2625</v>
      </c>
    </row>
    <row r="2004" spans="2:3" x14ac:dyDescent="0.25">
      <c r="B2004" t="s">
        <v>2626</v>
      </c>
      <c r="C2004" t="s">
        <v>2625</v>
      </c>
    </row>
    <row r="2005" spans="2:3" x14ac:dyDescent="0.25">
      <c r="B2005" t="s">
        <v>2628</v>
      </c>
      <c r="C2005" t="s">
        <v>2625</v>
      </c>
    </row>
    <row r="2006" spans="2:3" x14ac:dyDescent="0.25">
      <c r="B2006" t="s">
        <v>2630</v>
      </c>
      <c r="C2006" t="s">
        <v>2625</v>
      </c>
    </row>
    <row r="2007" spans="2:3" x14ac:dyDescent="0.25">
      <c r="B2007" t="s">
        <v>2632</v>
      </c>
      <c r="C2007" t="s">
        <v>2625</v>
      </c>
    </row>
    <row r="2008" spans="2:3" x14ac:dyDescent="0.25">
      <c r="B2008" t="s">
        <v>2634</v>
      </c>
      <c r="C2008" t="s">
        <v>2625</v>
      </c>
    </row>
    <row r="2009" spans="2:3" x14ac:dyDescent="0.25">
      <c r="B2009" t="s">
        <v>2636</v>
      </c>
      <c r="C2009" t="s">
        <v>2625</v>
      </c>
    </row>
    <row r="2010" spans="2:3" x14ac:dyDescent="0.25">
      <c r="B2010" t="s">
        <v>2638</v>
      </c>
      <c r="C2010" t="s">
        <v>2625</v>
      </c>
    </row>
    <row r="2011" spans="2:3" x14ac:dyDescent="0.25">
      <c r="B2011" t="s">
        <v>4703</v>
      </c>
      <c r="C2011" t="s">
        <v>2625</v>
      </c>
    </row>
    <row r="2012" spans="2:3" x14ac:dyDescent="0.25">
      <c r="B2012" t="s">
        <v>4705</v>
      </c>
      <c r="C2012" t="s">
        <v>2625</v>
      </c>
    </row>
    <row r="2013" spans="2:3" x14ac:dyDescent="0.25">
      <c r="B2013" t="s">
        <v>4707</v>
      </c>
      <c r="C2013" t="s">
        <v>2625</v>
      </c>
    </row>
    <row r="2014" spans="2:3" x14ac:dyDescent="0.25">
      <c r="B2014" t="s">
        <v>4709</v>
      </c>
      <c r="C2014" t="s">
        <v>2625</v>
      </c>
    </row>
    <row r="2015" spans="2:3" x14ac:dyDescent="0.25">
      <c r="B2015" t="s">
        <v>4711</v>
      </c>
      <c r="C2015" t="s">
        <v>2625</v>
      </c>
    </row>
    <row r="2016" spans="2:3" x14ac:dyDescent="0.25">
      <c r="B2016" t="s">
        <v>4713</v>
      </c>
      <c r="C2016" t="s">
        <v>2625</v>
      </c>
    </row>
    <row r="2017" spans="2:3" x14ac:dyDescent="0.25">
      <c r="B2017" t="s">
        <v>4715</v>
      </c>
      <c r="C2017" t="s">
        <v>2625</v>
      </c>
    </row>
    <row r="2018" spans="2:3" x14ac:dyDescent="0.25">
      <c r="B2018" t="s">
        <v>4717</v>
      </c>
      <c r="C2018" t="s">
        <v>2625</v>
      </c>
    </row>
    <row r="2019" spans="2:3" x14ac:dyDescent="0.25">
      <c r="B2019" t="s">
        <v>8780</v>
      </c>
      <c r="C2019" t="s">
        <v>2625</v>
      </c>
    </row>
    <row r="2020" spans="2:3" x14ac:dyDescent="0.25">
      <c r="B2020" t="s">
        <v>8781</v>
      </c>
      <c r="C2020" t="s">
        <v>2625</v>
      </c>
    </row>
    <row r="2021" spans="2:3" x14ac:dyDescent="0.25">
      <c r="B2021" t="s">
        <v>5810</v>
      </c>
      <c r="C2021" t="s">
        <v>2625</v>
      </c>
    </row>
    <row r="2022" spans="2:3" x14ac:dyDescent="0.25">
      <c r="B2022" t="s">
        <v>5811</v>
      </c>
      <c r="C2022" t="s">
        <v>2625</v>
      </c>
    </row>
    <row r="2023" spans="2:3" x14ac:dyDescent="0.25">
      <c r="B2023" t="s">
        <v>4721</v>
      </c>
      <c r="C2023" t="s">
        <v>3170</v>
      </c>
    </row>
    <row r="2024" spans="2:3" x14ac:dyDescent="0.25">
      <c r="B2024" t="s">
        <v>1633</v>
      </c>
      <c r="C2024" t="s">
        <v>4721</v>
      </c>
    </row>
    <row r="2025" spans="2:3" x14ac:dyDescent="0.25">
      <c r="B2025" t="s">
        <v>5912</v>
      </c>
      <c r="C2025" t="s">
        <v>4721</v>
      </c>
    </row>
    <row r="2026" spans="2:3" x14ac:dyDescent="0.25">
      <c r="B2026" t="s">
        <v>8782</v>
      </c>
      <c r="C2026" t="s">
        <v>4721</v>
      </c>
    </row>
    <row r="2027" spans="2:3" x14ac:dyDescent="0.25">
      <c r="B2027" t="s">
        <v>5914</v>
      </c>
      <c r="C2027" t="s">
        <v>4721</v>
      </c>
    </row>
    <row r="2028" spans="2:3" x14ac:dyDescent="0.25">
      <c r="B2028" t="s">
        <v>5916</v>
      </c>
      <c r="C2028" t="s">
        <v>4721</v>
      </c>
    </row>
    <row r="2029" spans="2:3" x14ac:dyDescent="0.25">
      <c r="B2029" t="s">
        <v>4719</v>
      </c>
      <c r="C2029" t="s">
        <v>4721</v>
      </c>
    </row>
    <row r="2030" spans="2:3" x14ac:dyDescent="0.25">
      <c r="B2030" t="s">
        <v>4722</v>
      </c>
      <c r="C2030" t="s">
        <v>3170</v>
      </c>
    </row>
    <row r="2031" spans="2:3" x14ac:dyDescent="0.25">
      <c r="B2031" t="s">
        <v>3172</v>
      </c>
      <c r="C2031" t="s">
        <v>2433</v>
      </c>
    </row>
    <row r="2032" spans="2:3" x14ac:dyDescent="0.25">
      <c r="B2032" t="s">
        <v>7804</v>
      </c>
      <c r="C2032" t="s">
        <v>3172</v>
      </c>
    </row>
    <row r="2033" spans="2:3" x14ac:dyDescent="0.25">
      <c r="B2033" t="s">
        <v>2736</v>
      </c>
      <c r="C2033" t="s">
        <v>3172</v>
      </c>
    </row>
    <row r="2034" spans="2:3" x14ac:dyDescent="0.25">
      <c r="B2034" t="s">
        <v>2740</v>
      </c>
      <c r="C2034" t="s">
        <v>3172</v>
      </c>
    </row>
    <row r="2035" spans="2:3" x14ac:dyDescent="0.25">
      <c r="B2035" t="s">
        <v>2742</v>
      </c>
      <c r="C2035" t="s">
        <v>3172</v>
      </c>
    </row>
    <row r="2036" spans="2:3" x14ac:dyDescent="0.25">
      <c r="B2036" t="s">
        <v>4606</v>
      </c>
      <c r="C2036" t="s">
        <v>2742</v>
      </c>
    </row>
    <row r="2037" spans="2:3" x14ac:dyDescent="0.25">
      <c r="B2037" t="s">
        <v>8783</v>
      </c>
      <c r="C2037" t="s">
        <v>4606</v>
      </c>
    </row>
    <row r="2038" spans="2:3" x14ac:dyDescent="0.25">
      <c r="B2038" t="s">
        <v>4608</v>
      </c>
      <c r="C2038" t="s">
        <v>2742</v>
      </c>
    </row>
    <row r="2039" spans="2:3" x14ac:dyDescent="0.25">
      <c r="B2039" t="s">
        <v>8784</v>
      </c>
      <c r="C2039" t="s">
        <v>4608</v>
      </c>
    </row>
    <row r="2040" spans="2:3" x14ac:dyDescent="0.25">
      <c r="B2040" t="s">
        <v>4610</v>
      </c>
      <c r="C2040" t="s">
        <v>2742</v>
      </c>
    </row>
    <row r="2041" spans="2:3" x14ac:dyDescent="0.25">
      <c r="B2041" t="s">
        <v>8785</v>
      </c>
      <c r="C2041" t="s">
        <v>4610</v>
      </c>
    </row>
    <row r="2042" spans="2:3" x14ac:dyDescent="0.25">
      <c r="B2042" t="s">
        <v>4612</v>
      </c>
      <c r="C2042" t="s">
        <v>2742</v>
      </c>
    </row>
    <row r="2043" spans="2:3" x14ac:dyDescent="0.25">
      <c r="B2043" t="s">
        <v>8786</v>
      </c>
      <c r="C2043" t="s">
        <v>4612</v>
      </c>
    </row>
    <row r="2044" spans="2:3" x14ac:dyDescent="0.25">
      <c r="B2044" t="s">
        <v>4614</v>
      </c>
      <c r="C2044" t="s">
        <v>2742</v>
      </c>
    </row>
    <row r="2045" spans="2:3" x14ac:dyDescent="0.25">
      <c r="B2045" t="s">
        <v>8787</v>
      </c>
      <c r="C2045" t="s">
        <v>4614</v>
      </c>
    </row>
    <row r="2046" spans="2:3" x14ac:dyDescent="0.25">
      <c r="B2046" t="s">
        <v>4616</v>
      </c>
      <c r="C2046" t="s">
        <v>2742</v>
      </c>
    </row>
    <row r="2047" spans="2:3" x14ac:dyDescent="0.25">
      <c r="B2047" t="s">
        <v>8788</v>
      </c>
      <c r="C2047" t="s">
        <v>4616</v>
      </c>
    </row>
    <row r="2048" spans="2:3" x14ac:dyDescent="0.25">
      <c r="B2048" t="s">
        <v>4618</v>
      </c>
      <c r="C2048" t="s">
        <v>2742</v>
      </c>
    </row>
    <row r="2049" spans="2:3" x14ac:dyDescent="0.25">
      <c r="B2049" t="s">
        <v>8789</v>
      </c>
      <c r="C2049" t="s">
        <v>4618</v>
      </c>
    </row>
    <row r="2050" spans="2:3" x14ac:dyDescent="0.25">
      <c r="B2050" t="s">
        <v>4620</v>
      </c>
      <c r="C2050" t="s">
        <v>2742</v>
      </c>
    </row>
    <row r="2051" spans="2:3" x14ac:dyDescent="0.25">
      <c r="B2051" t="s">
        <v>8790</v>
      </c>
      <c r="C2051" t="s">
        <v>4620</v>
      </c>
    </row>
    <row r="2052" spans="2:3" x14ac:dyDescent="0.25">
      <c r="B2052" t="s">
        <v>4622</v>
      </c>
      <c r="C2052" t="s">
        <v>2742</v>
      </c>
    </row>
    <row r="2053" spans="2:3" x14ac:dyDescent="0.25">
      <c r="B2053" t="s">
        <v>8791</v>
      </c>
      <c r="C2053" t="s">
        <v>4622</v>
      </c>
    </row>
    <row r="2054" spans="2:3" x14ac:dyDescent="0.25">
      <c r="B2054" t="s">
        <v>4624</v>
      </c>
      <c r="C2054" t="s">
        <v>2742</v>
      </c>
    </row>
    <row r="2055" spans="2:3" x14ac:dyDescent="0.25">
      <c r="B2055" t="s">
        <v>8792</v>
      </c>
      <c r="C2055" t="s">
        <v>4624</v>
      </c>
    </row>
    <row r="2056" spans="2:3" x14ac:dyDescent="0.25">
      <c r="B2056" t="s">
        <v>4928</v>
      </c>
      <c r="C2056" t="s">
        <v>2742</v>
      </c>
    </row>
    <row r="2057" spans="2:3" x14ac:dyDescent="0.25">
      <c r="B2057" t="s">
        <v>4929</v>
      </c>
      <c r="C2057" t="s">
        <v>2742</v>
      </c>
    </row>
    <row r="2058" spans="2:3" x14ac:dyDescent="0.25">
      <c r="B2058" t="s">
        <v>4930</v>
      </c>
      <c r="C2058" t="s">
        <v>2742</v>
      </c>
    </row>
    <row r="2059" spans="2:3" x14ac:dyDescent="0.25">
      <c r="B2059" t="s">
        <v>4931</v>
      </c>
      <c r="C2059" t="s">
        <v>2742</v>
      </c>
    </row>
    <row r="2060" spans="2:3" x14ac:dyDescent="0.25">
      <c r="B2060" t="s">
        <v>4932</v>
      </c>
      <c r="C2060" t="s">
        <v>2742</v>
      </c>
    </row>
    <row r="2061" spans="2:3" x14ac:dyDescent="0.25">
      <c r="B2061" t="s">
        <v>4927</v>
      </c>
      <c r="C2061" t="s">
        <v>3172</v>
      </c>
    </row>
    <row r="2062" spans="2:3" x14ac:dyDescent="0.25">
      <c r="B2062" t="s">
        <v>4933</v>
      </c>
      <c r="C2062" t="s">
        <v>3172</v>
      </c>
    </row>
    <row r="2063" spans="2:3" x14ac:dyDescent="0.25">
      <c r="B2063" t="s">
        <v>2734</v>
      </c>
      <c r="C2063" t="s">
        <v>2433</v>
      </c>
    </row>
    <row r="2064" spans="2:3" x14ac:dyDescent="0.25">
      <c r="B2064" t="s">
        <v>8793</v>
      </c>
      <c r="C2064" t="s">
        <v>2734</v>
      </c>
    </row>
    <row r="2065" spans="2:3" x14ac:dyDescent="0.25">
      <c r="B2065" t="s">
        <v>8024</v>
      </c>
      <c r="C2065" t="s">
        <v>8793</v>
      </c>
    </row>
    <row r="2066" spans="2:3" x14ac:dyDescent="0.25">
      <c r="B2066" t="s">
        <v>8794</v>
      </c>
      <c r="C2066" t="s">
        <v>2734</v>
      </c>
    </row>
    <row r="2067" spans="2:3" x14ac:dyDescent="0.25">
      <c r="B2067" t="s">
        <v>8795</v>
      </c>
      <c r="C2067" t="s">
        <v>8794</v>
      </c>
    </row>
    <row r="2068" spans="2:3" x14ac:dyDescent="0.25">
      <c r="B2068" t="s">
        <v>8796</v>
      </c>
      <c r="C2068" t="s">
        <v>8794</v>
      </c>
    </row>
    <row r="2069" spans="2:3" x14ac:dyDescent="0.25">
      <c r="B2069" t="s">
        <v>2738</v>
      </c>
      <c r="C2069" t="s">
        <v>2433</v>
      </c>
    </row>
    <row r="2070" spans="2:3" x14ac:dyDescent="0.25">
      <c r="B2070" t="s">
        <v>2668</v>
      </c>
      <c r="C2070" t="s">
        <v>2738</v>
      </c>
    </row>
    <row r="2071" spans="2:3" x14ac:dyDescent="0.25">
      <c r="B2071" t="s">
        <v>2672</v>
      </c>
      <c r="C2071" t="s">
        <v>2738</v>
      </c>
    </row>
    <row r="2072" spans="2:3" x14ac:dyDescent="0.25">
      <c r="B2072" t="s">
        <v>8797</v>
      </c>
      <c r="C2072" t="s">
        <v>2433</v>
      </c>
    </row>
    <row r="2073" spans="2:3" x14ac:dyDescent="0.25">
      <c r="B2073" t="s">
        <v>2732</v>
      </c>
      <c r="C2073" t="s">
        <v>8797</v>
      </c>
    </row>
    <row r="2074" spans="2:3" x14ac:dyDescent="0.25">
      <c r="B2074" t="s">
        <v>2515</v>
      </c>
      <c r="C2074" t="s">
        <v>2732</v>
      </c>
    </row>
    <row r="2075" spans="2:3" x14ac:dyDescent="0.25">
      <c r="B2075" t="s">
        <v>2513</v>
      </c>
      <c r="C2075" t="s">
        <v>2515</v>
      </c>
    </row>
    <row r="2076" spans="2:3" x14ac:dyDescent="0.25">
      <c r="B2076" t="s">
        <v>2518</v>
      </c>
      <c r="C2076" t="s">
        <v>2732</v>
      </c>
    </row>
    <row r="2077" spans="2:3" x14ac:dyDescent="0.25">
      <c r="B2077" t="s">
        <v>2516</v>
      </c>
      <c r="C2077" t="s">
        <v>2518</v>
      </c>
    </row>
    <row r="2078" spans="2:3" x14ac:dyDescent="0.25">
      <c r="B2078" t="s">
        <v>2519</v>
      </c>
      <c r="C2078" t="s">
        <v>2518</v>
      </c>
    </row>
    <row r="2079" spans="2:3" x14ac:dyDescent="0.25">
      <c r="B2079" t="s">
        <v>8798</v>
      </c>
      <c r="C2079" t="s">
        <v>2732</v>
      </c>
    </row>
    <row r="2080" spans="2:3" x14ac:dyDescent="0.25">
      <c r="B2080" t="s">
        <v>2423</v>
      </c>
      <c r="C2080" t="s">
        <v>8797</v>
      </c>
    </row>
    <row r="2081" spans="2:3" x14ac:dyDescent="0.25">
      <c r="B2081" t="s">
        <v>2425</v>
      </c>
      <c r="C2081" t="s">
        <v>8797</v>
      </c>
    </row>
    <row r="2082" spans="2:3" x14ac:dyDescent="0.25">
      <c r="B2082" t="s">
        <v>2427</v>
      </c>
      <c r="C2082" t="s">
        <v>8797</v>
      </c>
    </row>
    <row r="2083" spans="2:3" x14ac:dyDescent="0.25">
      <c r="B2083" t="s">
        <v>4693</v>
      </c>
      <c r="C2083" t="s">
        <v>2427</v>
      </c>
    </row>
    <row r="2084" spans="2:3" x14ac:dyDescent="0.25">
      <c r="B2084" t="s">
        <v>4695</v>
      </c>
      <c r="C2084" t="s">
        <v>2427</v>
      </c>
    </row>
    <row r="2085" spans="2:3" x14ac:dyDescent="0.25">
      <c r="B2085" t="s">
        <v>4697</v>
      </c>
      <c r="C2085" t="s">
        <v>2427</v>
      </c>
    </row>
    <row r="2086" spans="2:3" x14ac:dyDescent="0.25">
      <c r="B2086" t="s">
        <v>4699</v>
      </c>
      <c r="C2086" t="s">
        <v>2427</v>
      </c>
    </row>
    <row r="2087" spans="2:3" x14ac:dyDescent="0.25">
      <c r="B2087" t="s">
        <v>4701</v>
      </c>
      <c r="C2087" t="s">
        <v>2427</v>
      </c>
    </row>
    <row r="2088" spans="2:3" x14ac:dyDescent="0.25">
      <c r="B2088" t="s">
        <v>3157</v>
      </c>
      <c r="C2088" t="s">
        <v>8797</v>
      </c>
    </row>
    <row r="2089" spans="2:3" x14ac:dyDescent="0.25">
      <c r="B2089" t="s">
        <v>2664</v>
      </c>
      <c r="C2089" t="s">
        <v>3157</v>
      </c>
    </row>
    <row r="2090" spans="2:3" x14ac:dyDescent="0.25">
      <c r="B2090" t="s">
        <v>2666</v>
      </c>
      <c r="C2090" t="s">
        <v>3157</v>
      </c>
    </row>
    <row r="2091" spans="2:3" x14ac:dyDescent="0.25">
      <c r="B2091" t="s">
        <v>1639</v>
      </c>
      <c r="C2091" t="s">
        <v>8797</v>
      </c>
    </row>
    <row r="2092" spans="2:3" x14ac:dyDescent="0.25">
      <c r="B2092" t="s">
        <v>2441</v>
      </c>
      <c r="C2092" t="s">
        <v>2435</v>
      </c>
    </row>
    <row r="2093" spans="2:3" x14ac:dyDescent="0.25">
      <c r="B2093" t="s">
        <v>3210</v>
      </c>
      <c r="C2093" t="s">
        <v>2441</v>
      </c>
    </row>
    <row r="2094" spans="2:3" x14ac:dyDescent="0.25">
      <c r="B2094" t="s">
        <v>3165</v>
      </c>
      <c r="C2094" t="s">
        <v>2441</v>
      </c>
    </row>
    <row r="2095" spans="2:3" x14ac:dyDescent="0.25">
      <c r="B2095" t="s">
        <v>3167</v>
      </c>
      <c r="C2095" t="s">
        <v>2441</v>
      </c>
    </row>
    <row r="2096" spans="2:3" x14ac:dyDescent="0.25">
      <c r="B2096" t="s">
        <v>8799</v>
      </c>
      <c r="C2096" t="s">
        <v>3167</v>
      </c>
    </row>
    <row r="2097" spans="2:3" x14ac:dyDescent="0.25">
      <c r="B2097" t="s">
        <v>8800</v>
      </c>
      <c r="C2097" t="s">
        <v>3167</v>
      </c>
    </row>
    <row r="2098" spans="2:3" x14ac:dyDescent="0.25">
      <c r="B2098" t="s">
        <v>8801</v>
      </c>
      <c r="C2098" t="s">
        <v>3167</v>
      </c>
    </row>
    <row r="2099" spans="2:3" x14ac:dyDescent="0.25">
      <c r="B2099" t="s">
        <v>8047</v>
      </c>
      <c r="C2099" t="s">
        <v>3167</v>
      </c>
    </row>
    <row r="2100" spans="2:3" x14ac:dyDescent="0.25">
      <c r="B2100" t="s">
        <v>8051</v>
      </c>
      <c r="C2100" t="s">
        <v>3167</v>
      </c>
    </row>
    <row r="2101" spans="2:3" x14ac:dyDescent="0.25">
      <c r="B2101" t="s">
        <v>8802</v>
      </c>
      <c r="C2101" t="s">
        <v>3167</v>
      </c>
    </row>
    <row r="2102" spans="2:3" x14ac:dyDescent="0.25">
      <c r="B2102" t="s">
        <v>5308</v>
      </c>
      <c r="C2102" t="s">
        <v>8802</v>
      </c>
    </row>
    <row r="2103" spans="2:3" x14ac:dyDescent="0.25">
      <c r="B2103" t="s">
        <v>4843</v>
      </c>
      <c r="C2103" t="s">
        <v>5308</v>
      </c>
    </row>
    <row r="2104" spans="2:3" x14ac:dyDescent="0.25">
      <c r="B2104" t="s">
        <v>5309</v>
      </c>
      <c r="C2104" t="s">
        <v>4843</v>
      </c>
    </row>
    <row r="2105" spans="2:3" x14ac:dyDescent="0.25">
      <c r="B2105" t="s">
        <v>5311</v>
      </c>
      <c r="C2105" t="s">
        <v>4843</v>
      </c>
    </row>
    <row r="2106" spans="2:3" x14ac:dyDescent="0.25">
      <c r="B2106" t="s">
        <v>5313</v>
      </c>
      <c r="C2106" t="s">
        <v>4843</v>
      </c>
    </row>
    <row r="2107" spans="2:3" x14ac:dyDescent="0.25">
      <c r="B2107" t="s">
        <v>5228</v>
      </c>
      <c r="C2107" t="s">
        <v>4843</v>
      </c>
    </row>
    <row r="2108" spans="2:3" x14ac:dyDescent="0.25">
      <c r="B2108" t="s">
        <v>5316</v>
      </c>
      <c r="C2108" t="s">
        <v>4843</v>
      </c>
    </row>
    <row r="2109" spans="2:3" x14ac:dyDescent="0.25">
      <c r="B2109" t="s">
        <v>5318</v>
      </c>
      <c r="C2109" t="s">
        <v>5316</v>
      </c>
    </row>
    <row r="2110" spans="2:3" x14ac:dyDescent="0.25">
      <c r="B2110" t="s">
        <v>5230</v>
      </c>
      <c r="C2110" t="s">
        <v>5316</v>
      </c>
    </row>
    <row r="2111" spans="2:3" x14ac:dyDescent="0.25">
      <c r="B2111" t="s">
        <v>4844</v>
      </c>
      <c r="C2111" t="s">
        <v>4843</v>
      </c>
    </row>
    <row r="2112" spans="2:3" x14ac:dyDescent="0.25">
      <c r="B2112" t="s">
        <v>4846</v>
      </c>
      <c r="C2112" t="s">
        <v>4843</v>
      </c>
    </row>
    <row r="2113" spans="2:3" x14ac:dyDescent="0.25">
      <c r="B2113" t="s">
        <v>4848</v>
      </c>
      <c r="C2113" t="s">
        <v>4843</v>
      </c>
    </row>
    <row r="2114" spans="2:3" x14ac:dyDescent="0.25">
      <c r="B2114" t="s">
        <v>4850</v>
      </c>
      <c r="C2114" t="s">
        <v>5308</v>
      </c>
    </row>
    <row r="2115" spans="2:3" x14ac:dyDescent="0.25">
      <c r="B2115" t="s">
        <v>4851</v>
      </c>
      <c r="C2115" t="s">
        <v>4850</v>
      </c>
    </row>
    <row r="2116" spans="2:3" x14ac:dyDescent="0.25">
      <c r="B2116" t="s">
        <v>4855</v>
      </c>
      <c r="C2116" t="s">
        <v>4850</v>
      </c>
    </row>
    <row r="2117" spans="2:3" x14ac:dyDescent="0.25">
      <c r="B2117" t="s">
        <v>8803</v>
      </c>
      <c r="C2117" t="s">
        <v>3167</v>
      </c>
    </row>
    <row r="2118" spans="2:3" x14ac:dyDescent="0.25">
      <c r="B2118" t="s">
        <v>2670</v>
      </c>
      <c r="C2118" t="s">
        <v>3167</v>
      </c>
    </row>
    <row r="2119" spans="2:3" x14ac:dyDescent="0.25">
      <c r="B2119" t="s">
        <v>3211</v>
      </c>
      <c r="C2119" t="s">
        <v>2441</v>
      </c>
    </row>
    <row r="2120" spans="2:3" x14ac:dyDescent="0.25">
      <c r="B2120" t="s">
        <v>2438</v>
      </c>
      <c r="C2120" t="s">
        <v>2441</v>
      </c>
    </row>
    <row r="2121" spans="2:3" x14ac:dyDescent="0.25">
      <c r="B2121" t="s">
        <v>2436</v>
      </c>
      <c r="C2121" t="s">
        <v>2438</v>
      </c>
    </row>
    <row r="2122" spans="2:3" x14ac:dyDescent="0.25">
      <c r="B2122" t="s">
        <v>2439</v>
      </c>
      <c r="C2122" t="s">
        <v>2438</v>
      </c>
    </row>
    <row r="2123" spans="2:3" x14ac:dyDescent="0.25">
      <c r="B2123" t="s">
        <v>2609</v>
      </c>
      <c r="C2123" t="s">
        <v>2438</v>
      </c>
    </row>
    <row r="2124" spans="2:3" x14ac:dyDescent="0.25">
      <c r="B2124" t="s">
        <v>2613</v>
      </c>
      <c r="C2124" t="s">
        <v>2438</v>
      </c>
    </row>
    <row r="2125" spans="2:3" x14ac:dyDescent="0.25">
      <c r="B2125" t="s">
        <v>2615</v>
      </c>
      <c r="C2125" t="s">
        <v>2438</v>
      </c>
    </row>
    <row r="2126" spans="2:3" x14ac:dyDescent="0.25">
      <c r="B2126" t="s">
        <v>2617</v>
      </c>
      <c r="C2126" t="s">
        <v>2438</v>
      </c>
    </row>
    <row r="2127" spans="2:3" x14ac:dyDescent="0.25">
      <c r="B2127" t="s">
        <v>2619</v>
      </c>
      <c r="C2127" t="s">
        <v>2438</v>
      </c>
    </row>
    <row r="2128" spans="2:3" x14ac:dyDescent="0.25">
      <c r="B2128" t="s">
        <v>2621</v>
      </c>
      <c r="C2128" t="s">
        <v>2438</v>
      </c>
    </row>
    <row r="2129" spans="2:3" x14ac:dyDescent="0.25">
      <c r="B2129" t="s">
        <v>2995</v>
      </c>
      <c r="C2129" t="s">
        <v>2441</v>
      </c>
    </row>
    <row r="2130" spans="2:3" x14ac:dyDescent="0.25">
      <c r="B2130" t="s">
        <v>2674</v>
      </c>
      <c r="C2130" t="s">
        <v>2995</v>
      </c>
    </row>
    <row r="2131" spans="2:3" x14ac:dyDescent="0.25">
      <c r="B2131" t="s">
        <v>4626</v>
      </c>
      <c r="C2131" t="s">
        <v>2674</v>
      </c>
    </row>
    <row r="2132" spans="2:3" x14ac:dyDescent="0.25">
      <c r="B2132" t="s">
        <v>4628</v>
      </c>
      <c r="C2132" t="s">
        <v>2674</v>
      </c>
    </row>
    <row r="2133" spans="2:3" x14ac:dyDescent="0.25">
      <c r="B2133" t="s">
        <v>4630</v>
      </c>
      <c r="C2133" t="s">
        <v>2674</v>
      </c>
    </row>
    <row r="2134" spans="2:3" x14ac:dyDescent="0.25">
      <c r="B2134" t="s">
        <v>4632</v>
      </c>
      <c r="C2134" t="s">
        <v>2674</v>
      </c>
    </row>
    <row r="2135" spans="2:3" x14ac:dyDescent="0.25">
      <c r="B2135" t="s">
        <v>6438</v>
      </c>
      <c r="C2135" t="s">
        <v>4632</v>
      </c>
    </row>
    <row r="2136" spans="2:3" x14ac:dyDescent="0.25">
      <c r="B2136" t="s">
        <v>6439</v>
      </c>
      <c r="C2136" t="s">
        <v>4632</v>
      </c>
    </row>
    <row r="2137" spans="2:3" x14ac:dyDescent="0.25">
      <c r="B2137" t="s">
        <v>6442</v>
      </c>
      <c r="C2137" t="s">
        <v>6439</v>
      </c>
    </row>
    <row r="2138" spans="2:3" x14ac:dyDescent="0.25">
      <c r="B2138" t="s">
        <v>6443</v>
      </c>
      <c r="C2138" t="s">
        <v>6439</v>
      </c>
    </row>
    <row r="2139" spans="2:3" x14ac:dyDescent="0.25">
      <c r="B2139" t="s">
        <v>6440</v>
      </c>
      <c r="C2139" t="s">
        <v>4632</v>
      </c>
    </row>
    <row r="2140" spans="2:3" x14ac:dyDescent="0.25">
      <c r="B2140" t="s">
        <v>6441</v>
      </c>
      <c r="C2140" t="s">
        <v>4632</v>
      </c>
    </row>
    <row r="2141" spans="2:3" x14ac:dyDescent="0.25">
      <c r="B2141" t="s">
        <v>8804</v>
      </c>
      <c r="C2141" t="s">
        <v>2674</v>
      </c>
    </row>
    <row r="2142" spans="2:3" x14ac:dyDescent="0.25">
      <c r="B2142" t="s">
        <v>4634</v>
      </c>
      <c r="C2142" t="s">
        <v>2674</v>
      </c>
    </row>
    <row r="2143" spans="2:3" x14ac:dyDescent="0.25">
      <c r="B2143" t="s">
        <v>4636</v>
      </c>
      <c r="C2143" t="s">
        <v>2674</v>
      </c>
    </row>
    <row r="2144" spans="2:3" x14ac:dyDescent="0.25">
      <c r="B2144" t="s">
        <v>8805</v>
      </c>
      <c r="C2144" t="s">
        <v>2674</v>
      </c>
    </row>
    <row r="2145" spans="2:3" x14ac:dyDescent="0.25">
      <c r="B2145" t="s">
        <v>2676</v>
      </c>
      <c r="C2145" t="s">
        <v>2995</v>
      </c>
    </row>
    <row r="2146" spans="2:3" x14ac:dyDescent="0.25">
      <c r="B2146" t="s">
        <v>2682</v>
      </c>
      <c r="C2146" t="s">
        <v>2995</v>
      </c>
    </row>
    <row r="2147" spans="2:3" x14ac:dyDescent="0.25">
      <c r="B2147" t="s">
        <v>3237</v>
      </c>
      <c r="C2147" t="s">
        <v>2682</v>
      </c>
    </row>
    <row r="2148" spans="2:3" x14ac:dyDescent="0.25">
      <c r="B2148" t="s">
        <v>3239</v>
      </c>
      <c r="C2148" t="s">
        <v>2682</v>
      </c>
    </row>
    <row r="2149" spans="2:3" x14ac:dyDescent="0.25">
      <c r="B2149" t="s">
        <v>3241</v>
      </c>
      <c r="C2149" t="s">
        <v>2682</v>
      </c>
    </row>
    <row r="2150" spans="2:3" x14ac:dyDescent="0.25">
      <c r="B2150" t="s">
        <v>3235</v>
      </c>
      <c r="C2150" t="s">
        <v>2682</v>
      </c>
    </row>
    <row r="2151" spans="2:3" x14ac:dyDescent="0.25">
      <c r="B2151" t="s">
        <v>3243</v>
      </c>
      <c r="C2151" t="s">
        <v>2682</v>
      </c>
    </row>
    <row r="2152" spans="2:3" x14ac:dyDescent="0.25">
      <c r="B2152" t="s">
        <v>3245</v>
      </c>
      <c r="C2152" t="s">
        <v>2682</v>
      </c>
    </row>
    <row r="2153" spans="2:3" x14ac:dyDescent="0.25">
      <c r="B2153" t="s">
        <v>3247</v>
      </c>
      <c r="C2153" t="s">
        <v>2682</v>
      </c>
    </row>
    <row r="2154" spans="2:3" x14ac:dyDescent="0.25">
      <c r="B2154" t="s">
        <v>2684</v>
      </c>
      <c r="C2154" t="s">
        <v>2995</v>
      </c>
    </row>
    <row r="2155" spans="2:3" x14ac:dyDescent="0.25">
      <c r="B2155" t="s">
        <v>4638</v>
      </c>
      <c r="C2155" t="s">
        <v>2684</v>
      </c>
    </row>
    <row r="2156" spans="2:3" x14ac:dyDescent="0.25">
      <c r="B2156" t="s">
        <v>4661</v>
      </c>
      <c r="C2156" t="s">
        <v>4638</v>
      </c>
    </row>
    <row r="2157" spans="2:3" x14ac:dyDescent="0.25">
      <c r="B2157" t="s">
        <v>4663</v>
      </c>
      <c r="C2157" t="s">
        <v>4638</v>
      </c>
    </row>
    <row r="2158" spans="2:3" x14ac:dyDescent="0.25">
      <c r="B2158" t="s">
        <v>8806</v>
      </c>
      <c r="C2158" t="s">
        <v>4638</v>
      </c>
    </row>
    <row r="2159" spans="2:3" x14ac:dyDescent="0.25">
      <c r="B2159" t="s">
        <v>4640</v>
      </c>
      <c r="C2159" t="s">
        <v>2684</v>
      </c>
    </row>
    <row r="2160" spans="2:3" x14ac:dyDescent="0.25">
      <c r="B2160" t="s">
        <v>4657</v>
      </c>
      <c r="C2160" t="s">
        <v>4640</v>
      </c>
    </row>
    <row r="2161" spans="2:3" x14ac:dyDescent="0.25">
      <c r="B2161" t="s">
        <v>4659</v>
      </c>
      <c r="C2161" t="s">
        <v>4640</v>
      </c>
    </row>
    <row r="2162" spans="2:3" x14ac:dyDescent="0.25">
      <c r="B2162" t="s">
        <v>5926</v>
      </c>
      <c r="C2162" t="s">
        <v>4640</v>
      </c>
    </row>
    <row r="2163" spans="2:3" x14ac:dyDescent="0.25">
      <c r="B2163" t="s">
        <v>4642</v>
      </c>
      <c r="C2163" t="s">
        <v>2684</v>
      </c>
    </row>
    <row r="2164" spans="2:3" x14ac:dyDescent="0.25">
      <c r="B2164" t="s">
        <v>4665</v>
      </c>
      <c r="C2164" t="s">
        <v>4642</v>
      </c>
    </row>
    <row r="2165" spans="2:3" x14ac:dyDescent="0.25">
      <c r="B2165" t="s">
        <v>4667</v>
      </c>
      <c r="C2165" t="s">
        <v>4642</v>
      </c>
    </row>
    <row r="2166" spans="2:3" x14ac:dyDescent="0.25">
      <c r="B2166" t="s">
        <v>8807</v>
      </c>
      <c r="C2166" t="s">
        <v>4642</v>
      </c>
    </row>
    <row r="2167" spans="2:3" x14ac:dyDescent="0.25">
      <c r="B2167" t="s">
        <v>4644</v>
      </c>
      <c r="C2167" t="s">
        <v>2684</v>
      </c>
    </row>
    <row r="2168" spans="2:3" x14ac:dyDescent="0.25">
      <c r="B2168" t="s">
        <v>4669</v>
      </c>
      <c r="C2168" t="s">
        <v>4644</v>
      </c>
    </row>
    <row r="2169" spans="2:3" x14ac:dyDescent="0.25">
      <c r="B2169" t="s">
        <v>4671</v>
      </c>
      <c r="C2169" t="s">
        <v>4644</v>
      </c>
    </row>
    <row r="2170" spans="2:3" x14ac:dyDescent="0.25">
      <c r="B2170" t="s">
        <v>8808</v>
      </c>
      <c r="C2170" t="s">
        <v>4644</v>
      </c>
    </row>
    <row r="2171" spans="2:3" x14ac:dyDescent="0.25">
      <c r="B2171" t="s">
        <v>4646</v>
      </c>
      <c r="C2171" t="s">
        <v>2684</v>
      </c>
    </row>
    <row r="2172" spans="2:3" x14ac:dyDescent="0.25">
      <c r="B2172" t="s">
        <v>4673</v>
      </c>
      <c r="C2172" t="s">
        <v>4646</v>
      </c>
    </row>
    <row r="2173" spans="2:3" x14ac:dyDescent="0.25">
      <c r="B2173" t="s">
        <v>4675</v>
      </c>
      <c r="C2173" t="s">
        <v>4646</v>
      </c>
    </row>
    <row r="2174" spans="2:3" x14ac:dyDescent="0.25">
      <c r="B2174" t="s">
        <v>8809</v>
      </c>
      <c r="C2174" t="s">
        <v>4646</v>
      </c>
    </row>
    <row r="2175" spans="2:3" x14ac:dyDescent="0.25">
      <c r="B2175" t="s">
        <v>7805</v>
      </c>
      <c r="C2175" t="s">
        <v>4646</v>
      </c>
    </row>
    <row r="2176" spans="2:3" x14ac:dyDescent="0.25">
      <c r="B2176" t="s">
        <v>4648</v>
      </c>
      <c r="C2176" t="s">
        <v>2684</v>
      </c>
    </row>
    <row r="2177" spans="2:3" x14ac:dyDescent="0.25">
      <c r="B2177" t="s">
        <v>4689</v>
      </c>
      <c r="C2177" t="s">
        <v>4648</v>
      </c>
    </row>
    <row r="2178" spans="2:3" x14ac:dyDescent="0.25">
      <c r="B2178" t="s">
        <v>4691</v>
      </c>
      <c r="C2178" t="s">
        <v>4648</v>
      </c>
    </row>
    <row r="2179" spans="2:3" x14ac:dyDescent="0.25">
      <c r="B2179" t="s">
        <v>4650</v>
      </c>
      <c r="C2179" t="s">
        <v>2684</v>
      </c>
    </row>
    <row r="2180" spans="2:3" x14ac:dyDescent="0.25">
      <c r="B2180" t="s">
        <v>4677</v>
      </c>
      <c r="C2180" t="s">
        <v>4650</v>
      </c>
    </row>
    <row r="2181" spans="2:3" x14ac:dyDescent="0.25">
      <c r="B2181" t="s">
        <v>4679</v>
      </c>
      <c r="C2181" t="s">
        <v>4650</v>
      </c>
    </row>
    <row r="2182" spans="2:3" x14ac:dyDescent="0.25">
      <c r="B2182" t="s">
        <v>8810</v>
      </c>
      <c r="C2182" t="s">
        <v>4650</v>
      </c>
    </row>
    <row r="2183" spans="2:3" x14ac:dyDescent="0.25">
      <c r="B2183" t="s">
        <v>4652</v>
      </c>
      <c r="C2183" t="s">
        <v>2684</v>
      </c>
    </row>
    <row r="2184" spans="2:3" x14ac:dyDescent="0.25">
      <c r="B2184" t="s">
        <v>4681</v>
      </c>
      <c r="C2184" t="s">
        <v>4652</v>
      </c>
    </row>
    <row r="2185" spans="2:3" x14ac:dyDescent="0.25">
      <c r="B2185" t="s">
        <v>4683</v>
      </c>
      <c r="C2185" t="s">
        <v>4652</v>
      </c>
    </row>
    <row r="2186" spans="2:3" x14ac:dyDescent="0.25">
      <c r="B2186" t="s">
        <v>8811</v>
      </c>
      <c r="C2186" t="s">
        <v>4652</v>
      </c>
    </row>
    <row r="2187" spans="2:3" x14ac:dyDescent="0.25">
      <c r="B2187" t="s">
        <v>4654</v>
      </c>
      <c r="C2187" t="s">
        <v>2684</v>
      </c>
    </row>
    <row r="2188" spans="2:3" x14ac:dyDescent="0.25">
      <c r="B2188" t="s">
        <v>4685</v>
      </c>
      <c r="C2188" t="s">
        <v>4654</v>
      </c>
    </row>
    <row r="2189" spans="2:3" x14ac:dyDescent="0.25">
      <c r="B2189" t="s">
        <v>4687</v>
      </c>
      <c r="C2189" t="s">
        <v>4654</v>
      </c>
    </row>
    <row r="2190" spans="2:3" x14ac:dyDescent="0.25">
      <c r="B2190" t="s">
        <v>8812</v>
      </c>
      <c r="C2190" t="s">
        <v>4654</v>
      </c>
    </row>
    <row r="2191" spans="2:3" x14ac:dyDescent="0.25">
      <c r="B2191" t="s">
        <v>2686</v>
      </c>
      <c r="C2191" t="s">
        <v>2995</v>
      </c>
    </row>
    <row r="2192" spans="2:3" x14ac:dyDescent="0.25">
      <c r="B2192" t="s">
        <v>2993</v>
      </c>
      <c r="C2192" t="s">
        <v>2995</v>
      </c>
    </row>
    <row r="2193" spans="2:3" x14ac:dyDescent="0.25">
      <c r="B2193" t="s">
        <v>5931</v>
      </c>
      <c r="C2193" t="s">
        <v>2993</v>
      </c>
    </row>
    <row r="2194" spans="2:3" x14ac:dyDescent="0.25">
      <c r="B2194" t="s">
        <v>5933</v>
      </c>
      <c r="C2194" t="s">
        <v>2993</v>
      </c>
    </row>
    <row r="2195" spans="2:3" x14ac:dyDescent="0.25">
      <c r="B2195" t="s">
        <v>5935</v>
      </c>
      <c r="C2195" t="s">
        <v>2993</v>
      </c>
    </row>
    <row r="2196" spans="2:3" x14ac:dyDescent="0.25">
      <c r="B2196" t="s">
        <v>8813</v>
      </c>
      <c r="C2196" t="s">
        <v>2993</v>
      </c>
    </row>
    <row r="2197" spans="2:3" x14ac:dyDescent="0.25">
      <c r="B2197" t="s">
        <v>5937</v>
      </c>
      <c r="C2197" t="s">
        <v>2993</v>
      </c>
    </row>
    <row r="2198" spans="2:3" x14ac:dyDescent="0.25">
      <c r="B2198" t="s">
        <v>5809</v>
      </c>
      <c r="C2198" t="s">
        <v>5937</v>
      </c>
    </row>
    <row r="2199" spans="2:3" x14ac:dyDescent="0.25">
      <c r="B2199" t="s">
        <v>8814</v>
      </c>
      <c r="C2199" t="s">
        <v>2993</v>
      </c>
    </row>
    <row r="2200" spans="2:3" x14ac:dyDescent="0.25">
      <c r="B2200" t="s">
        <v>8815</v>
      </c>
      <c r="C2200" t="s">
        <v>2993</v>
      </c>
    </row>
    <row r="2201" spans="2:3" x14ac:dyDescent="0.25">
      <c r="B2201" t="s">
        <v>6447</v>
      </c>
      <c r="C2201" t="s">
        <v>2993</v>
      </c>
    </row>
    <row r="2202" spans="2:3" x14ac:dyDescent="0.25">
      <c r="B2202" t="s">
        <v>8816</v>
      </c>
      <c r="C2202" t="s">
        <v>2993</v>
      </c>
    </row>
    <row r="2203" spans="2:3" x14ac:dyDescent="0.25">
      <c r="B2203" t="s">
        <v>4853</v>
      </c>
      <c r="C2203" t="s">
        <v>2993</v>
      </c>
    </row>
    <row r="2204" spans="2:3" x14ac:dyDescent="0.25">
      <c r="B2204" t="s">
        <v>8817</v>
      </c>
      <c r="C2204" t="s">
        <v>2995</v>
      </c>
    </row>
    <row r="2205" spans="2:3" x14ac:dyDescent="0.25">
      <c r="B2205" t="s">
        <v>8818</v>
      </c>
      <c r="C2205" t="s">
        <v>2435</v>
      </c>
    </row>
    <row r="2206" spans="2:3" x14ac:dyDescent="0.25">
      <c r="B2206" t="s">
        <v>2081</v>
      </c>
      <c r="C2206" t="s">
        <v>8818</v>
      </c>
    </row>
    <row r="2207" spans="2:3" x14ac:dyDescent="0.25">
      <c r="B2207" t="s">
        <v>8819</v>
      </c>
      <c r="C2207" t="s">
        <v>2081</v>
      </c>
    </row>
    <row r="2208" spans="2:3" x14ac:dyDescent="0.25">
      <c r="B2208" t="s">
        <v>2079</v>
      </c>
      <c r="C2208" t="s">
        <v>2081</v>
      </c>
    </row>
    <row r="2209" spans="2:3" x14ac:dyDescent="0.25">
      <c r="B2209" t="s">
        <v>2082</v>
      </c>
      <c r="C2209" t="s">
        <v>2081</v>
      </c>
    </row>
    <row r="2210" spans="2:3" x14ac:dyDescent="0.25">
      <c r="B2210" t="s">
        <v>2084</v>
      </c>
      <c r="C2210" t="s">
        <v>2082</v>
      </c>
    </row>
    <row r="2211" spans="2:3" x14ac:dyDescent="0.25">
      <c r="B2211" t="s">
        <v>2086</v>
      </c>
      <c r="C2211" t="s">
        <v>2082</v>
      </c>
    </row>
    <row r="2212" spans="2:3" x14ac:dyDescent="0.25">
      <c r="B2212" t="s">
        <v>2088</v>
      </c>
      <c r="C2212" t="s">
        <v>2082</v>
      </c>
    </row>
    <row r="2213" spans="2:3" x14ac:dyDescent="0.25">
      <c r="B2213" t="s">
        <v>2090</v>
      </c>
      <c r="C2213" t="s">
        <v>2088</v>
      </c>
    </row>
    <row r="2214" spans="2:3" x14ac:dyDescent="0.25">
      <c r="B2214" t="s">
        <v>2092</v>
      </c>
      <c r="C2214" t="s">
        <v>2090</v>
      </c>
    </row>
    <row r="2215" spans="2:3" x14ac:dyDescent="0.25">
      <c r="B2215" t="s">
        <v>2094</v>
      </c>
      <c r="C2215" t="s">
        <v>2090</v>
      </c>
    </row>
    <row r="2216" spans="2:3" x14ac:dyDescent="0.25">
      <c r="B2216" t="s">
        <v>2096</v>
      </c>
      <c r="C2216" t="s">
        <v>2088</v>
      </c>
    </row>
    <row r="2217" spans="2:3" x14ac:dyDescent="0.25">
      <c r="B2217" t="s">
        <v>2100</v>
      </c>
      <c r="C2217" t="s">
        <v>2088</v>
      </c>
    </row>
    <row r="2218" spans="2:3" x14ac:dyDescent="0.25">
      <c r="B2218" t="s">
        <v>2098</v>
      </c>
      <c r="C2218" t="s">
        <v>2100</v>
      </c>
    </row>
    <row r="2219" spans="2:3" x14ac:dyDescent="0.25">
      <c r="B2219" t="s">
        <v>2998</v>
      </c>
      <c r="C2219" t="s">
        <v>2098</v>
      </c>
    </row>
    <row r="2220" spans="2:3" x14ac:dyDescent="0.25">
      <c r="B2220" t="s">
        <v>3000</v>
      </c>
      <c r="C2220" t="s">
        <v>2098</v>
      </c>
    </row>
    <row r="2221" spans="2:3" x14ac:dyDescent="0.25">
      <c r="B2221" t="s">
        <v>3002</v>
      </c>
      <c r="C2221" t="s">
        <v>2098</v>
      </c>
    </row>
    <row r="2222" spans="2:3" x14ac:dyDescent="0.25">
      <c r="B2222" t="s">
        <v>3004</v>
      </c>
      <c r="C2222" t="s">
        <v>2098</v>
      </c>
    </row>
    <row r="2223" spans="2:3" x14ac:dyDescent="0.25">
      <c r="B2223" t="s">
        <v>3006</v>
      </c>
      <c r="C2223" t="s">
        <v>2098</v>
      </c>
    </row>
    <row r="2224" spans="2:3" x14ac:dyDescent="0.25">
      <c r="B2224" t="s">
        <v>3008</v>
      </c>
      <c r="C2224" t="s">
        <v>2098</v>
      </c>
    </row>
    <row r="2225" spans="2:3" x14ac:dyDescent="0.25">
      <c r="B2225" t="s">
        <v>3010</v>
      </c>
      <c r="C2225" t="s">
        <v>2098</v>
      </c>
    </row>
    <row r="2226" spans="2:3" x14ac:dyDescent="0.25">
      <c r="B2226" t="s">
        <v>3012</v>
      </c>
      <c r="C2226" t="s">
        <v>2098</v>
      </c>
    </row>
    <row r="2227" spans="2:3" x14ac:dyDescent="0.25">
      <c r="B2227" t="s">
        <v>3014</v>
      </c>
      <c r="C2227" t="s">
        <v>2098</v>
      </c>
    </row>
    <row r="2228" spans="2:3" x14ac:dyDescent="0.25">
      <c r="B2228" t="s">
        <v>3016</v>
      </c>
      <c r="C2228" t="s">
        <v>2098</v>
      </c>
    </row>
    <row r="2229" spans="2:3" x14ac:dyDescent="0.25">
      <c r="B2229" t="s">
        <v>4575</v>
      </c>
      <c r="C2229" t="s">
        <v>3016</v>
      </c>
    </row>
    <row r="2230" spans="2:3" x14ac:dyDescent="0.25">
      <c r="B2230" t="s">
        <v>2101</v>
      </c>
      <c r="C2230" t="s">
        <v>2100</v>
      </c>
    </row>
    <row r="2231" spans="2:3" x14ac:dyDescent="0.25">
      <c r="B2231" t="s">
        <v>3191</v>
      </c>
      <c r="C2231" t="s">
        <v>2101</v>
      </c>
    </row>
    <row r="2232" spans="2:3" x14ac:dyDescent="0.25">
      <c r="B2232" t="s">
        <v>2110</v>
      </c>
      <c r="C2232" t="s">
        <v>2088</v>
      </c>
    </row>
    <row r="2233" spans="2:3" x14ac:dyDescent="0.25">
      <c r="B2233" t="s">
        <v>2108</v>
      </c>
      <c r="C2233" t="s">
        <v>2110</v>
      </c>
    </row>
    <row r="2234" spans="2:3" x14ac:dyDescent="0.25">
      <c r="B2234" t="s">
        <v>2111</v>
      </c>
      <c r="C2234" t="s">
        <v>2108</v>
      </c>
    </row>
    <row r="2235" spans="2:3" x14ac:dyDescent="0.25">
      <c r="B2235" t="s">
        <v>2113</v>
      </c>
      <c r="C2235" t="s">
        <v>2108</v>
      </c>
    </row>
    <row r="2236" spans="2:3" x14ac:dyDescent="0.25">
      <c r="B2236" t="s">
        <v>2115</v>
      </c>
      <c r="C2236" t="s">
        <v>2113</v>
      </c>
    </row>
    <row r="2237" spans="2:3" x14ac:dyDescent="0.25">
      <c r="B2237" t="s">
        <v>2117</v>
      </c>
      <c r="C2237" t="s">
        <v>2113</v>
      </c>
    </row>
    <row r="2238" spans="2:3" x14ac:dyDescent="0.25">
      <c r="B2238" t="s">
        <v>2119</v>
      </c>
      <c r="C2238" t="s">
        <v>2113</v>
      </c>
    </row>
    <row r="2239" spans="2:3" x14ac:dyDescent="0.25">
      <c r="B2239" t="s">
        <v>2121</v>
      </c>
      <c r="C2239" t="s">
        <v>2110</v>
      </c>
    </row>
    <row r="2240" spans="2:3" x14ac:dyDescent="0.25">
      <c r="B2240" t="s">
        <v>3195</v>
      </c>
      <c r="C2240" t="s">
        <v>2121</v>
      </c>
    </row>
    <row r="2241" spans="2:3" x14ac:dyDescent="0.25">
      <c r="B2241" t="s">
        <v>2125</v>
      </c>
      <c r="C2241" t="s">
        <v>2088</v>
      </c>
    </row>
    <row r="2242" spans="2:3" x14ac:dyDescent="0.25">
      <c r="B2242" t="s">
        <v>2123</v>
      </c>
      <c r="C2242" t="s">
        <v>2125</v>
      </c>
    </row>
    <row r="2243" spans="2:3" x14ac:dyDescent="0.25">
      <c r="B2243" t="s">
        <v>2126</v>
      </c>
      <c r="C2243" t="s">
        <v>2123</v>
      </c>
    </row>
    <row r="2244" spans="2:3" x14ac:dyDescent="0.25">
      <c r="B2244" t="s">
        <v>2128</v>
      </c>
      <c r="C2244" t="s">
        <v>2126</v>
      </c>
    </row>
    <row r="2245" spans="2:3" x14ac:dyDescent="0.25">
      <c r="B2245" t="s">
        <v>2130</v>
      </c>
      <c r="C2245" t="s">
        <v>2126</v>
      </c>
    </row>
    <row r="2246" spans="2:3" x14ac:dyDescent="0.25">
      <c r="B2246" t="s">
        <v>2132</v>
      </c>
      <c r="C2246" t="s">
        <v>2123</v>
      </c>
    </row>
    <row r="2247" spans="2:3" x14ac:dyDescent="0.25">
      <c r="B2247" t="s">
        <v>2134</v>
      </c>
      <c r="C2247" t="s">
        <v>2132</v>
      </c>
    </row>
    <row r="2248" spans="2:3" x14ac:dyDescent="0.25">
      <c r="B2248" t="s">
        <v>2136</v>
      </c>
      <c r="C2248" t="s">
        <v>2132</v>
      </c>
    </row>
    <row r="2249" spans="2:3" x14ac:dyDescent="0.25">
      <c r="B2249" t="s">
        <v>2138</v>
      </c>
      <c r="C2249" t="s">
        <v>2132</v>
      </c>
    </row>
    <row r="2250" spans="2:3" x14ac:dyDescent="0.25">
      <c r="B2250" t="s">
        <v>2140</v>
      </c>
      <c r="C2250" t="s">
        <v>2125</v>
      </c>
    </row>
    <row r="2251" spans="2:3" x14ac:dyDescent="0.25">
      <c r="B2251" t="s">
        <v>3198</v>
      </c>
      <c r="C2251" t="s">
        <v>2140</v>
      </c>
    </row>
    <row r="2252" spans="2:3" x14ac:dyDescent="0.25">
      <c r="B2252" t="s">
        <v>3199</v>
      </c>
      <c r="C2252" t="s">
        <v>2140</v>
      </c>
    </row>
    <row r="2253" spans="2:3" x14ac:dyDescent="0.25">
      <c r="B2253" t="s">
        <v>2105</v>
      </c>
      <c r="C2253" t="s">
        <v>2088</v>
      </c>
    </row>
    <row r="2254" spans="2:3" x14ac:dyDescent="0.25">
      <c r="B2254" t="s">
        <v>2103</v>
      </c>
      <c r="C2254" t="s">
        <v>2105</v>
      </c>
    </row>
    <row r="2255" spans="2:3" x14ac:dyDescent="0.25">
      <c r="B2255" t="s">
        <v>3019</v>
      </c>
      <c r="C2255" t="s">
        <v>2103</v>
      </c>
    </row>
    <row r="2256" spans="2:3" x14ac:dyDescent="0.25">
      <c r="B2256" t="s">
        <v>3021</v>
      </c>
      <c r="C2256" t="s">
        <v>2103</v>
      </c>
    </row>
    <row r="2257" spans="2:3" x14ac:dyDescent="0.25">
      <c r="B2257" t="s">
        <v>3023</v>
      </c>
      <c r="C2257" t="s">
        <v>2103</v>
      </c>
    </row>
    <row r="2258" spans="2:3" x14ac:dyDescent="0.25">
      <c r="B2258" t="s">
        <v>3025</v>
      </c>
      <c r="C2258" t="s">
        <v>2103</v>
      </c>
    </row>
    <row r="2259" spans="2:3" x14ac:dyDescent="0.25">
      <c r="B2259" t="s">
        <v>3027</v>
      </c>
      <c r="C2259" t="s">
        <v>2103</v>
      </c>
    </row>
    <row r="2260" spans="2:3" x14ac:dyDescent="0.25">
      <c r="B2260" t="s">
        <v>3029</v>
      </c>
      <c r="C2260" t="s">
        <v>2103</v>
      </c>
    </row>
    <row r="2261" spans="2:3" x14ac:dyDescent="0.25">
      <c r="B2261" t="s">
        <v>3031</v>
      </c>
      <c r="C2261" t="s">
        <v>2103</v>
      </c>
    </row>
    <row r="2262" spans="2:3" x14ac:dyDescent="0.25">
      <c r="B2262" t="s">
        <v>3033</v>
      </c>
      <c r="C2262" t="s">
        <v>2103</v>
      </c>
    </row>
    <row r="2263" spans="2:3" x14ac:dyDescent="0.25">
      <c r="B2263" t="s">
        <v>3035</v>
      </c>
      <c r="C2263" t="s">
        <v>2103</v>
      </c>
    </row>
    <row r="2264" spans="2:3" x14ac:dyDescent="0.25">
      <c r="B2264" t="s">
        <v>3037</v>
      </c>
      <c r="C2264" t="s">
        <v>2103</v>
      </c>
    </row>
    <row r="2265" spans="2:3" x14ac:dyDescent="0.25">
      <c r="B2265" t="s">
        <v>4577</v>
      </c>
      <c r="C2265" t="s">
        <v>3037</v>
      </c>
    </row>
    <row r="2266" spans="2:3" x14ac:dyDescent="0.25">
      <c r="B2266" t="s">
        <v>2106</v>
      </c>
      <c r="C2266" t="s">
        <v>2105</v>
      </c>
    </row>
    <row r="2267" spans="2:3" x14ac:dyDescent="0.25">
      <c r="B2267" t="s">
        <v>3192</v>
      </c>
      <c r="C2267" t="s">
        <v>2106</v>
      </c>
    </row>
    <row r="2268" spans="2:3" x14ac:dyDescent="0.25">
      <c r="B2268" t="s">
        <v>3193</v>
      </c>
      <c r="C2268" t="s">
        <v>2106</v>
      </c>
    </row>
    <row r="2269" spans="2:3" x14ac:dyDescent="0.25">
      <c r="B2269" t="s">
        <v>3194</v>
      </c>
      <c r="C2269" t="s">
        <v>2106</v>
      </c>
    </row>
    <row r="2270" spans="2:3" x14ac:dyDescent="0.25">
      <c r="B2270" t="s">
        <v>2401</v>
      </c>
      <c r="C2270" t="s">
        <v>2088</v>
      </c>
    </row>
    <row r="2271" spans="2:3" x14ac:dyDescent="0.25">
      <c r="B2271" t="s">
        <v>2399</v>
      </c>
      <c r="C2271" t="s">
        <v>2401</v>
      </c>
    </row>
    <row r="2272" spans="2:3" x14ac:dyDescent="0.25">
      <c r="B2272" t="s">
        <v>2402</v>
      </c>
      <c r="C2272" t="s">
        <v>2399</v>
      </c>
    </row>
    <row r="2273" spans="2:3" x14ac:dyDescent="0.25">
      <c r="B2273" t="s">
        <v>2404</v>
      </c>
      <c r="C2273" t="s">
        <v>2402</v>
      </c>
    </row>
    <row r="2274" spans="2:3" x14ac:dyDescent="0.25">
      <c r="B2274" t="s">
        <v>2406</v>
      </c>
      <c r="C2274" t="s">
        <v>2402</v>
      </c>
    </row>
    <row r="2275" spans="2:3" x14ac:dyDescent="0.25">
      <c r="B2275" t="s">
        <v>2408</v>
      </c>
      <c r="C2275" t="s">
        <v>2399</v>
      </c>
    </row>
    <row r="2276" spans="2:3" x14ac:dyDescent="0.25">
      <c r="B2276" t="s">
        <v>2410</v>
      </c>
      <c r="C2276" t="s">
        <v>2408</v>
      </c>
    </row>
    <row r="2277" spans="2:3" x14ac:dyDescent="0.25">
      <c r="B2277" t="s">
        <v>2412</v>
      </c>
      <c r="C2277" t="s">
        <v>2408</v>
      </c>
    </row>
    <row r="2278" spans="2:3" x14ac:dyDescent="0.25">
      <c r="B2278" t="s">
        <v>2414</v>
      </c>
      <c r="C2278" t="s">
        <v>2401</v>
      </c>
    </row>
    <row r="2279" spans="2:3" x14ac:dyDescent="0.25">
      <c r="B2279" t="s">
        <v>8820</v>
      </c>
      <c r="C2279" t="s">
        <v>2414</v>
      </c>
    </row>
    <row r="2280" spans="2:3" x14ac:dyDescent="0.25">
      <c r="B2280" t="s">
        <v>2144</v>
      </c>
      <c r="C2280" t="s">
        <v>8818</v>
      </c>
    </row>
    <row r="2281" spans="2:3" x14ac:dyDescent="0.25">
      <c r="B2281" t="s">
        <v>2142</v>
      </c>
      <c r="C2281" t="s">
        <v>2144</v>
      </c>
    </row>
    <row r="2282" spans="2:3" x14ac:dyDescent="0.25">
      <c r="B2282" t="s">
        <v>2537</v>
      </c>
      <c r="C2282" t="s">
        <v>8818</v>
      </c>
    </row>
    <row r="2283" spans="2:3" x14ac:dyDescent="0.25">
      <c r="B2283" t="s">
        <v>2535</v>
      </c>
      <c r="C2283" t="s">
        <v>2537</v>
      </c>
    </row>
    <row r="2284" spans="2:3" x14ac:dyDescent="0.25">
      <c r="B2284" t="s">
        <v>2538</v>
      </c>
      <c r="C2284" t="s">
        <v>2537</v>
      </c>
    </row>
    <row r="2285" spans="2:3" x14ac:dyDescent="0.25">
      <c r="B2285" t="s">
        <v>2540</v>
      </c>
      <c r="C2285" t="s">
        <v>2537</v>
      </c>
    </row>
    <row r="2286" spans="2:3" x14ac:dyDescent="0.25">
      <c r="B2286" t="s">
        <v>2149</v>
      </c>
      <c r="C2286" t="s">
        <v>8818</v>
      </c>
    </row>
    <row r="2287" spans="2:3" x14ac:dyDescent="0.25">
      <c r="B2287" t="s">
        <v>2145</v>
      </c>
      <c r="C2287" t="s">
        <v>2149</v>
      </c>
    </row>
    <row r="2288" spans="2:3" x14ac:dyDescent="0.25">
      <c r="B2288" t="s">
        <v>2147</v>
      </c>
      <c r="C2288" t="s">
        <v>2149</v>
      </c>
    </row>
    <row r="2289" spans="2:3" x14ac:dyDescent="0.25">
      <c r="B2289" t="s">
        <v>2153</v>
      </c>
      <c r="C2289" t="s">
        <v>2149</v>
      </c>
    </row>
    <row r="2290" spans="2:3" x14ac:dyDescent="0.25">
      <c r="B2290" t="s">
        <v>2155</v>
      </c>
      <c r="C2290" t="s">
        <v>2149</v>
      </c>
    </row>
    <row r="2291" spans="2:3" x14ac:dyDescent="0.25">
      <c r="B2291" t="s">
        <v>2151</v>
      </c>
      <c r="C2291" t="s">
        <v>8818</v>
      </c>
    </row>
    <row r="2292" spans="2:3" x14ac:dyDescent="0.25">
      <c r="B2292" t="s">
        <v>8821</v>
      </c>
      <c r="C2292" t="s">
        <v>2151</v>
      </c>
    </row>
    <row r="2293" spans="2:3" x14ac:dyDescent="0.25">
      <c r="B2293" t="s">
        <v>8822</v>
      </c>
      <c r="C2293" t="s">
        <v>2151</v>
      </c>
    </row>
    <row r="2294" spans="2:3" x14ac:dyDescent="0.25">
      <c r="B2294" t="s">
        <v>2157</v>
      </c>
      <c r="C2294" t="s">
        <v>2151</v>
      </c>
    </row>
    <row r="2295" spans="2:3" x14ac:dyDescent="0.25">
      <c r="B2295" t="s">
        <v>8823</v>
      </c>
      <c r="C2295" t="s">
        <v>2435</v>
      </c>
    </row>
    <row r="2296" spans="2:3" x14ac:dyDescent="0.25">
      <c r="B2296" t="s">
        <v>2312</v>
      </c>
      <c r="C2296" t="s">
        <v>8823</v>
      </c>
    </row>
    <row r="2297" spans="2:3" x14ac:dyDescent="0.25">
      <c r="B2297" t="s">
        <v>8824</v>
      </c>
      <c r="C2297" t="s">
        <v>2312</v>
      </c>
    </row>
    <row r="2298" spans="2:3" x14ac:dyDescent="0.25">
      <c r="B2298" t="s">
        <v>2310</v>
      </c>
      <c r="C2298" t="s">
        <v>2312</v>
      </c>
    </row>
    <row r="2299" spans="2:3" x14ac:dyDescent="0.25">
      <c r="B2299" t="s">
        <v>2313</v>
      </c>
      <c r="C2299" t="s">
        <v>2312</v>
      </c>
    </row>
    <row r="2300" spans="2:3" x14ac:dyDescent="0.25">
      <c r="B2300" t="s">
        <v>2315</v>
      </c>
      <c r="C2300" t="s">
        <v>2313</v>
      </c>
    </row>
    <row r="2301" spans="2:3" x14ac:dyDescent="0.25">
      <c r="B2301" t="s">
        <v>2317</v>
      </c>
      <c r="C2301" t="s">
        <v>2313</v>
      </c>
    </row>
    <row r="2302" spans="2:3" x14ac:dyDescent="0.25">
      <c r="B2302" t="s">
        <v>2319</v>
      </c>
      <c r="C2302" t="s">
        <v>2313</v>
      </c>
    </row>
    <row r="2303" spans="2:3" x14ac:dyDescent="0.25">
      <c r="B2303" t="s">
        <v>2321</v>
      </c>
      <c r="C2303" t="s">
        <v>2319</v>
      </c>
    </row>
    <row r="2304" spans="2:3" x14ac:dyDescent="0.25">
      <c r="B2304" t="s">
        <v>2325</v>
      </c>
      <c r="C2304" t="s">
        <v>2319</v>
      </c>
    </row>
    <row r="2305" spans="2:3" x14ac:dyDescent="0.25">
      <c r="B2305" t="s">
        <v>2323</v>
      </c>
      <c r="C2305" t="s">
        <v>2325</v>
      </c>
    </row>
    <row r="2306" spans="2:3" x14ac:dyDescent="0.25">
      <c r="B2306" t="s">
        <v>2326</v>
      </c>
      <c r="C2306" t="s">
        <v>2323</v>
      </c>
    </row>
    <row r="2307" spans="2:3" x14ac:dyDescent="0.25">
      <c r="B2307" t="s">
        <v>2328</v>
      </c>
      <c r="C2307" t="s">
        <v>2323</v>
      </c>
    </row>
    <row r="2308" spans="2:3" x14ac:dyDescent="0.25">
      <c r="B2308" t="s">
        <v>2330</v>
      </c>
      <c r="C2308" t="s">
        <v>2328</v>
      </c>
    </row>
    <row r="2309" spans="2:3" x14ac:dyDescent="0.25">
      <c r="B2309" t="s">
        <v>2332</v>
      </c>
      <c r="C2309" t="s">
        <v>2328</v>
      </c>
    </row>
    <row r="2310" spans="2:3" x14ac:dyDescent="0.25">
      <c r="B2310" t="s">
        <v>2334</v>
      </c>
      <c r="C2310" t="s">
        <v>2328</v>
      </c>
    </row>
    <row r="2311" spans="2:3" x14ac:dyDescent="0.25">
      <c r="B2311" t="s">
        <v>2336</v>
      </c>
      <c r="C2311" t="s">
        <v>2325</v>
      </c>
    </row>
    <row r="2312" spans="2:3" x14ac:dyDescent="0.25">
      <c r="B2312" t="s">
        <v>8825</v>
      </c>
      <c r="C2312" t="s">
        <v>2336</v>
      </c>
    </row>
    <row r="2313" spans="2:3" x14ac:dyDescent="0.25">
      <c r="B2313" t="s">
        <v>2340</v>
      </c>
      <c r="C2313" t="s">
        <v>2319</v>
      </c>
    </row>
    <row r="2314" spans="2:3" x14ac:dyDescent="0.25">
      <c r="B2314" t="s">
        <v>2338</v>
      </c>
      <c r="C2314" t="s">
        <v>2340</v>
      </c>
    </row>
    <row r="2315" spans="2:3" x14ac:dyDescent="0.25">
      <c r="B2315" t="s">
        <v>2341</v>
      </c>
      <c r="C2315" t="s">
        <v>2338</v>
      </c>
    </row>
    <row r="2316" spans="2:3" x14ac:dyDescent="0.25">
      <c r="B2316" t="s">
        <v>2343</v>
      </c>
      <c r="C2316" t="s">
        <v>2341</v>
      </c>
    </row>
    <row r="2317" spans="2:3" x14ac:dyDescent="0.25">
      <c r="B2317" t="s">
        <v>2345</v>
      </c>
      <c r="C2317" t="s">
        <v>2341</v>
      </c>
    </row>
    <row r="2318" spans="2:3" x14ac:dyDescent="0.25">
      <c r="B2318" t="s">
        <v>2347</v>
      </c>
      <c r="C2318" t="s">
        <v>2338</v>
      </c>
    </row>
    <row r="2319" spans="2:3" x14ac:dyDescent="0.25">
      <c r="B2319" t="s">
        <v>2349</v>
      </c>
      <c r="C2319" t="s">
        <v>2347</v>
      </c>
    </row>
    <row r="2320" spans="2:3" x14ac:dyDescent="0.25">
      <c r="B2320" t="s">
        <v>2351</v>
      </c>
      <c r="C2320" t="s">
        <v>2347</v>
      </c>
    </row>
    <row r="2321" spans="2:3" x14ac:dyDescent="0.25">
      <c r="B2321" t="s">
        <v>2353</v>
      </c>
      <c r="C2321" t="s">
        <v>2347</v>
      </c>
    </row>
    <row r="2322" spans="2:3" x14ac:dyDescent="0.25">
      <c r="B2322" t="s">
        <v>2355</v>
      </c>
      <c r="C2322" t="s">
        <v>2340</v>
      </c>
    </row>
    <row r="2323" spans="2:3" x14ac:dyDescent="0.25">
      <c r="B2323" t="s">
        <v>8826</v>
      </c>
      <c r="C2323" t="s">
        <v>2355</v>
      </c>
    </row>
    <row r="2324" spans="2:3" x14ac:dyDescent="0.25">
      <c r="B2324" t="s">
        <v>8827</v>
      </c>
      <c r="C2324" t="s">
        <v>2355</v>
      </c>
    </row>
    <row r="2325" spans="2:3" x14ac:dyDescent="0.25">
      <c r="B2325" t="s">
        <v>2359</v>
      </c>
      <c r="C2325" t="s">
        <v>2319</v>
      </c>
    </row>
    <row r="2326" spans="2:3" x14ac:dyDescent="0.25">
      <c r="B2326" t="s">
        <v>2357</v>
      </c>
      <c r="C2326" t="s">
        <v>2359</v>
      </c>
    </row>
    <row r="2327" spans="2:3" x14ac:dyDescent="0.25">
      <c r="B2327" t="s">
        <v>2360</v>
      </c>
      <c r="C2327" t="s">
        <v>2357</v>
      </c>
    </row>
    <row r="2328" spans="2:3" x14ac:dyDescent="0.25">
      <c r="B2328" t="s">
        <v>2362</v>
      </c>
      <c r="C2328" t="s">
        <v>2360</v>
      </c>
    </row>
    <row r="2329" spans="2:3" x14ac:dyDescent="0.25">
      <c r="B2329" t="s">
        <v>2364</v>
      </c>
      <c r="C2329" t="s">
        <v>2360</v>
      </c>
    </row>
    <row r="2330" spans="2:3" x14ac:dyDescent="0.25">
      <c r="B2330" t="s">
        <v>2366</v>
      </c>
      <c r="C2330" t="s">
        <v>2357</v>
      </c>
    </row>
    <row r="2331" spans="2:3" x14ac:dyDescent="0.25">
      <c r="B2331" t="s">
        <v>2368</v>
      </c>
      <c r="C2331" t="s">
        <v>2366</v>
      </c>
    </row>
    <row r="2332" spans="2:3" x14ac:dyDescent="0.25">
      <c r="B2332" t="s">
        <v>2370</v>
      </c>
      <c r="C2332" t="s">
        <v>2366</v>
      </c>
    </row>
    <row r="2333" spans="2:3" x14ac:dyDescent="0.25">
      <c r="B2333" t="s">
        <v>2372</v>
      </c>
      <c r="C2333" t="s">
        <v>2366</v>
      </c>
    </row>
    <row r="2334" spans="2:3" x14ac:dyDescent="0.25">
      <c r="B2334" t="s">
        <v>2374</v>
      </c>
      <c r="C2334" t="s">
        <v>2366</v>
      </c>
    </row>
    <row r="2335" spans="2:3" x14ac:dyDescent="0.25">
      <c r="B2335" t="s">
        <v>2376</v>
      </c>
      <c r="C2335" t="s">
        <v>2366</v>
      </c>
    </row>
    <row r="2336" spans="2:3" x14ac:dyDescent="0.25">
      <c r="B2336" t="s">
        <v>2378</v>
      </c>
      <c r="C2336" t="s">
        <v>2359</v>
      </c>
    </row>
    <row r="2337" spans="2:3" x14ac:dyDescent="0.25">
      <c r="B2337" t="s">
        <v>8828</v>
      </c>
      <c r="C2337" t="s">
        <v>2378</v>
      </c>
    </row>
    <row r="2338" spans="2:3" x14ac:dyDescent="0.25">
      <c r="B2338" t="s">
        <v>2382</v>
      </c>
      <c r="C2338" t="s">
        <v>2319</v>
      </c>
    </row>
    <row r="2339" spans="2:3" x14ac:dyDescent="0.25">
      <c r="B2339" t="s">
        <v>2380</v>
      </c>
      <c r="C2339" t="s">
        <v>2382</v>
      </c>
    </row>
    <row r="2340" spans="2:3" x14ac:dyDescent="0.25">
      <c r="B2340" t="s">
        <v>2383</v>
      </c>
      <c r="C2340" t="s">
        <v>2380</v>
      </c>
    </row>
    <row r="2341" spans="2:3" x14ac:dyDescent="0.25">
      <c r="B2341" t="s">
        <v>2385</v>
      </c>
      <c r="C2341" t="s">
        <v>2383</v>
      </c>
    </row>
    <row r="2342" spans="2:3" x14ac:dyDescent="0.25">
      <c r="B2342" t="s">
        <v>2387</v>
      </c>
      <c r="C2342" t="s">
        <v>2383</v>
      </c>
    </row>
    <row r="2343" spans="2:3" x14ac:dyDescent="0.25">
      <c r="B2343" t="s">
        <v>2389</v>
      </c>
      <c r="C2343" t="s">
        <v>2380</v>
      </c>
    </row>
    <row r="2344" spans="2:3" x14ac:dyDescent="0.25">
      <c r="B2344" t="s">
        <v>2391</v>
      </c>
      <c r="C2344" t="s">
        <v>2389</v>
      </c>
    </row>
    <row r="2345" spans="2:3" x14ac:dyDescent="0.25">
      <c r="B2345" t="s">
        <v>2393</v>
      </c>
      <c r="C2345" t="s">
        <v>2389</v>
      </c>
    </row>
    <row r="2346" spans="2:3" x14ac:dyDescent="0.25">
      <c r="B2346" t="s">
        <v>2395</v>
      </c>
      <c r="C2346" t="s">
        <v>2389</v>
      </c>
    </row>
    <row r="2347" spans="2:3" x14ac:dyDescent="0.25">
      <c r="B2347" t="s">
        <v>2397</v>
      </c>
      <c r="C2347" t="s">
        <v>2382</v>
      </c>
    </row>
    <row r="2348" spans="2:3" x14ac:dyDescent="0.25">
      <c r="B2348" t="s">
        <v>8829</v>
      </c>
      <c r="C2348" t="s">
        <v>2397</v>
      </c>
    </row>
    <row r="2349" spans="2:3" x14ac:dyDescent="0.25">
      <c r="B2349" t="s">
        <v>8830</v>
      </c>
      <c r="C2349" t="s">
        <v>2397</v>
      </c>
    </row>
    <row r="2350" spans="2:3" x14ac:dyDescent="0.25">
      <c r="B2350" t="s">
        <v>2418</v>
      </c>
      <c r="C2350" t="s">
        <v>8823</v>
      </c>
    </row>
    <row r="2351" spans="2:3" x14ac:dyDescent="0.25">
      <c r="B2351" t="s">
        <v>2416</v>
      </c>
      <c r="C2351" t="s">
        <v>2418</v>
      </c>
    </row>
    <row r="2352" spans="2:3" x14ac:dyDescent="0.25">
      <c r="B2352" t="s">
        <v>2419</v>
      </c>
      <c r="C2352" t="s">
        <v>2418</v>
      </c>
    </row>
    <row r="2353" spans="2:3" x14ac:dyDescent="0.25">
      <c r="B2353" t="s">
        <v>2421</v>
      </c>
      <c r="C2353" t="s">
        <v>2418</v>
      </c>
    </row>
    <row r="2354" spans="2:3" x14ac:dyDescent="0.25">
      <c r="B2354" t="s">
        <v>2558</v>
      </c>
      <c r="C2354" t="s">
        <v>8823</v>
      </c>
    </row>
    <row r="2355" spans="2:3" x14ac:dyDescent="0.25">
      <c r="B2355" t="s">
        <v>2556</v>
      </c>
      <c r="C2355" t="s">
        <v>2558</v>
      </c>
    </row>
    <row r="2356" spans="2:3" x14ac:dyDescent="0.25">
      <c r="B2356" t="s">
        <v>2559</v>
      </c>
      <c r="C2356" t="s">
        <v>2558</v>
      </c>
    </row>
    <row r="2357" spans="2:3" x14ac:dyDescent="0.25">
      <c r="B2357" t="s">
        <v>2561</v>
      </c>
      <c r="C2357" t="s">
        <v>2558</v>
      </c>
    </row>
    <row r="2358" spans="2:3" x14ac:dyDescent="0.25">
      <c r="B2358" t="s">
        <v>8832</v>
      </c>
      <c r="C2358" t="s">
        <v>8831</v>
      </c>
    </row>
    <row r="2359" spans="2:3" x14ac:dyDescent="0.25">
      <c r="B2359" t="s">
        <v>8833</v>
      </c>
      <c r="C2359" t="s">
        <v>8831</v>
      </c>
    </row>
    <row r="2360" spans="2:3" x14ac:dyDescent="0.25">
      <c r="B2360" t="s">
        <v>8834</v>
      </c>
      <c r="C2360" t="s">
        <v>8831</v>
      </c>
    </row>
    <row r="2361" spans="2:3" x14ac:dyDescent="0.25">
      <c r="B2361" t="s">
        <v>8159</v>
      </c>
      <c r="C2361" t="s">
        <v>8831</v>
      </c>
    </row>
    <row r="2362" spans="2:3" x14ac:dyDescent="0.25">
      <c r="B2362" t="s">
        <v>8835</v>
      </c>
      <c r="C2362" t="s">
        <v>8159</v>
      </c>
    </row>
    <row r="2363" spans="2:3" x14ac:dyDescent="0.25">
      <c r="B2363" t="s">
        <v>8836</v>
      </c>
      <c r="C2363" t="s">
        <v>8831</v>
      </c>
    </row>
    <row r="2364" spans="2:3" x14ac:dyDescent="0.25">
      <c r="B2364" t="s">
        <v>8161</v>
      </c>
      <c r="C2364" t="s">
        <v>8831</v>
      </c>
    </row>
    <row r="2365" spans="2:3" x14ac:dyDescent="0.25">
      <c r="B2365" t="s">
        <v>8837</v>
      </c>
      <c r="C2365" t="s">
        <v>8831</v>
      </c>
    </row>
    <row r="2366" spans="2:3" x14ac:dyDescent="0.25">
      <c r="B2366" t="s">
        <v>275</v>
      </c>
      <c r="C2366" t="s">
        <v>8831</v>
      </c>
    </row>
    <row r="2367" spans="2:3" x14ac:dyDescent="0.25">
      <c r="B2367" t="s">
        <v>4481</v>
      </c>
      <c r="C2367" t="s">
        <v>275</v>
      </c>
    </row>
    <row r="2368" spans="2:3" x14ac:dyDescent="0.25">
      <c r="B2368" t="s">
        <v>4488</v>
      </c>
      <c r="C2368" t="s">
        <v>275</v>
      </c>
    </row>
    <row r="2369" spans="2:3" x14ac:dyDescent="0.25">
      <c r="B2369" t="s">
        <v>4490</v>
      </c>
      <c r="C2369" t="s">
        <v>275</v>
      </c>
    </row>
    <row r="2370" spans="2:3" x14ac:dyDescent="0.25">
      <c r="B2370" t="s">
        <v>4494</v>
      </c>
      <c r="C2370" t="s">
        <v>275</v>
      </c>
    </row>
    <row r="2371" spans="2:3" x14ac:dyDescent="0.25">
      <c r="B2371" t="s">
        <v>4496</v>
      </c>
      <c r="C2371" t="s">
        <v>275</v>
      </c>
    </row>
    <row r="2372" spans="2:3" x14ac:dyDescent="0.25">
      <c r="B2372" t="s">
        <v>4500</v>
      </c>
      <c r="C2372" t="s">
        <v>275</v>
      </c>
    </row>
    <row r="2373" spans="2:3" x14ac:dyDescent="0.25">
      <c r="B2373" t="s">
        <v>8838</v>
      </c>
      <c r="C2373" t="s">
        <v>275</v>
      </c>
    </row>
    <row r="2374" spans="2:3" x14ac:dyDescent="0.25">
      <c r="B2374" t="s">
        <v>6094</v>
      </c>
      <c r="C2374" t="s">
        <v>275</v>
      </c>
    </row>
    <row r="2375" spans="2:3" x14ac:dyDescent="0.25">
      <c r="B2375" t="s">
        <v>5274</v>
      </c>
      <c r="C2375" t="s">
        <v>275</v>
      </c>
    </row>
    <row r="2376" spans="2:3" x14ac:dyDescent="0.25">
      <c r="B2376" t="s">
        <v>5276</v>
      </c>
      <c r="C2376" t="s">
        <v>275</v>
      </c>
    </row>
    <row r="2377" spans="2:3" x14ac:dyDescent="0.25">
      <c r="B2377" t="s">
        <v>5280</v>
      </c>
      <c r="C2377" t="s">
        <v>5276</v>
      </c>
    </row>
    <row r="2378" spans="2:3" x14ac:dyDescent="0.25">
      <c r="B2378" t="s">
        <v>5282</v>
      </c>
      <c r="C2378" t="s">
        <v>5276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0F7-0A42-4C01-8E61-48CA3A4E4349}">
  <dimension ref="A1:G176"/>
  <sheetViews>
    <sheetView topLeftCell="A141" workbookViewId="0">
      <selection activeCell="A107" sqref="A107:B176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7635</v>
      </c>
      <c r="B2" t="s">
        <v>7628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7636</v>
      </c>
      <c r="B3" t="s">
        <v>7629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7637</v>
      </c>
      <c r="B4" t="s">
        <v>7630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7638</v>
      </c>
      <c r="B5" t="s">
        <v>7631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7639</v>
      </c>
      <c r="B6" t="s">
        <v>7632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7640</v>
      </c>
      <c r="B7" t="s">
        <v>7633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7641</v>
      </c>
      <c r="B8" t="s">
        <v>7634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7643</v>
      </c>
      <c r="B9" t="s">
        <v>7644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7645</v>
      </c>
      <c r="B10" t="s">
        <v>7646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7647</v>
      </c>
      <c r="B11" t="s">
        <v>7648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7649</v>
      </c>
      <c r="B12" t="s">
        <v>7650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7651</v>
      </c>
      <c r="B13" t="s">
        <v>7652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7653</v>
      </c>
      <c r="B14" t="s">
        <v>7654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7655</v>
      </c>
      <c r="B15" t="s">
        <v>7656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7657</v>
      </c>
      <c r="B16" t="s">
        <v>7658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5602</v>
      </c>
      <c r="B17" t="s">
        <v>7659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5616</v>
      </c>
      <c r="B18" t="s">
        <v>7660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5621</v>
      </c>
      <c r="B19" t="s">
        <v>7661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5627</v>
      </c>
      <c r="B20" t="s">
        <v>7662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5637</v>
      </c>
      <c r="B21" t="s">
        <v>7663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7664</v>
      </c>
      <c r="B22" t="s">
        <v>7665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7666</v>
      </c>
      <c r="B23" t="s">
        <v>7667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7668</v>
      </c>
      <c r="B24" t="s">
        <v>7669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7670</v>
      </c>
      <c r="B25" t="s">
        <v>7671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7739</v>
      </c>
      <c r="B26" t="s">
        <v>7680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7740</v>
      </c>
      <c r="B27" t="s">
        <v>7681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7741</v>
      </c>
      <c r="B28" t="s">
        <v>7682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7742</v>
      </c>
      <c r="B29" t="s">
        <v>7683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7743</v>
      </c>
      <c r="B30" t="s">
        <v>7684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7744</v>
      </c>
      <c r="B31" t="s">
        <v>7685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7745</v>
      </c>
      <c r="B32" t="s">
        <v>7686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7746</v>
      </c>
      <c r="B33" t="s">
        <v>7687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7747</v>
      </c>
      <c r="B34" t="s">
        <v>7688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7748</v>
      </c>
      <c r="B35" t="s">
        <v>7689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7749</v>
      </c>
      <c r="B36" t="s">
        <v>7690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7750</v>
      </c>
      <c r="B37" t="s">
        <v>7691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7751</v>
      </c>
      <c r="B38" t="s">
        <v>7692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7752</v>
      </c>
      <c r="B39" t="s">
        <v>7693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7753</v>
      </c>
      <c r="B40" t="s">
        <v>7694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6329</v>
      </c>
      <c r="B41" t="s">
        <v>6519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3341</v>
      </c>
      <c r="B42" t="s">
        <v>7695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7696</v>
      </c>
      <c r="B43" t="s">
        <v>7697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7698</v>
      </c>
      <c r="B44" t="s">
        <v>5503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3557</v>
      </c>
      <c r="B45" t="s">
        <v>7699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4133</v>
      </c>
      <c r="B46" t="s">
        <v>7700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4135</v>
      </c>
      <c r="B47" t="s">
        <v>7701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4137</v>
      </c>
      <c r="B48" t="s">
        <v>7702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3952</v>
      </c>
      <c r="B49" t="s">
        <v>7703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3972</v>
      </c>
      <c r="B50" t="s">
        <v>7704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3491</v>
      </c>
      <c r="B51" t="s">
        <v>7705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3611</v>
      </c>
      <c r="B52" t="s">
        <v>7706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4201</v>
      </c>
      <c r="B53" t="s">
        <v>7707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4072</v>
      </c>
      <c r="B54" t="s">
        <v>7708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7755</v>
      </c>
      <c r="B55" s="51" t="s">
        <v>6345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7813</v>
      </c>
      <c r="B56" t="s">
        <v>7757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7814</v>
      </c>
      <c r="B57" t="s">
        <v>7758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7815</v>
      </c>
      <c r="B58" t="s">
        <v>7759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7816</v>
      </c>
      <c r="B59" t="s">
        <v>7760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7817</v>
      </c>
      <c r="B60" t="s">
        <v>7761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7818</v>
      </c>
      <c r="B61" t="s">
        <v>7762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7819</v>
      </c>
      <c r="B62" t="s">
        <v>7764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7820</v>
      </c>
      <c r="B63" t="s">
        <v>7765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7821</v>
      </c>
      <c r="B64" t="s">
        <v>7766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7822</v>
      </c>
      <c r="B65" t="s">
        <v>7767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7823</v>
      </c>
      <c r="B66" t="s">
        <v>7768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7824</v>
      </c>
      <c r="B67" t="s">
        <v>7769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7825</v>
      </c>
      <c r="B68" t="s">
        <v>7770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7826</v>
      </c>
      <c r="B69" t="s">
        <v>7771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7827</v>
      </c>
      <c r="B70" t="s">
        <v>7772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7828</v>
      </c>
      <c r="B71" t="s">
        <v>7773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7829</v>
      </c>
      <c r="B72" t="s">
        <v>7774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7830</v>
      </c>
      <c r="B73" t="s">
        <v>7775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7831</v>
      </c>
      <c r="B74" t="s">
        <v>7776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7832</v>
      </c>
      <c r="B75" t="s">
        <v>7777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7833</v>
      </c>
      <c r="B76" t="s">
        <v>7778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7834</v>
      </c>
      <c r="B77" t="s">
        <v>7779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7835</v>
      </c>
      <c r="B78" t="s">
        <v>7780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7836</v>
      </c>
      <c r="B79" t="s">
        <v>7781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7837</v>
      </c>
      <c r="B80" t="s">
        <v>7782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7838</v>
      </c>
      <c r="B81" t="s">
        <v>7783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7839</v>
      </c>
      <c r="B82" t="s">
        <v>7784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7840</v>
      </c>
      <c r="B83" t="s">
        <v>7785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7841</v>
      </c>
      <c r="B84" t="s">
        <v>7786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7842</v>
      </c>
      <c r="B85" t="s">
        <v>7787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7843</v>
      </c>
      <c r="B86" t="s">
        <v>7788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7844</v>
      </c>
      <c r="B87" t="s">
        <v>7789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7845</v>
      </c>
      <c r="B88" t="s">
        <v>7790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  <row r="89" spans="1:7" x14ac:dyDescent="0.25">
      <c r="A89" t="s">
        <v>7846</v>
      </c>
      <c r="B89" t="s">
        <v>7791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</row>
    <row r="90" spans="1:7" x14ac:dyDescent="0.25">
      <c r="A90" t="s">
        <v>7847</v>
      </c>
      <c r="B90" t="s">
        <v>7792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</row>
    <row r="91" spans="1:7" x14ac:dyDescent="0.25">
      <c r="A91" t="s">
        <v>7848</v>
      </c>
      <c r="B91" t="s">
        <v>7793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</row>
    <row r="92" spans="1:7" x14ac:dyDescent="0.25">
      <c r="A92" t="s">
        <v>7849</v>
      </c>
      <c r="B92" t="s">
        <v>7794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</row>
    <row r="93" spans="1:7" x14ac:dyDescent="0.25">
      <c r="A93" t="s">
        <v>7850</v>
      </c>
      <c r="B93" t="s">
        <v>7795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</row>
    <row r="94" spans="1:7" x14ac:dyDescent="0.25">
      <c r="A94" t="s">
        <v>7851</v>
      </c>
      <c r="B94" t="s">
        <v>7796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</row>
    <row r="95" spans="1:7" x14ac:dyDescent="0.25">
      <c r="A95" t="s">
        <v>7852</v>
      </c>
      <c r="B95" t="s">
        <v>7797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</row>
    <row r="96" spans="1:7" x14ac:dyDescent="0.25">
      <c r="A96" t="s">
        <v>7853</v>
      </c>
      <c r="B96" t="s">
        <v>7798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</row>
    <row r="97" spans="1:7" x14ac:dyDescent="0.25">
      <c r="A97" t="s">
        <v>7854</v>
      </c>
      <c r="B97" t="s">
        <v>7799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</row>
    <row r="98" spans="1:7" x14ac:dyDescent="0.25">
      <c r="A98" t="s">
        <v>7855</v>
      </c>
      <c r="B98" t="s">
        <v>7800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</row>
    <row r="99" spans="1:7" x14ac:dyDescent="0.25">
      <c r="A99" t="s">
        <v>7856</v>
      </c>
      <c r="B99" t="s">
        <v>7801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7" x14ac:dyDescent="0.25">
      <c r="A100" t="s">
        <v>7857</v>
      </c>
      <c r="B100" t="s">
        <v>7802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7" x14ac:dyDescent="0.25">
      <c r="A101" t="s">
        <v>7858</v>
      </c>
      <c r="B101" t="s">
        <v>7803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7" x14ac:dyDescent="0.25">
      <c r="A102" t="s">
        <v>4608</v>
      </c>
      <c r="B102" t="s">
        <v>7808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7" x14ac:dyDescent="0.25">
      <c r="A103" t="s">
        <v>4612</v>
      </c>
      <c r="B103" t="s">
        <v>7809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7" x14ac:dyDescent="0.25">
      <c r="A104" t="s">
        <v>4618</v>
      </c>
      <c r="B104" t="s">
        <v>7810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7" x14ac:dyDescent="0.25">
      <c r="A105" t="s">
        <v>4614</v>
      </c>
      <c r="B105" t="s">
        <v>7811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7" spans="1:7" x14ac:dyDescent="0.25">
      <c r="A107">
        <v>1000</v>
      </c>
    </row>
    <row r="108" spans="1:7" x14ac:dyDescent="0.25">
      <c r="A108" t="s">
        <v>4840</v>
      </c>
      <c r="B108" t="s">
        <v>7635</v>
      </c>
    </row>
    <row r="109" spans="1:7" x14ac:dyDescent="0.25">
      <c r="A109" t="s">
        <v>6422</v>
      </c>
      <c r="B109" t="s">
        <v>7636</v>
      </c>
    </row>
    <row r="110" spans="1:7" x14ac:dyDescent="0.25">
      <c r="A110" t="s">
        <v>7642</v>
      </c>
      <c r="B110" t="s">
        <v>7637</v>
      </c>
    </row>
    <row r="111" spans="1:7" x14ac:dyDescent="0.25">
      <c r="A111" t="s">
        <v>3660</v>
      </c>
      <c r="B111" t="s">
        <v>7638</v>
      </c>
    </row>
    <row r="112" spans="1:7" x14ac:dyDescent="0.25">
      <c r="A112" t="s">
        <v>7638</v>
      </c>
      <c r="B112" t="s">
        <v>7639</v>
      </c>
    </row>
    <row r="113" spans="1:2" x14ac:dyDescent="0.25">
      <c r="A113" t="s">
        <v>7638</v>
      </c>
      <c r="B113" t="s">
        <v>7640</v>
      </c>
    </row>
    <row r="114" spans="1:2" x14ac:dyDescent="0.25">
      <c r="A114" t="s">
        <v>7638</v>
      </c>
      <c r="B114" t="s">
        <v>7641</v>
      </c>
    </row>
    <row r="115" spans="1:2" x14ac:dyDescent="0.25">
      <c r="A115" t="s">
        <v>5746</v>
      </c>
      <c r="B115" t="s">
        <v>7739</v>
      </c>
    </row>
    <row r="116" spans="1:2" x14ac:dyDescent="0.25">
      <c r="A116" t="s">
        <v>5494</v>
      </c>
      <c r="B116" t="s">
        <v>7740</v>
      </c>
    </row>
    <row r="117" spans="1:2" x14ac:dyDescent="0.25">
      <c r="A117" t="s">
        <v>5494</v>
      </c>
      <c r="B117" t="s">
        <v>7741</v>
      </c>
    </row>
    <row r="118" spans="1:2" x14ac:dyDescent="0.25">
      <c r="A118" t="s">
        <v>5494</v>
      </c>
      <c r="B118" t="s">
        <v>7742</v>
      </c>
    </row>
    <row r="119" spans="1:2" x14ac:dyDescent="0.25">
      <c r="A119" t="s">
        <v>3341</v>
      </c>
      <c r="B119" t="s">
        <v>7743</v>
      </c>
    </row>
    <row r="120" spans="1:2" x14ac:dyDescent="0.25">
      <c r="A120" t="s">
        <v>956</v>
      </c>
      <c r="B120" t="s">
        <v>7744</v>
      </c>
    </row>
    <row r="121" spans="1:2" x14ac:dyDescent="0.25">
      <c r="A121" t="s">
        <v>956</v>
      </c>
      <c r="B121" t="s">
        <v>7745</v>
      </c>
    </row>
    <row r="122" spans="1:2" x14ac:dyDescent="0.25">
      <c r="A122" t="s">
        <v>3971</v>
      </c>
      <c r="B122" t="s">
        <v>7746</v>
      </c>
    </row>
    <row r="123" spans="1:2" x14ac:dyDescent="0.25">
      <c r="A123" t="s">
        <v>3971</v>
      </c>
      <c r="B123" t="s">
        <v>7747</v>
      </c>
    </row>
    <row r="124" spans="1:2" x14ac:dyDescent="0.25">
      <c r="A124" t="s">
        <v>4831</v>
      </c>
      <c r="B124" t="s">
        <v>7748</v>
      </c>
    </row>
    <row r="125" spans="1:2" x14ac:dyDescent="0.25">
      <c r="A125" t="s">
        <v>4831</v>
      </c>
      <c r="B125" t="s">
        <v>7749</v>
      </c>
    </row>
    <row r="126" spans="1:2" x14ac:dyDescent="0.25">
      <c r="A126" t="s">
        <v>4831</v>
      </c>
      <c r="B126" t="s">
        <v>7750</v>
      </c>
    </row>
    <row r="127" spans="1:2" x14ac:dyDescent="0.25">
      <c r="A127" t="s">
        <v>4831</v>
      </c>
      <c r="B127" t="s">
        <v>7751</v>
      </c>
    </row>
    <row r="128" spans="1:2" x14ac:dyDescent="0.25">
      <c r="A128" t="s">
        <v>4831</v>
      </c>
      <c r="B128" t="s">
        <v>7752</v>
      </c>
    </row>
    <row r="129" spans="1:2" x14ac:dyDescent="0.25">
      <c r="A129" t="s">
        <v>3514</v>
      </c>
      <c r="B129" t="s">
        <v>7753</v>
      </c>
    </row>
    <row r="130" spans="1:2" x14ac:dyDescent="0.25">
      <c r="A130" t="s">
        <v>6344</v>
      </c>
      <c r="B130" t="s">
        <v>7755</v>
      </c>
    </row>
    <row r="131" spans="1:2" x14ac:dyDescent="0.25">
      <c r="A131" t="s">
        <v>2433</v>
      </c>
      <c r="B131" t="s">
        <v>7813</v>
      </c>
    </row>
    <row r="132" spans="1:2" x14ac:dyDescent="0.25">
      <c r="A132" t="s">
        <v>2740</v>
      </c>
      <c r="B132" t="s">
        <v>7814</v>
      </c>
    </row>
    <row r="133" spans="1:2" x14ac:dyDescent="0.25">
      <c r="A133" t="s">
        <v>2684</v>
      </c>
      <c r="B133" t="s">
        <v>7815</v>
      </c>
    </row>
    <row r="134" spans="1:2" x14ac:dyDescent="0.25">
      <c r="A134" t="s">
        <v>2684</v>
      </c>
      <c r="B134" t="s">
        <v>7816</v>
      </c>
    </row>
    <row r="135" spans="1:2" x14ac:dyDescent="0.25">
      <c r="A135" t="s">
        <v>2742</v>
      </c>
      <c r="B135" t="s">
        <v>7817</v>
      </c>
    </row>
    <row r="136" spans="1:2" x14ac:dyDescent="0.25">
      <c r="A136" t="s">
        <v>7763</v>
      </c>
      <c r="B136" t="s">
        <v>7818</v>
      </c>
    </row>
    <row r="137" spans="1:2" x14ac:dyDescent="0.25">
      <c r="A137" t="s">
        <v>4618</v>
      </c>
      <c r="B137" t="s">
        <v>7819</v>
      </c>
    </row>
    <row r="138" spans="1:2" x14ac:dyDescent="0.25">
      <c r="A138" t="s">
        <v>2742</v>
      </c>
      <c r="B138" t="s">
        <v>7820</v>
      </c>
    </row>
    <row r="139" spans="1:2" x14ac:dyDescent="0.25">
      <c r="A139" t="s">
        <v>5308</v>
      </c>
      <c r="B139" t="s">
        <v>7821</v>
      </c>
    </row>
    <row r="140" spans="1:2" x14ac:dyDescent="0.25">
      <c r="A140" t="s">
        <v>4628</v>
      </c>
      <c r="B140" t="s">
        <v>7822</v>
      </c>
    </row>
    <row r="141" spans="1:2" x14ac:dyDescent="0.25">
      <c r="A141" t="s">
        <v>4628</v>
      </c>
      <c r="B141" t="s">
        <v>7823</v>
      </c>
    </row>
    <row r="142" spans="1:2" x14ac:dyDescent="0.25">
      <c r="A142" t="s">
        <v>7823</v>
      </c>
      <c r="B142" t="s">
        <v>7824</v>
      </c>
    </row>
    <row r="143" spans="1:2" x14ac:dyDescent="0.25">
      <c r="A143" t="s">
        <v>7823</v>
      </c>
      <c r="B143" t="s">
        <v>7825</v>
      </c>
    </row>
    <row r="144" spans="1:2" x14ac:dyDescent="0.25">
      <c r="A144" t="s">
        <v>4628</v>
      </c>
      <c r="B144" t="s">
        <v>7826</v>
      </c>
    </row>
    <row r="145" spans="1:2" x14ac:dyDescent="0.25">
      <c r="A145" t="s">
        <v>4628</v>
      </c>
      <c r="B145" t="s">
        <v>7827</v>
      </c>
    </row>
    <row r="146" spans="1:2" x14ac:dyDescent="0.25">
      <c r="A146" t="s">
        <v>4630</v>
      </c>
      <c r="B146" t="s">
        <v>7828</v>
      </c>
    </row>
    <row r="147" spans="1:2" x14ac:dyDescent="0.25">
      <c r="A147" t="s">
        <v>4630</v>
      </c>
      <c r="B147" t="s">
        <v>7829</v>
      </c>
    </row>
    <row r="148" spans="1:2" x14ac:dyDescent="0.25">
      <c r="A148" t="s">
        <v>7829</v>
      </c>
      <c r="B148" t="s">
        <v>7830</v>
      </c>
    </row>
    <row r="149" spans="1:2" x14ac:dyDescent="0.25">
      <c r="A149" t="s">
        <v>7829</v>
      </c>
      <c r="B149" t="s">
        <v>7831</v>
      </c>
    </row>
    <row r="150" spans="1:2" x14ac:dyDescent="0.25">
      <c r="A150" t="s">
        <v>4630</v>
      </c>
      <c r="B150" t="s">
        <v>7832</v>
      </c>
    </row>
    <row r="151" spans="1:2" x14ac:dyDescent="0.25">
      <c r="A151" t="s">
        <v>4630</v>
      </c>
      <c r="B151" t="s">
        <v>7833</v>
      </c>
    </row>
    <row r="152" spans="1:2" x14ac:dyDescent="0.25">
      <c r="A152" t="s">
        <v>4634</v>
      </c>
      <c r="B152" t="s">
        <v>7834</v>
      </c>
    </row>
    <row r="153" spans="1:2" x14ac:dyDescent="0.25">
      <c r="A153" t="s">
        <v>4634</v>
      </c>
      <c r="B153" t="s">
        <v>7835</v>
      </c>
    </row>
    <row r="154" spans="1:2" x14ac:dyDescent="0.25">
      <c r="A154" t="s">
        <v>7835</v>
      </c>
      <c r="B154" t="s">
        <v>7836</v>
      </c>
    </row>
    <row r="155" spans="1:2" x14ac:dyDescent="0.25">
      <c r="A155" t="s">
        <v>7835</v>
      </c>
      <c r="B155" t="s">
        <v>7837</v>
      </c>
    </row>
    <row r="156" spans="1:2" x14ac:dyDescent="0.25">
      <c r="A156" t="s">
        <v>4634</v>
      </c>
      <c r="B156" t="s">
        <v>7838</v>
      </c>
    </row>
    <row r="157" spans="1:2" x14ac:dyDescent="0.25">
      <c r="A157" t="s">
        <v>4634</v>
      </c>
      <c r="B157" t="s">
        <v>7839</v>
      </c>
    </row>
    <row r="158" spans="1:2" x14ac:dyDescent="0.25">
      <c r="A158" t="s">
        <v>4632</v>
      </c>
      <c r="B158" t="s">
        <v>7840</v>
      </c>
    </row>
    <row r="159" spans="1:2" x14ac:dyDescent="0.25">
      <c r="A159" t="s">
        <v>4628</v>
      </c>
      <c r="B159" t="s">
        <v>7841</v>
      </c>
    </row>
    <row r="160" spans="1:2" x14ac:dyDescent="0.25">
      <c r="A160" t="s">
        <v>4630</v>
      </c>
      <c r="B160" t="s">
        <v>7842</v>
      </c>
    </row>
    <row r="161" spans="1:2" x14ac:dyDescent="0.25">
      <c r="A161" t="s">
        <v>4634</v>
      </c>
      <c r="B161" t="s">
        <v>7843</v>
      </c>
    </row>
    <row r="162" spans="1:2" x14ac:dyDescent="0.25">
      <c r="A162" t="s">
        <v>2096</v>
      </c>
      <c r="B162" t="s">
        <v>7844</v>
      </c>
    </row>
    <row r="163" spans="1:2" x14ac:dyDescent="0.25">
      <c r="A163" t="s">
        <v>2096</v>
      </c>
      <c r="B163" t="s">
        <v>7845</v>
      </c>
    </row>
    <row r="164" spans="1:2" x14ac:dyDescent="0.25">
      <c r="A164" t="s">
        <v>2096</v>
      </c>
      <c r="B164" t="s">
        <v>7846</v>
      </c>
    </row>
    <row r="165" spans="1:2" x14ac:dyDescent="0.25">
      <c r="A165" t="s">
        <v>2096</v>
      </c>
      <c r="B165" t="s">
        <v>7847</v>
      </c>
    </row>
    <row r="166" spans="1:2" x14ac:dyDescent="0.25">
      <c r="A166" t="s">
        <v>2096</v>
      </c>
      <c r="B166" t="s">
        <v>7848</v>
      </c>
    </row>
    <row r="167" spans="1:2" x14ac:dyDescent="0.25">
      <c r="A167" t="s">
        <v>2096</v>
      </c>
      <c r="B167" t="s">
        <v>7849</v>
      </c>
    </row>
    <row r="168" spans="1:2" x14ac:dyDescent="0.25">
      <c r="A168" t="s">
        <v>2096</v>
      </c>
      <c r="B168" t="s">
        <v>7850</v>
      </c>
    </row>
    <row r="169" spans="1:2" x14ac:dyDescent="0.25">
      <c r="A169" t="s">
        <v>2096</v>
      </c>
      <c r="B169" t="s">
        <v>7851</v>
      </c>
    </row>
    <row r="170" spans="1:2" x14ac:dyDescent="0.25">
      <c r="A170" t="s">
        <v>2096</v>
      </c>
      <c r="B170" t="s">
        <v>7852</v>
      </c>
    </row>
    <row r="171" spans="1:2" x14ac:dyDescent="0.25">
      <c r="A171" t="s">
        <v>2096</v>
      </c>
      <c r="B171" t="s">
        <v>7853</v>
      </c>
    </row>
    <row r="172" spans="1:2" x14ac:dyDescent="0.25">
      <c r="A172" t="s">
        <v>2096</v>
      </c>
      <c r="B172" t="s">
        <v>7854</v>
      </c>
    </row>
    <row r="173" spans="1:2" x14ac:dyDescent="0.25">
      <c r="A173" t="s">
        <v>2096</v>
      </c>
      <c r="B173" t="s">
        <v>7855</v>
      </c>
    </row>
    <row r="174" spans="1:2" x14ac:dyDescent="0.25">
      <c r="A174" t="s">
        <v>2096</v>
      </c>
      <c r="B174" t="s">
        <v>7856</v>
      </c>
    </row>
    <row r="175" spans="1:2" x14ac:dyDescent="0.25">
      <c r="A175" t="s">
        <v>2433</v>
      </c>
      <c r="B175" t="s">
        <v>7857</v>
      </c>
    </row>
    <row r="176" spans="1:2" x14ac:dyDescent="0.25">
      <c r="A176" t="s">
        <v>2653</v>
      </c>
      <c r="B176" t="s">
        <v>7858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A61-ECB8-40C5-99B9-FBF26D61BC97}">
  <dimension ref="A1:D46"/>
  <sheetViews>
    <sheetView workbookViewId="0">
      <selection activeCell="D1" sqref="D1:D46"/>
    </sheetView>
  </sheetViews>
  <sheetFormatPr defaultRowHeight="15" x14ac:dyDescent="0.25"/>
  <sheetData>
    <row r="1" spans="1:4" x14ac:dyDescent="0.25">
      <c r="A1" t="s">
        <v>7757</v>
      </c>
      <c r="B1" s="51" t="s">
        <v>7812</v>
      </c>
      <c r="C1">
        <v>1335</v>
      </c>
      <c r="D1" t="str">
        <f>B1&amp;C1</f>
        <v>P000001335</v>
      </c>
    </row>
    <row r="2" spans="1:4" x14ac:dyDescent="0.25">
      <c r="A2" t="s">
        <v>7758</v>
      </c>
      <c r="B2" s="51" t="s">
        <v>7812</v>
      </c>
      <c r="C2">
        <f>+C1+1</f>
        <v>1336</v>
      </c>
      <c r="D2" t="str">
        <f t="shared" ref="D2:D46" si="0">B2&amp;C2</f>
        <v>P000001336</v>
      </c>
    </row>
    <row r="3" spans="1:4" x14ac:dyDescent="0.25">
      <c r="A3" t="s">
        <v>7759</v>
      </c>
      <c r="B3" s="51" t="s">
        <v>7812</v>
      </c>
      <c r="C3">
        <f t="shared" ref="C3:C46" si="1">+C2+1</f>
        <v>1337</v>
      </c>
      <c r="D3" t="str">
        <f t="shared" si="0"/>
        <v>P000001337</v>
      </c>
    </row>
    <row r="4" spans="1:4" x14ac:dyDescent="0.25">
      <c r="A4" t="s">
        <v>7760</v>
      </c>
      <c r="B4" s="51" t="s">
        <v>7812</v>
      </c>
      <c r="C4">
        <f t="shared" si="1"/>
        <v>1338</v>
      </c>
      <c r="D4" t="str">
        <f t="shared" si="0"/>
        <v>P000001338</v>
      </c>
    </row>
    <row r="5" spans="1:4" x14ac:dyDescent="0.25">
      <c r="A5" t="s">
        <v>7761</v>
      </c>
      <c r="B5" s="51" t="s">
        <v>7812</v>
      </c>
      <c r="C5">
        <f t="shared" si="1"/>
        <v>1339</v>
      </c>
      <c r="D5" t="str">
        <f t="shared" si="0"/>
        <v>P000001339</v>
      </c>
    </row>
    <row r="6" spans="1:4" x14ac:dyDescent="0.25">
      <c r="A6" t="s">
        <v>7762</v>
      </c>
      <c r="B6" s="51" t="s">
        <v>7812</v>
      </c>
      <c r="C6">
        <f t="shared" si="1"/>
        <v>1340</v>
      </c>
      <c r="D6" t="str">
        <f t="shared" si="0"/>
        <v>P000001340</v>
      </c>
    </row>
    <row r="7" spans="1:4" x14ac:dyDescent="0.25">
      <c r="A7" t="s">
        <v>7764</v>
      </c>
      <c r="B7" s="51" t="s">
        <v>7812</v>
      </c>
      <c r="C7">
        <f t="shared" si="1"/>
        <v>1341</v>
      </c>
      <c r="D7" t="str">
        <f t="shared" si="0"/>
        <v>P000001341</v>
      </c>
    </row>
    <row r="8" spans="1:4" x14ac:dyDescent="0.25">
      <c r="A8" t="s">
        <v>7765</v>
      </c>
      <c r="B8" s="51" t="s">
        <v>7812</v>
      </c>
      <c r="C8">
        <f t="shared" si="1"/>
        <v>1342</v>
      </c>
      <c r="D8" t="str">
        <f t="shared" si="0"/>
        <v>P000001342</v>
      </c>
    </row>
    <row r="9" spans="1:4" x14ac:dyDescent="0.25">
      <c r="A9" t="s">
        <v>7766</v>
      </c>
      <c r="B9" s="51" t="s">
        <v>7812</v>
      </c>
      <c r="C9">
        <f t="shared" si="1"/>
        <v>1343</v>
      </c>
      <c r="D9" t="str">
        <f t="shared" si="0"/>
        <v>P000001343</v>
      </c>
    </row>
    <row r="10" spans="1:4" x14ac:dyDescent="0.25">
      <c r="A10" t="s">
        <v>7767</v>
      </c>
      <c r="B10" s="51" t="s">
        <v>7812</v>
      </c>
      <c r="C10">
        <f t="shared" si="1"/>
        <v>1344</v>
      </c>
      <c r="D10" t="str">
        <f t="shared" si="0"/>
        <v>P000001344</v>
      </c>
    </row>
    <row r="11" spans="1:4" x14ac:dyDescent="0.25">
      <c r="A11" t="s">
        <v>7768</v>
      </c>
      <c r="B11" s="51" t="s">
        <v>7812</v>
      </c>
      <c r="C11">
        <f t="shared" si="1"/>
        <v>1345</v>
      </c>
      <c r="D11" t="str">
        <f t="shared" si="0"/>
        <v>P000001345</v>
      </c>
    </row>
    <row r="12" spans="1:4" x14ac:dyDescent="0.25">
      <c r="A12" t="s">
        <v>7769</v>
      </c>
      <c r="B12" s="51" t="s">
        <v>7812</v>
      </c>
      <c r="C12">
        <f t="shared" si="1"/>
        <v>1346</v>
      </c>
      <c r="D12" t="str">
        <f t="shared" si="0"/>
        <v>P000001346</v>
      </c>
    </row>
    <row r="13" spans="1:4" x14ac:dyDescent="0.25">
      <c r="A13" t="s">
        <v>7770</v>
      </c>
      <c r="B13" s="51" t="s">
        <v>7812</v>
      </c>
      <c r="C13">
        <f t="shared" si="1"/>
        <v>1347</v>
      </c>
      <c r="D13" t="str">
        <f t="shared" si="0"/>
        <v>P000001347</v>
      </c>
    </row>
    <row r="14" spans="1:4" x14ac:dyDescent="0.25">
      <c r="A14" t="s">
        <v>7771</v>
      </c>
      <c r="B14" s="51" t="s">
        <v>7812</v>
      </c>
      <c r="C14">
        <f t="shared" si="1"/>
        <v>1348</v>
      </c>
      <c r="D14" t="str">
        <f t="shared" si="0"/>
        <v>P000001348</v>
      </c>
    </row>
    <row r="15" spans="1:4" x14ac:dyDescent="0.25">
      <c r="A15" t="s">
        <v>7772</v>
      </c>
      <c r="B15" s="51" t="s">
        <v>7812</v>
      </c>
      <c r="C15">
        <f t="shared" si="1"/>
        <v>1349</v>
      </c>
      <c r="D15" t="str">
        <f t="shared" si="0"/>
        <v>P000001349</v>
      </c>
    </row>
    <row r="16" spans="1:4" x14ac:dyDescent="0.25">
      <c r="A16" t="s">
        <v>7773</v>
      </c>
      <c r="B16" s="51" t="s">
        <v>7812</v>
      </c>
      <c r="C16">
        <f t="shared" si="1"/>
        <v>1350</v>
      </c>
      <c r="D16" t="str">
        <f t="shared" si="0"/>
        <v>P000001350</v>
      </c>
    </row>
    <row r="17" spans="1:4" x14ac:dyDescent="0.25">
      <c r="A17" t="s">
        <v>7774</v>
      </c>
      <c r="B17" s="51" t="s">
        <v>7812</v>
      </c>
      <c r="C17">
        <f t="shared" si="1"/>
        <v>1351</v>
      </c>
      <c r="D17" t="str">
        <f t="shared" si="0"/>
        <v>P000001351</v>
      </c>
    </row>
    <row r="18" spans="1:4" x14ac:dyDescent="0.25">
      <c r="A18" t="s">
        <v>7775</v>
      </c>
      <c r="B18" s="51" t="s">
        <v>7812</v>
      </c>
      <c r="C18">
        <f t="shared" si="1"/>
        <v>1352</v>
      </c>
      <c r="D18" t="str">
        <f t="shared" si="0"/>
        <v>P000001352</v>
      </c>
    </row>
    <row r="19" spans="1:4" x14ac:dyDescent="0.25">
      <c r="A19" t="s">
        <v>7776</v>
      </c>
      <c r="B19" s="51" t="s">
        <v>7812</v>
      </c>
      <c r="C19">
        <f t="shared" si="1"/>
        <v>1353</v>
      </c>
      <c r="D19" t="str">
        <f t="shared" si="0"/>
        <v>P000001353</v>
      </c>
    </row>
    <row r="20" spans="1:4" x14ac:dyDescent="0.25">
      <c r="A20" t="s">
        <v>7777</v>
      </c>
      <c r="B20" s="51" t="s">
        <v>7812</v>
      </c>
      <c r="C20">
        <f t="shared" si="1"/>
        <v>1354</v>
      </c>
      <c r="D20" t="str">
        <f t="shared" si="0"/>
        <v>P000001354</v>
      </c>
    </row>
    <row r="21" spans="1:4" x14ac:dyDescent="0.25">
      <c r="A21" t="s">
        <v>7778</v>
      </c>
      <c r="B21" s="51" t="s">
        <v>7812</v>
      </c>
      <c r="C21">
        <f t="shared" si="1"/>
        <v>1355</v>
      </c>
      <c r="D21" t="str">
        <f t="shared" si="0"/>
        <v>P000001355</v>
      </c>
    </row>
    <row r="22" spans="1:4" x14ac:dyDescent="0.25">
      <c r="A22" t="s">
        <v>7779</v>
      </c>
      <c r="B22" s="51" t="s">
        <v>7812</v>
      </c>
      <c r="C22">
        <f t="shared" si="1"/>
        <v>1356</v>
      </c>
      <c r="D22" t="str">
        <f t="shared" si="0"/>
        <v>P000001356</v>
      </c>
    </row>
    <row r="23" spans="1:4" x14ac:dyDescent="0.25">
      <c r="A23" t="s">
        <v>7780</v>
      </c>
      <c r="B23" s="51" t="s">
        <v>7812</v>
      </c>
      <c r="C23">
        <f t="shared" si="1"/>
        <v>1357</v>
      </c>
      <c r="D23" t="str">
        <f t="shared" si="0"/>
        <v>P000001357</v>
      </c>
    </row>
    <row r="24" spans="1:4" x14ac:dyDescent="0.25">
      <c r="A24" t="s">
        <v>7781</v>
      </c>
      <c r="B24" s="51" t="s">
        <v>7812</v>
      </c>
      <c r="C24">
        <f t="shared" si="1"/>
        <v>1358</v>
      </c>
      <c r="D24" t="str">
        <f t="shared" si="0"/>
        <v>P000001358</v>
      </c>
    </row>
    <row r="25" spans="1:4" x14ac:dyDescent="0.25">
      <c r="A25" t="s">
        <v>7782</v>
      </c>
      <c r="B25" s="51" t="s">
        <v>7812</v>
      </c>
      <c r="C25">
        <f t="shared" si="1"/>
        <v>1359</v>
      </c>
      <c r="D25" t="str">
        <f t="shared" si="0"/>
        <v>P000001359</v>
      </c>
    </row>
    <row r="26" spans="1:4" x14ac:dyDescent="0.25">
      <c r="A26" t="s">
        <v>7783</v>
      </c>
      <c r="B26" s="51" t="s">
        <v>7812</v>
      </c>
      <c r="C26">
        <f t="shared" si="1"/>
        <v>1360</v>
      </c>
      <c r="D26" t="str">
        <f t="shared" si="0"/>
        <v>P000001360</v>
      </c>
    </row>
    <row r="27" spans="1:4" x14ac:dyDescent="0.25">
      <c r="A27" t="s">
        <v>7784</v>
      </c>
      <c r="B27" s="51" t="s">
        <v>7812</v>
      </c>
      <c r="C27">
        <f t="shared" si="1"/>
        <v>1361</v>
      </c>
      <c r="D27" t="str">
        <f t="shared" si="0"/>
        <v>P000001361</v>
      </c>
    </row>
    <row r="28" spans="1:4" x14ac:dyDescent="0.25">
      <c r="A28" t="s">
        <v>7785</v>
      </c>
      <c r="B28" s="51" t="s">
        <v>7812</v>
      </c>
      <c r="C28">
        <f t="shared" si="1"/>
        <v>1362</v>
      </c>
      <c r="D28" t="str">
        <f t="shared" si="0"/>
        <v>P000001362</v>
      </c>
    </row>
    <row r="29" spans="1:4" x14ac:dyDescent="0.25">
      <c r="A29" t="s">
        <v>7786</v>
      </c>
      <c r="B29" s="51" t="s">
        <v>7812</v>
      </c>
      <c r="C29">
        <f t="shared" si="1"/>
        <v>1363</v>
      </c>
      <c r="D29" t="str">
        <f t="shared" si="0"/>
        <v>P000001363</v>
      </c>
    </row>
    <row r="30" spans="1:4" x14ac:dyDescent="0.25">
      <c r="A30" t="s">
        <v>7787</v>
      </c>
      <c r="B30" s="51" t="s">
        <v>7812</v>
      </c>
      <c r="C30">
        <f t="shared" si="1"/>
        <v>1364</v>
      </c>
      <c r="D30" t="str">
        <f t="shared" si="0"/>
        <v>P000001364</v>
      </c>
    </row>
    <row r="31" spans="1:4" x14ac:dyDescent="0.25">
      <c r="A31" t="s">
        <v>7788</v>
      </c>
      <c r="B31" s="51" t="s">
        <v>7812</v>
      </c>
      <c r="C31">
        <f t="shared" si="1"/>
        <v>1365</v>
      </c>
      <c r="D31" t="str">
        <f t="shared" si="0"/>
        <v>P000001365</v>
      </c>
    </row>
    <row r="32" spans="1:4" x14ac:dyDescent="0.25">
      <c r="A32" t="s">
        <v>7789</v>
      </c>
      <c r="B32" s="51" t="s">
        <v>7812</v>
      </c>
      <c r="C32">
        <f t="shared" si="1"/>
        <v>1366</v>
      </c>
      <c r="D32" t="str">
        <f t="shared" si="0"/>
        <v>P000001366</v>
      </c>
    </row>
    <row r="33" spans="1:4" x14ac:dyDescent="0.25">
      <c r="A33" t="s">
        <v>7790</v>
      </c>
      <c r="B33" s="51" t="s">
        <v>7812</v>
      </c>
      <c r="C33">
        <f t="shared" si="1"/>
        <v>1367</v>
      </c>
      <c r="D33" t="str">
        <f t="shared" si="0"/>
        <v>P000001367</v>
      </c>
    </row>
    <row r="34" spans="1:4" x14ac:dyDescent="0.25">
      <c r="A34" t="s">
        <v>7791</v>
      </c>
      <c r="B34" s="51" t="s">
        <v>7812</v>
      </c>
      <c r="C34">
        <f t="shared" si="1"/>
        <v>1368</v>
      </c>
      <c r="D34" t="str">
        <f t="shared" si="0"/>
        <v>P000001368</v>
      </c>
    </row>
    <row r="35" spans="1:4" x14ac:dyDescent="0.25">
      <c r="A35" t="s">
        <v>7792</v>
      </c>
      <c r="B35" s="51" t="s">
        <v>7812</v>
      </c>
      <c r="C35">
        <f t="shared" si="1"/>
        <v>1369</v>
      </c>
      <c r="D35" t="str">
        <f t="shared" si="0"/>
        <v>P000001369</v>
      </c>
    </row>
    <row r="36" spans="1:4" x14ac:dyDescent="0.25">
      <c r="A36" t="s">
        <v>7793</v>
      </c>
      <c r="B36" s="51" t="s">
        <v>7812</v>
      </c>
      <c r="C36">
        <f t="shared" si="1"/>
        <v>1370</v>
      </c>
      <c r="D36" t="str">
        <f t="shared" si="0"/>
        <v>P000001370</v>
      </c>
    </row>
    <row r="37" spans="1:4" x14ac:dyDescent="0.25">
      <c r="A37" t="s">
        <v>7794</v>
      </c>
      <c r="B37" s="51" t="s">
        <v>7812</v>
      </c>
      <c r="C37">
        <f t="shared" si="1"/>
        <v>1371</v>
      </c>
      <c r="D37" t="str">
        <f t="shared" si="0"/>
        <v>P000001371</v>
      </c>
    </row>
    <row r="38" spans="1:4" x14ac:dyDescent="0.25">
      <c r="A38" t="s">
        <v>7795</v>
      </c>
      <c r="B38" s="51" t="s">
        <v>7812</v>
      </c>
      <c r="C38">
        <f t="shared" si="1"/>
        <v>1372</v>
      </c>
      <c r="D38" t="str">
        <f t="shared" si="0"/>
        <v>P000001372</v>
      </c>
    </row>
    <row r="39" spans="1:4" x14ac:dyDescent="0.25">
      <c r="A39" t="s">
        <v>7796</v>
      </c>
      <c r="B39" s="51" t="s">
        <v>7812</v>
      </c>
      <c r="C39">
        <f t="shared" si="1"/>
        <v>1373</v>
      </c>
      <c r="D39" t="str">
        <f t="shared" si="0"/>
        <v>P000001373</v>
      </c>
    </row>
    <row r="40" spans="1:4" x14ac:dyDescent="0.25">
      <c r="A40" t="s">
        <v>7797</v>
      </c>
      <c r="B40" s="51" t="s">
        <v>7812</v>
      </c>
      <c r="C40">
        <f t="shared" si="1"/>
        <v>1374</v>
      </c>
      <c r="D40" t="str">
        <f t="shared" si="0"/>
        <v>P000001374</v>
      </c>
    </row>
    <row r="41" spans="1:4" x14ac:dyDescent="0.25">
      <c r="A41" t="s">
        <v>7798</v>
      </c>
      <c r="B41" s="51" t="s">
        <v>7812</v>
      </c>
      <c r="C41">
        <f t="shared" si="1"/>
        <v>1375</v>
      </c>
      <c r="D41" t="str">
        <f t="shared" si="0"/>
        <v>P000001375</v>
      </c>
    </row>
    <row r="42" spans="1:4" x14ac:dyDescent="0.25">
      <c r="A42" t="s">
        <v>7799</v>
      </c>
      <c r="B42" s="51" t="s">
        <v>7812</v>
      </c>
      <c r="C42">
        <f t="shared" si="1"/>
        <v>1376</v>
      </c>
      <c r="D42" t="str">
        <f t="shared" si="0"/>
        <v>P000001376</v>
      </c>
    </row>
    <row r="43" spans="1:4" x14ac:dyDescent="0.25">
      <c r="A43" t="s">
        <v>7800</v>
      </c>
      <c r="B43" s="51" t="s">
        <v>7812</v>
      </c>
      <c r="C43">
        <f t="shared" si="1"/>
        <v>1377</v>
      </c>
      <c r="D43" t="str">
        <f t="shared" si="0"/>
        <v>P000001377</v>
      </c>
    </row>
    <row r="44" spans="1:4" x14ac:dyDescent="0.25">
      <c r="A44" t="s">
        <v>7801</v>
      </c>
      <c r="B44" s="51" t="s">
        <v>7812</v>
      </c>
      <c r="C44">
        <f t="shared" si="1"/>
        <v>1378</v>
      </c>
      <c r="D44" t="str">
        <f t="shared" si="0"/>
        <v>P000001378</v>
      </c>
    </row>
    <row r="45" spans="1:4" x14ac:dyDescent="0.25">
      <c r="A45" t="s">
        <v>7802</v>
      </c>
      <c r="B45" s="51" t="s">
        <v>7812</v>
      </c>
      <c r="C45">
        <f t="shared" si="1"/>
        <v>1379</v>
      </c>
      <c r="D45" t="str">
        <f t="shared" si="0"/>
        <v>P000001379</v>
      </c>
    </row>
    <row r="46" spans="1:4" x14ac:dyDescent="0.25">
      <c r="A46" t="s">
        <v>7803</v>
      </c>
      <c r="B46" s="51" t="s">
        <v>7812</v>
      </c>
      <c r="C46">
        <f t="shared" si="1"/>
        <v>1380</v>
      </c>
      <c r="D46" t="str">
        <f t="shared" si="0"/>
        <v>P000001380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7582</v>
      </c>
      <c r="B2" t="s">
        <v>7584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7599</v>
      </c>
      <c r="B3" t="s">
        <v>7589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7600</v>
      </c>
      <c r="B4" t="s">
        <v>7590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7601</v>
      </c>
      <c r="B5" t="s">
        <v>7591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7602</v>
      </c>
      <c r="B6" t="s">
        <v>7592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7603</v>
      </c>
      <c r="B7" t="s">
        <v>7593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7604</v>
      </c>
      <c r="B8" t="s">
        <v>7594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7605</v>
      </c>
      <c r="B9" t="s">
        <v>7595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7606</v>
      </c>
      <c r="B10" t="s">
        <v>7596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7607</v>
      </c>
      <c r="B11" t="s">
        <v>7597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7608</v>
      </c>
      <c r="B12" t="s">
        <v>7598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7613</v>
      </c>
      <c r="B13" t="s">
        <v>7620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7614</v>
      </c>
      <c r="B14" t="s">
        <v>7621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7615</v>
      </c>
      <c r="B15" t="s">
        <v>7622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7616</v>
      </c>
      <c r="B16" t="s">
        <v>7623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7617</v>
      </c>
      <c r="B17" t="s">
        <v>7624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7618</v>
      </c>
      <c r="B18" t="s">
        <v>7625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7619</v>
      </c>
      <c r="B19" t="s">
        <v>7626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7585</v>
      </c>
      <c r="B23" t="s">
        <v>7582</v>
      </c>
    </row>
    <row r="24" spans="1:7" x14ac:dyDescent="0.25">
      <c r="A24" t="s">
        <v>7609</v>
      </c>
      <c r="B24" t="s">
        <v>7599</v>
      </c>
    </row>
    <row r="25" spans="1:7" x14ac:dyDescent="0.25">
      <c r="A25" t="s">
        <v>7610</v>
      </c>
      <c r="B25" t="s">
        <v>7600</v>
      </c>
    </row>
    <row r="26" spans="1:7" x14ac:dyDescent="0.25">
      <c r="A26" t="s">
        <v>7611</v>
      </c>
      <c r="B26" t="s">
        <v>7601</v>
      </c>
    </row>
    <row r="27" spans="1:7" x14ac:dyDescent="0.25">
      <c r="A27" t="s">
        <v>7611</v>
      </c>
      <c r="B27" t="s">
        <v>7602</v>
      </c>
    </row>
    <row r="28" spans="1:7" x14ac:dyDescent="0.25">
      <c r="A28" t="s">
        <v>7612</v>
      </c>
      <c r="B28" t="s">
        <v>7603</v>
      </c>
    </row>
    <row r="29" spans="1:7" x14ac:dyDescent="0.25">
      <c r="A29" t="s">
        <v>7612</v>
      </c>
      <c r="B29" t="s">
        <v>7604</v>
      </c>
    </row>
    <row r="30" spans="1:7" x14ac:dyDescent="0.25">
      <c r="A30" t="s">
        <v>7601</v>
      </c>
      <c r="B30" t="s">
        <v>7605</v>
      </c>
    </row>
    <row r="31" spans="1:7" x14ac:dyDescent="0.25">
      <c r="A31" t="s">
        <v>7602</v>
      </c>
      <c r="B31" t="s">
        <v>7606</v>
      </c>
    </row>
    <row r="32" spans="1:7" x14ac:dyDescent="0.25">
      <c r="A32" t="s">
        <v>7603</v>
      </c>
      <c r="B32" t="s">
        <v>7607</v>
      </c>
    </row>
    <row r="33" spans="1:2" x14ac:dyDescent="0.25">
      <c r="A33" t="s">
        <v>7604</v>
      </c>
      <c r="B33" t="s">
        <v>7608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MGF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MGF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MGF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MGF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MGF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MGF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MGF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MGF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MGF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MGF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MGF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MGF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MGF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MGF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MGF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MGF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MGF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MGF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MGF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MGF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MGF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MGF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MGF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MGF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MGF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MGF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MGF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MGF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MGF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MGF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MGF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MGF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LS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LS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LS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LS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LS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LS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LS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LS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LS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LS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LS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LS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LS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LS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LS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LS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LS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LS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LS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LS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LS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LS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LS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LS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LS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LS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LS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LS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LS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LS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LS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LS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LS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LS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LS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LS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LS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LS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LS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LS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LS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LS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LS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LS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LS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LS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LS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LS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LS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LS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LS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LS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LS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LS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LS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LS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LS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LS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LS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LS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LS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LS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LS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LS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LS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LS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LS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LS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LS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LS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LS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EL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EL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EL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EL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EL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EL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EL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EL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EL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EL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EL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EL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EL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EL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EL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EL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EL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LS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LS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LS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LS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LS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LS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LS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LS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LS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LS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LS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LS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LS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LS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LS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LS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LS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LS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LS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LS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LS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LS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LS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LS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LS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LS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str">
        <f>VLOOKUP(Table2[[#This Row], [Author]],People!A:B,2,0)</f>
        <v>LS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str">
        <f>VLOOKUP(Table2[[#This Row], [Author]],People!A:B,2,0)</f>
        <v>LS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str">
        <f>VLOOKUP(Table2[[#This Row], [Author]],People!A:B,2,0)</f>
        <v>LS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9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60" t="s">
        <v>1230</v>
      </c>
    </row>
    <row r="3" spans="1:13" x14ac:dyDescent="0.25">
      <c r="A3" s="59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60" t="s">
        <v>1230</v>
      </c>
    </row>
    <row r="4" spans="1:13" x14ac:dyDescent="0.25">
      <c r="A4" s="59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60" t="s">
        <v>1230</v>
      </c>
    </row>
    <row r="5" spans="1:13" x14ac:dyDescent="0.25">
      <c r="A5" s="59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60" t="s">
        <v>4784</v>
      </c>
    </row>
    <row r="6" spans="1:13" x14ac:dyDescent="0.25">
      <c r="A6" s="59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60" t="s">
        <v>4784</v>
      </c>
    </row>
    <row r="7" spans="1:13" x14ac:dyDescent="0.25">
      <c r="A7" s="59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60" t="s">
        <v>4784</v>
      </c>
    </row>
    <row r="8" spans="1:13" x14ac:dyDescent="0.25">
      <c r="A8" s="59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60" t="s">
        <v>4784</v>
      </c>
    </row>
    <row r="9" spans="1:13" x14ac:dyDescent="0.25">
      <c r="A9" s="59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60" t="s">
        <v>4784</v>
      </c>
    </row>
    <row r="10" spans="1:13" x14ac:dyDescent="0.25">
      <c r="A10" s="59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60" t="s">
        <v>4784</v>
      </c>
    </row>
    <row r="11" spans="1:13" x14ac:dyDescent="0.25">
      <c r="A11" s="59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60" t="s">
        <v>4784</v>
      </c>
    </row>
    <row r="12" spans="1:13" x14ac:dyDescent="0.25">
      <c r="A12" s="59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60" t="s">
        <v>4784</v>
      </c>
    </row>
    <row r="13" spans="1:13" x14ac:dyDescent="0.25">
      <c r="A13" s="59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60" t="s">
        <v>4784</v>
      </c>
    </row>
    <row r="14" spans="1:13" x14ac:dyDescent="0.25">
      <c r="A14" s="59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60" t="s">
        <v>4784</v>
      </c>
    </row>
    <row r="15" spans="1:13" x14ac:dyDescent="0.25">
      <c r="A15" s="59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60" t="s">
        <v>4784</v>
      </c>
    </row>
    <row r="16" spans="1:13" x14ac:dyDescent="0.25">
      <c r="A16" s="59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60" t="s">
        <v>4784</v>
      </c>
    </row>
    <row r="17" spans="1:13" x14ac:dyDescent="0.25">
      <c r="A17" s="59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60" t="s">
        <v>4784</v>
      </c>
    </row>
    <row r="18" spans="1:13" x14ac:dyDescent="0.25">
      <c r="A18" s="59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60" t="s">
        <v>4784</v>
      </c>
    </row>
    <row r="19" spans="1:13" x14ac:dyDescent="0.25">
      <c r="A19" s="59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60" t="s">
        <v>4784</v>
      </c>
    </row>
    <row r="20" spans="1:13" x14ac:dyDescent="0.25">
      <c r="A20" s="59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60" t="s">
        <v>4784</v>
      </c>
    </row>
    <row r="21" spans="1:13" x14ac:dyDescent="0.25">
      <c r="A21" s="59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60" t="s">
        <v>4784</v>
      </c>
    </row>
    <row r="22" spans="1:13" x14ac:dyDescent="0.25">
      <c r="A22" s="59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60" t="s">
        <v>4784</v>
      </c>
    </row>
    <row r="23" spans="1:13" x14ac:dyDescent="0.25">
      <c r="A23" s="59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60" t="s">
        <v>4784</v>
      </c>
    </row>
    <row r="24" spans="1:13" x14ac:dyDescent="0.25">
      <c r="A24" s="59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60" t="s">
        <v>4784</v>
      </c>
    </row>
    <row r="25" spans="1:13" x14ac:dyDescent="0.25">
      <c r="A25" s="59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60" t="s">
        <v>4784</v>
      </c>
    </row>
    <row r="26" spans="1:13" x14ac:dyDescent="0.25">
      <c r="A26" s="59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60" t="s">
        <v>4784</v>
      </c>
    </row>
    <row r="27" spans="1:13" x14ac:dyDescent="0.25">
      <c r="A27" s="59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60" t="s">
        <v>4784</v>
      </c>
    </row>
    <row r="28" spans="1:13" x14ac:dyDescent="0.25">
      <c r="A28" s="59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60" t="s">
        <v>4784</v>
      </c>
    </row>
    <row r="29" spans="1:13" x14ac:dyDescent="0.25">
      <c r="A29" s="59">
        <f t="shared" si="0"/>
        <v>28</v>
      </c>
      <c r="B29" s="51" t="s">
        <v>4</v>
      </c>
      <c r="C29" s="51" t="s">
        <v>224</v>
      </c>
      <c r="D29" s="51" t="s">
        <v>5305</v>
      </c>
      <c r="E29" s="61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60" t="s">
        <v>4785</v>
      </c>
    </row>
    <row r="30" spans="1:13" x14ac:dyDescent="0.25">
      <c r="A30" s="59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60" t="s">
        <v>4794</v>
      </c>
    </row>
    <row r="31" spans="1:13" x14ac:dyDescent="0.25">
      <c r="A31" s="59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60" t="s">
        <v>4794</v>
      </c>
    </row>
    <row r="32" spans="1:13" x14ac:dyDescent="0.25">
      <c r="A32" s="59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60" t="s">
        <v>4794</v>
      </c>
    </row>
    <row r="33" spans="1:13" x14ac:dyDescent="0.25">
      <c r="A33" s="59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60" t="s">
        <v>4794</v>
      </c>
    </row>
    <row r="34" spans="1:13" ht="120" x14ac:dyDescent="0.25">
      <c r="A34" s="59">
        <f t="shared" si="0"/>
        <v>33</v>
      </c>
      <c r="B34" s="51" t="s">
        <v>4</v>
      </c>
      <c r="C34" s="51" t="s">
        <v>225</v>
      </c>
      <c r="D34" s="62" t="s">
        <v>5228</v>
      </c>
      <c r="E34" s="62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60" t="s">
        <v>4794</v>
      </c>
    </row>
    <row r="35" spans="1:13" x14ac:dyDescent="0.25">
      <c r="A35" s="59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60" t="s">
        <v>4794</v>
      </c>
    </row>
    <row r="36" spans="1:13" x14ac:dyDescent="0.25">
      <c r="A36" s="59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60" t="s">
        <v>4794</v>
      </c>
    </row>
    <row r="37" spans="1:13" x14ac:dyDescent="0.25">
      <c r="A37" s="59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60" t="s">
        <v>4794</v>
      </c>
    </row>
    <row r="38" spans="1:13" x14ac:dyDescent="0.25">
      <c r="A38" s="59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60" t="s">
        <v>4794</v>
      </c>
    </row>
    <row r="39" spans="1:13" x14ac:dyDescent="0.25">
      <c r="A39" s="59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60" t="s">
        <v>4794</v>
      </c>
    </row>
    <row r="40" spans="1:13" x14ac:dyDescent="0.25">
      <c r="A40" s="59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60" t="s">
        <v>4794</v>
      </c>
    </row>
    <row r="41" spans="1:13" x14ac:dyDescent="0.25">
      <c r="A41" s="59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60" t="s">
        <v>4794</v>
      </c>
    </row>
    <row r="42" spans="1:13" x14ac:dyDescent="0.25">
      <c r="A42" s="59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60" t="s">
        <v>4794</v>
      </c>
    </row>
    <row r="43" spans="1:13" x14ac:dyDescent="0.25">
      <c r="A43" s="59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60" t="s">
        <v>4794</v>
      </c>
    </row>
    <row r="44" spans="1:13" x14ac:dyDescent="0.25">
      <c r="A44" s="59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60" t="s">
        <v>4794</v>
      </c>
    </row>
    <row r="45" spans="1:13" x14ac:dyDescent="0.25">
      <c r="A45" s="59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60" t="s">
        <v>4794</v>
      </c>
    </row>
    <row r="46" spans="1:13" x14ac:dyDescent="0.25">
      <c r="A46" s="59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60" t="s">
        <v>4794</v>
      </c>
    </row>
    <row r="47" spans="1:13" x14ac:dyDescent="0.25">
      <c r="A47" s="59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60" t="s">
        <v>4794</v>
      </c>
    </row>
    <row r="48" spans="1:13" x14ac:dyDescent="0.25">
      <c r="A48" s="59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60" t="s">
        <v>4794</v>
      </c>
    </row>
    <row r="49" spans="1:13" x14ac:dyDescent="0.25">
      <c r="A49" s="59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60" t="s">
        <v>4794</v>
      </c>
    </row>
    <row r="50" spans="1:13" x14ac:dyDescent="0.25">
      <c r="A50" s="59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60" t="s">
        <v>4794</v>
      </c>
    </row>
    <row r="51" spans="1:13" x14ac:dyDescent="0.25">
      <c r="A51" s="59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60" t="s">
        <v>4794</v>
      </c>
    </row>
    <row r="52" spans="1:13" x14ac:dyDescent="0.25">
      <c r="A52" s="59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60" t="s">
        <v>4794</v>
      </c>
    </row>
    <row r="53" spans="1:13" x14ac:dyDescent="0.25">
      <c r="A53" s="59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60" t="s">
        <v>4794</v>
      </c>
    </row>
    <row r="54" spans="1:13" x14ac:dyDescent="0.25">
      <c r="A54" s="59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60" t="s">
        <v>4794</v>
      </c>
    </row>
    <row r="55" spans="1:13" x14ac:dyDescent="0.25">
      <c r="A55" s="59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60" t="s">
        <v>4794</v>
      </c>
    </row>
    <row r="56" spans="1:13" x14ac:dyDescent="0.25">
      <c r="A56" s="59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60" t="s">
        <v>4794</v>
      </c>
    </row>
    <row r="57" spans="1:13" x14ac:dyDescent="0.25">
      <c r="A57" s="59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60" t="s">
        <v>4794</v>
      </c>
    </row>
    <row r="58" spans="1:13" x14ac:dyDescent="0.25">
      <c r="A58" s="59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60" t="s">
        <v>4794</v>
      </c>
    </row>
    <row r="59" spans="1:13" x14ac:dyDescent="0.25">
      <c r="A59" s="59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60" t="s">
        <v>4794</v>
      </c>
    </row>
    <row r="60" spans="1:13" x14ac:dyDescent="0.25">
      <c r="A60" s="59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60" t="s">
        <v>4794</v>
      </c>
    </row>
    <row r="61" spans="1:13" x14ac:dyDescent="0.25">
      <c r="A61" s="59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60" t="s">
        <v>4794</v>
      </c>
    </row>
    <row r="62" spans="1:13" x14ac:dyDescent="0.25">
      <c r="A62" s="59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60" t="s">
        <v>4794</v>
      </c>
    </row>
    <row r="63" spans="1:13" x14ac:dyDescent="0.25">
      <c r="A63" s="59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60" t="s">
        <v>4794</v>
      </c>
    </row>
    <row r="64" spans="1:13" x14ac:dyDescent="0.25">
      <c r="A64" s="59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60" t="s">
        <v>4794</v>
      </c>
    </row>
    <row r="65" spans="1:13" x14ac:dyDescent="0.25">
      <c r="A65" s="59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60" t="s">
        <v>4794</v>
      </c>
    </row>
    <row r="66" spans="1:13" x14ac:dyDescent="0.25">
      <c r="A66" s="59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60" t="s">
        <v>4794</v>
      </c>
    </row>
    <row r="67" spans="1:13" x14ac:dyDescent="0.25">
      <c r="A67" s="59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60" t="s">
        <v>4794</v>
      </c>
    </row>
    <row r="68" spans="1:13" x14ac:dyDescent="0.25">
      <c r="A68" s="59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60" t="s">
        <v>4794</v>
      </c>
    </row>
    <row r="69" spans="1:13" x14ac:dyDescent="0.25">
      <c r="A69" s="59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60" t="s">
        <v>4794</v>
      </c>
    </row>
    <row r="70" spans="1:13" x14ac:dyDescent="0.25">
      <c r="A70" s="59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60" t="s">
        <v>4794</v>
      </c>
    </row>
    <row r="71" spans="1:13" x14ac:dyDescent="0.25">
      <c r="A71" s="59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60" t="s">
        <v>4794</v>
      </c>
    </row>
    <row r="72" spans="1:13" x14ac:dyDescent="0.25">
      <c r="A72" s="59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60" t="s">
        <v>4794</v>
      </c>
    </row>
    <row r="73" spans="1:13" x14ac:dyDescent="0.25">
      <c r="A73" s="59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60" t="s">
        <v>4794</v>
      </c>
    </row>
    <row r="74" spans="1:13" x14ac:dyDescent="0.25">
      <c r="A74" s="59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60" t="s">
        <v>4794</v>
      </c>
    </row>
    <row r="75" spans="1:13" x14ac:dyDescent="0.25">
      <c r="A75" s="59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60" t="s">
        <v>4794</v>
      </c>
    </row>
    <row r="76" spans="1:13" x14ac:dyDescent="0.25">
      <c r="A76" s="59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60" t="s">
        <v>4794</v>
      </c>
    </row>
    <row r="77" spans="1:13" x14ac:dyDescent="0.25">
      <c r="A77" s="59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60" t="s">
        <v>4794</v>
      </c>
    </row>
    <row r="78" spans="1:13" x14ac:dyDescent="0.25">
      <c r="A78" s="59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60" t="s">
        <v>4794</v>
      </c>
    </row>
    <row r="79" spans="1:13" x14ac:dyDescent="0.25">
      <c r="A79" s="59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60" t="s">
        <v>4794</v>
      </c>
    </row>
    <row r="80" spans="1:13" x14ac:dyDescent="0.25">
      <c r="A80" s="59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60" t="s">
        <v>4794</v>
      </c>
    </row>
    <row r="81" spans="1:13" x14ac:dyDescent="0.25">
      <c r="A81" s="59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60" t="s">
        <v>4794</v>
      </c>
    </row>
    <row r="82" spans="1:13" x14ac:dyDescent="0.25">
      <c r="A82" s="59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60" t="s">
        <v>4794</v>
      </c>
    </row>
    <row r="83" spans="1:13" x14ac:dyDescent="0.25">
      <c r="A83" s="59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60" t="s">
        <v>4794</v>
      </c>
    </row>
    <row r="84" spans="1:13" x14ac:dyDescent="0.25">
      <c r="A84" s="59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60" t="s">
        <v>4794</v>
      </c>
    </row>
    <row r="85" spans="1:13" x14ac:dyDescent="0.25">
      <c r="A85" s="59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60" t="s">
        <v>4788</v>
      </c>
    </row>
    <row r="86" spans="1:13" x14ac:dyDescent="0.25">
      <c r="A86" s="59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60" t="s">
        <v>4788</v>
      </c>
    </row>
    <row r="87" spans="1:13" x14ac:dyDescent="0.25">
      <c r="A87" s="59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60" t="s">
        <v>4788</v>
      </c>
    </row>
    <row r="88" spans="1:13" x14ac:dyDescent="0.25">
      <c r="A88" s="59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60" t="s">
        <v>4788</v>
      </c>
    </row>
    <row r="89" spans="1:13" x14ac:dyDescent="0.25">
      <c r="A89" s="59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60" t="s">
        <v>4788</v>
      </c>
    </row>
    <row r="90" spans="1:13" x14ac:dyDescent="0.25">
      <c r="A90" s="59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60" t="s">
        <v>1613</v>
      </c>
    </row>
    <row r="91" spans="1:13" x14ac:dyDescent="0.25">
      <c r="A91" s="59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60" t="s">
        <v>1613</v>
      </c>
    </row>
    <row r="92" spans="1:13" x14ac:dyDescent="0.25">
      <c r="A92" s="59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60" t="s">
        <v>1613</v>
      </c>
    </row>
    <row r="93" spans="1:13" x14ac:dyDescent="0.25">
      <c r="A93" s="59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60" t="s">
        <v>1613</v>
      </c>
    </row>
    <row r="94" spans="1:13" x14ac:dyDescent="0.25">
      <c r="A94" s="59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60" t="s">
        <v>4786</v>
      </c>
    </row>
    <row r="95" spans="1:13" x14ac:dyDescent="0.25">
      <c r="A95" s="59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60" t="s">
        <v>4786</v>
      </c>
    </row>
    <row r="96" spans="1:13" x14ac:dyDescent="0.25">
      <c r="A96" s="59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60" t="s">
        <v>4786</v>
      </c>
    </row>
    <row r="97" spans="1:13" x14ac:dyDescent="0.25">
      <c r="A97" s="59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60" t="s">
        <v>4786</v>
      </c>
    </row>
    <row r="98" spans="1:13" x14ac:dyDescent="0.25">
      <c r="A98" s="59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60" t="s">
        <v>4786</v>
      </c>
    </row>
    <row r="99" spans="1:13" x14ac:dyDescent="0.25">
      <c r="A99" s="59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60" t="s">
        <v>4786</v>
      </c>
    </row>
    <row r="100" spans="1:13" x14ac:dyDescent="0.25">
      <c r="A100" s="59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60" t="s">
        <v>4786</v>
      </c>
    </row>
    <row r="101" spans="1:13" x14ac:dyDescent="0.25">
      <c r="A101" s="59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60" t="s">
        <v>4786</v>
      </c>
    </row>
    <row r="102" spans="1:13" x14ac:dyDescent="0.25">
      <c r="A102" s="59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60" t="s">
        <v>1230</v>
      </c>
    </row>
    <row r="103" spans="1:13" x14ac:dyDescent="0.25">
      <c r="A103" s="59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60" t="s">
        <v>1230</v>
      </c>
    </row>
    <row r="104" spans="1:13" x14ac:dyDescent="0.25">
      <c r="A104" s="59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60" t="s">
        <v>1230</v>
      </c>
    </row>
    <row r="105" spans="1:13" x14ac:dyDescent="0.25">
      <c r="A105" s="59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60" t="s">
        <v>1230</v>
      </c>
    </row>
    <row r="106" spans="1:13" x14ac:dyDescent="0.25">
      <c r="A106" s="59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60" t="s">
        <v>4778</v>
      </c>
    </row>
    <row r="107" spans="1:13" x14ac:dyDescent="0.25">
      <c r="A107" s="59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60" t="s">
        <v>4778</v>
      </c>
    </row>
    <row r="108" spans="1:13" x14ac:dyDescent="0.25">
      <c r="A108" s="59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60" t="s">
        <v>4778</v>
      </c>
    </row>
    <row r="109" spans="1:13" x14ac:dyDescent="0.25">
      <c r="A109" s="59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60" t="s">
        <v>4778</v>
      </c>
    </row>
    <row r="110" spans="1:13" x14ac:dyDescent="0.25">
      <c r="A110" s="59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60" t="s">
        <v>4778</v>
      </c>
    </row>
    <row r="111" spans="1:13" x14ac:dyDescent="0.25">
      <c r="A111" s="59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60" t="s">
        <v>4778</v>
      </c>
    </row>
    <row r="112" spans="1:13" x14ac:dyDescent="0.25">
      <c r="A112" s="59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60" t="s">
        <v>4778</v>
      </c>
    </row>
    <row r="113" spans="1:13" x14ac:dyDescent="0.25">
      <c r="A113" s="59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60" t="s">
        <v>4778</v>
      </c>
    </row>
    <row r="114" spans="1:13" x14ac:dyDescent="0.25">
      <c r="A114" s="59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60" t="s">
        <v>4778</v>
      </c>
    </row>
    <row r="115" spans="1:13" x14ac:dyDescent="0.25">
      <c r="A115" s="59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60" t="s">
        <v>4778</v>
      </c>
    </row>
    <row r="116" spans="1:13" x14ac:dyDescent="0.25">
      <c r="A116" s="59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60" t="s">
        <v>4790</v>
      </c>
    </row>
    <row r="117" spans="1:13" x14ac:dyDescent="0.25">
      <c r="A117" s="59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60" t="s">
        <v>4790</v>
      </c>
    </row>
    <row r="118" spans="1:13" x14ac:dyDescent="0.25">
      <c r="A118" s="59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60" t="s">
        <v>4790</v>
      </c>
    </row>
    <row r="119" spans="1:13" x14ac:dyDescent="0.25">
      <c r="A119" s="59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60" t="s">
        <v>4790</v>
      </c>
    </row>
    <row r="120" spans="1:13" x14ac:dyDescent="0.25">
      <c r="A120" s="59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60" t="s">
        <v>4790</v>
      </c>
    </row>
    <row r="121" spans="1:13" x14ac:dyDescent="0.25">
      <c r="A121" s="59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60" t="s">
        <v>4790</v>
      </c>
    </row>
    <row r="122" spans="1:13" x14ac:dyDescent="0.25">
      <c r="A122" s="59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60" t="s">
        <v>4790</v>
      </c>
    </row>
    <row r="123" spans="1:13" x14ac:dyDescent="0.25">
      <c r="A123" s="59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60" t="s">
        <v>4790</v>
      </c>
    </row>
    <row r="124" spans="1:13" x14ac:dyDescent="0.25">
      <c r="A124" s="59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60" t="s">
        <v>4790</v>
      </c>
    </row>
    <row r="125" spans="1:13" x14ac:dyDescent="0.25">
      <c r="A125" s="59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60" t="s">
        <v>4790</v>
      </c>
    </row>
    <row r="126" spans="1:13" x14ac:dyDescent="0.25">
      <c r="A126" s="59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60" t="s">
        <v>4790</v>
      </c>
    </row>
    <row r="127" spans="1:13" x14ac:dyDescent="0.25">
      <c r="A127" s="59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60" t="s">
        <v>4790</v>
      </c>
    </row>
    <row r="128" spans="1:13" x14ac:dyDescent="0.25">
      <c r="A128" s="59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60" t="s">
        <v>4790</v>
      </c>
    </row>
    <row r="129" spans="1:13" x14ac:dyDescent="0.25">
      <c r="A129" s="59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60" t="s">
        <v>4790</v>
      </c>
    </row>
    <row r="130" spans="1:13" x14ac:dyDescent="0.25">
      <c r="A130" s="59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60" t="s">
        <v>4790</v>
      </c>
    </row>
    <row r="131" spans="1:13" x14ac:dyDescent="0.25">
      <c r="A131" s="59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60" t="s">
        <v>4790</v>
      </c>
    </row>
    <row r="132" spans="1:13" x14ac:dyDescent="0.25">
      <c r="A132" s="59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60" t="s">
        <v>4790</v>
      </c>
    </row>
    <row r="133" spans="1:13" x14ac:dyDescent="0.25">
      <c r="A133" s="59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60" t="s">
        <v>4790</v>
      </c>
    </row>
    <row r="134" spans="1:13" x14ac:dyDescent="0.25">
      <c r="A134" s="59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60" t="s">
        <v>4790</v>
      </c>
    </row>
    <row r="135" spans="1:13" x14ac:dyDescent="0.25">
      <c r="A135" s="59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60" t="s">
        <v>4790</v>
      </c>
    </row>
    <row r="136" spans="1:13" x14ac:dyDescent="0.25">
      <c r="A136" s="59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60" t="s">
        <v>4790</v>
      </c>
    </row>
    <row r="137" spans="1:13" x14ac:dyDescent="0.25">
      <c r="A137" s="59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60" t="s">
        <v>4790</v>
      </c>
    </row>
    <row r="138" spans="1:13" x14ac:dyDescent="0.25">
      <c r="A138" s="59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60" t="s">
        <v>4790</v>
      </c>
    </row>
    <row r="139" spans="1:13" x14ac:dyDescent="0.25">
      <c r="A139" s="59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60" t="s">
        <v>4790</v>
      </c>
    </row>
    <row r="140" spans="1:13" x14ac:dyDescent="0.25">
      <c r="A140" s="59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60" t="s">
        <v>4790</v>
      </c>
    </row>
    <row r="141" spans="1:13" x14ac:dyDescent="0.25">
      <c r="A141" s="59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60" t="s">
        <v>4790</v>
      </c>
    </row>
    <row r="142" spans="1:13" x14ac:dyDescent="0.25">
      <c r="A142" s="59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60" t="s">
        <v>4790</v>
      </c>
    </row>
    <row r="143" spans="1:13" x14ac:dyDescent="0.25">
      <c r="A143" s="59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60" t="s">
        <v>4790</v>
      </c>
    </row>
    <row r="144" spans="1:13" x14ac:dyDescent="0.25">
      <c r="A144" s="59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60" t="s">
        <v>4790</v>
      </c>
    </row>
    <row r="145" spans="1:13" x14ac:dyDescent="0.25">
      <c r="A145" s="59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60" t="s">
        <v>4790</v>
      </c>
    </row>
    <row r="146" spans="1:13" x14ac:dyDescent="0.25">
      <c r="A146" s="59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60" t="s">
        <v>4790</v>
      </c>
    </row>
    <row r="147" spans="1:13" x14ac:dyDescent="0.25">
      <c r="A147" s="59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60" t="s">
        <v>4790</v>
      </c>
    </row>
    <row r="148" spans="1:13" x14ac:dyDescent="0.25">
      <c r="A148" s="59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60" t="s">
        <v>4790</v>
      </c>
    </row>
    <row r="149" spans="1:13" x14ac:dyDescent="0.25">
      <c r="A149" s="59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60" t="s">
        <v>4790</v>
      </c>
    </row>
    <row r="150" spans="1:13" x14ac:dyDescent="0.25">
      <c r="A150" s="59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60" t="s">
        <v>4790</v>
      </c>
    </row>
    <row r="151" spans="1:13" x14ac:dyDescent="0.25">
      <c r="A151" s="59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60" t="s">
        <v>4790</v>
      </c>
    </row>
    <row r="152" spans="1:13" x14ac:dyDescent="0.25">
      <c r="A152" s="59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60" t="s">
        <v>4790</v>
      </c>
    </row>
    <row r="153" spans="1:13" x14ac:dyDescent="0.25">
      <c r="A153" s="59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60" t="s">
        <v>4790</v>
      </c>
    </row>
    <row r="154" spans="1:13" x14ac:dyDescent="0.25">
      <c r="A154" s="59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60" t="s">
        <v>4790</v>
      </c>
    </row>
    <row r="155" spans="1:13" x14ac:dyDescent="0.25">
      <c r="A155" s="59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60" t="s">
        <v>4790</v>
      </c>
    </row>
    <row r="156" spans="1:13" x14ac:dyDescent="0.25">
      <c r="A156" s="59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60" t="s">
        <v>4790</v>
      </c>
    </row>
    <row r="157" spans="1:13" x14ac:dyDescent="0.25">
      <c r="A157" s="59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60" t="s">
        <v>4790</v>
      </c>
    </row>
    <row r="158" spans="1:13" x14ac:dyDescent="0.25">
      <c r="A158" s="59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60" t="s">
        <v>4790</v>
      </c>
    </row>
    <row r="159" spans="1:13" x14ac:dyDescent="0.25">
      <c r="A159" s="59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60" t="s">
        <v>4790</v>
      </c>
    </row>
    <row r="160" spans="1:13" x14ac:dyDescent="0.25">
      <c r="A160" s="59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60" t="s">
        <v>4790</v>
      </c>
    </row>
    <row r="161" spans="1:13" x14ac:dyDescent="0.25">
      <c r="A161" s="59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60" t="s">
        <v>4790</v>
      </c>
    </row>
    <row r="162" spans="1:13" x14ac:dyDescent="0.25">
      <c r="A162" s="59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60" t="s">
        <v>4790</v>
      </c>
    </row>
    <row r="163" spans="1:13" x14ac:dyDescent="0.25">
      <c r="A163" s="59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60" t="s">
        <v>4790</v>
      </c>
    </row>
    <row r="164" spans="1:13" x14ac:dyDescent="0.25">
      <c r="A164" s="59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60" t="s">
        <v>4790</v>
      </c>
    </row>
    <row r="165" spans="1:13" x14ac:dyDescent="0.25">
      <c r="A165" s="59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60" t="s">
        <v>4790</v>
      </c>
    </row>
    <row r="166" spans="1:13" x14ac:dyDescent="0.25">
      <c r="A166" s="59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60" t="s">
        <v>4790</v>
      </c>
    </row>
    <row r="167" spans="1:13" x14ac:dyDescent="0.25">
      <c r="A167" s="59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60" t="s">
        <v>4790</v>
      </c>
    </row>
    <row r="168" spans="1:13" x14ac:dyDescent="0.25">
      <c r="A168" s="59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60" t="s">
        <v>4790</v>
      </c>
    </row>
    <row r="169" spans="1:13" x14ac:dyDescent="0.25">
      <c r="A169" s="59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60" t="s">
        <v>4790</v>
      </c>
    </row>
    <row r="170" spans="1:13" x14ac:dyDescent="0.25">
      <c r="A170" s="59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60" t="s">
        <v>4790</v>
      </c>
    </row>
    <row r="171" spans="1:13" x14ac:dyDescent="0.25">
      <c r="A171" s="59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60" t="s">
        <v>4790</v>
      </c>
    </row>
    <row r="172" spans="1:13" x14ac:dyDescent="0.25">
      <c r="A172" s="59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60" t="s">
        <v>4790</v>
      </c>
    </row>
    <row r="173" spans="1:13" x14ac:dyDescent="0.25">
      <c r="A173" s="59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60" t="s">
        <v>4790</v>
      </c>
    </row>
    <row r="174" spans="1:13" x14ac:dyDescent="0.25">
      <c r="A174" s="59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60" t="s">
        <v>4790</v>
      </c>
    </row>
    <row r="175" spans="1:13" x14ac:dyDescent="0.25">
      <c r="A175" s="59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60" t="s">
        <v>4790</v>
      </c>
    </row>
    <row r="176" spans="1:13" x14ac:dyDescent="0.25">
      <c r="A176" s="59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60" t="s">
        <v>4790</v>
      </c>
    </row>
    <row r="177" spans="1:13" x14ac:dyDescent="0.25">
      <c r="A177" s="59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60" t="s">
        <v>4790</v>
      </c>
    </row>
    <row r="178" spans="1:13" x14ac:dyDescent="0.25">
      <c r="A178" s="59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60" t="s">
        <v>4790</v>
      </c>
    </row>
    <row r="179" spans="1:13" x14ac:dyDescent="0.25">
      <c r="A179" s="59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60" t="s">
        <v>4790</v>
      </c>
    </row>
    <row r="180" spans="1:13" x14ac:dyDescent="0.25">
      <c r="A180" s="59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60" t="s">
        <v>4790</v>
      </c>
    </row>
    <row r="181" spans="1:13" x14ac:dyDescent="0.25">
      <c r="A181" s="59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60" t="s">
        <v>4790</v>
      </c>
    </row>
    <row r="182" spans="1:13" x14ac:dyDescent="0.25">
      <c r="A182" s="59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60" t="s">
        <v>4790</v>
      </c>
    </row>
    <row r="183" spans="1:13" x14ac:dyDescent="0.25">
      <c r="A183" s="59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60" t="s">
        <v>4790</v>
      </c>
    </row>
    <row r="184" spans="1:13" x14ac:dyDescent="0.25">
      <c r="A184" s="59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60" t="s">
        <v>4790</v>
      </c>
    </row>
    <row r="185" spans="1:13" x14ac:dyDescent="0.25">
      <c r="A185" s="59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60" t="s">
        <v>4790</v>
      </c>
    </row>
    <row r="186" spans="1:13" x14ac:dyDescent="0.25">
      <c r="A186" s="59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60" t="s">
        <v>4790</v>
      </c>
    </row>
    <row r="187" spans="1:13" x14ac:dyDescent="0.25">
      <c r="A187" s="59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60" t="s">
        <v>4790</v>
      </c>
    </row>
    <row r="188" spans="1:13" x14ac:dyDescent="0.25">
      <c r="A188" s="59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60" t="s">
        <v>4790</v>
      </c>
    </row>
    <row r="189" spans="1:13" x14ac:dyDescent="0.25">
      <c r="A189" s="59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60" t="s">
        <v>4790</v>
      </c>
    </row>
    <row r="190" spans="1:13" x14ac:dyDescent="0.25">
      <c r="A190" s="59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60" t="s">
        <v>4790</v>
      </c>
    </row>
    <row r="191" spans="1:13" x14ac:dyDescent="0.25">
      <c r="A191" s="59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60" t="s">
        <v>4790</v>
      </c>
    </row>
    <row r="192" spans="1:13" x14ac:dyDescent="0.25">
      <c r="A192" s="59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60" t="s">
        <v>4790</v>
      </c>
    </row>
    <row r="193" spans="1:13" x14ac:dyDescent="0.25">
      <c r="A193" s="59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60" t="s">
        <v>4790</v>
      </c>
    </row>
    <row r="194" spans="1:13" x14ac:dyDescent="0.25">
      <c r="A194" s="59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60" t="s">
        <v>4790</v>
      </c>
    </row>
    <row r="195" spans="1:13" x14ac:dyDescent="0.25">
      <c r="A195" s="59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60" t="s">
        <v>4790</v>
      </c>
    </row>
    <row r="196" spans="1:13" x14ac:dyDescent="0.25">
      <c r="A196" s="59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60" t="s">
        <v>4790</v>
      </c>
    </row>
    <row r="197" spans="1:13" x14ac:dyDescent="0.25">
      <c r="A197" s="59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60" t="s">
        <v>4790</v>
      </c>
    </row>
    <row r="198" spans="1:13" x14ac:dyDescent="0.25">
      <c r="A198" s="59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60" t="s">
        <v>4784</v>
      </c>
    </row>
    <row r="199" spans="1:13" x14ac:dyDescent="0.25">
      <c r="A199" s="59">
        <f t="shared" si="3"/>
        <v>198</v>
      </c>
      <c r="B199" s="51" t="s">
        <v>4</v>
      </c>
      <c r="C199" s="51" t="s">
        <v>233</v>
      </c>
      <c r="D199" s="51" t="s">
        <v>5602</v>
      </c>
      <c r="E199" s="63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60" t="s">
        <v>4795</v>
      </c>
    </row>
    <row r="200" spans="1:13" x14ac:dyDescent="0.25">
      <c r="A200" s="59">
        <f t="shared" si="3"/>
        <v>199</v>
      </c>
      <c r="B200" s="51" t="s">
        <v>4</v>
      </c>
      <c r="C200" s="51" t="s">
        <v>233</v>
      </c>
      <c r="D200" s="51" t="s">
        <v>5049</v>
      </c>
      <c r="E200" s="63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60" t="s">
        <v>4795</v>
      </c>
    </row>
    <row r="201" spans="1:13" x14ac:dyDescent="0.25">
      <c r="A201" s="59">
        <f t="shared" si="3"/>
        <v>200</v>
      </c>
      <c r="B201" s="51" t="s">
        <v>4</v>
      </c>
      <c r="C201" s="51" t="s">
        <v>233</v>
      </c>
      <c r="D201" s="51" t="s">
        <v>5051</v>
      </c>
      <c r="E201" s="63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60" t="s">
        <v>4795</v>
      </c>
    </row>
    <row r="202" spans="1:13" x14ac:dyDescent="0.25">
      <c r="A202" s="59">
        <f t="shared" si="3"/>
        <v>201</v>
      </c>
      <c r="B202" s="51" t="s">
        <v>4</v>
      </c>
      <c r="C202" s="51" t="s">
        <v>233</v>
      </c>
      <c r="D202" s="51" t="s">
        <v>5053</v>
      </c>
      <c r="E202" s="63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60" t="s">
        <v>4795</v>
      </c>
    </row>
    <row r="203" spans="1:13" x14ac:dyDescent="0.25">
      <c r="A203" s="59">
        <f t="shared" si="3"/>
        <v>202</v>
      </c>
      <c r="B203" s="51" t="s">
        <v>4</v>
      </c>
      <c r="C203" s="51" t="s">
        <v>233</v>
      </c>
      <c r="D203" s="51" t="s">
        <v>5055</v>
      </c>
      <c r="E203" s="63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60" t="s">
        <v>4795</v>
      </c>
    </row>
    <row r="204" spans="1:13" x14ac:dyDescent="0.25">
      <c r="A204" s="59">
        <f t="shared" si="3"/>
        <v>203</v>
      </c>
      <c r="B204" s="51" t="s">
        <v>4</v>
      </c>
      <c r="C204" s="51" t="s">
        <v>233</v>
      </c>
      <c r="D204" s="51" t="s">
        <v>5057</v>
      </c>
      <c r="E204" s="63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60" t="s">
        <v>4795</v>
      </c>
    </row>
    <row r="205" spans="1:13" x14ac:dyDescent="0.25">
      <c r="A205" s="59">
        <f t="shared" si="3"/>
        <v>204</v>
      </c>
      <c r="B205" s="51" t="s">
        <v>4</v>
      </c>
      <c r="C205" s="51" t="s">
        <v>233</v>
      </c>
      <c r="D205" s="51" t="s">
        <v>5059</v>
      </c>
      <c r="E205" s="63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60" t="s">
        <v>4795</v>
      </c>
    </row>
    <row r="206" spans="1:13" x14ac:dyDescent="0.25">
      <c r="A206" s="59">
        <f t="shared" si="3"/>
        <v>205</v>
      </c>
      <c r="B206" s="51" t="s">
        <v>4</v>
      </c>
      <c r="C206" s="51" t="s">
        <v>233</v>
      </c>
      <c r="D206" s="51" t="s">
        <v>5061</v>
      </c>
      <c r="E206" s="63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60" t="s">
        <v>4795</v>
      </c>
    </row>
    <row r="207" spans="1:13" x14ac:dyDescent="0.25">
      <c r="A207" s="59">
        <f t="shared" si="3"/>
        <v>206</v>
      </c>
      <c r="B207" s="51" t="s">
        <v>4</v>
      </c>
      <c r="C207" s="51" t="s">
        <v>233</v>
      </c>
      <c r="D207" s="51" t="s">
        <v>5063</v>
      </c>
      <c r="E207" s="63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60" t="s">
        <v>4795</v>
      </c>
    </row>
    <row r="208" spans="1:13" x14ac:dyDescent="0.25">
      <c r="A208" s="59">
        <f t="shared" si="3"/>
        <v>207</v>
      </c>
      <c r="B208" s="51" t="s">
        <v>4</v>
      </c>
      <c r="C208" s="51" t="s">
        <v>233</v>
      </c>
      <c r="D208" s="51" t="s">
        <v>5065</v>
      </c>
      <c r="E208" s="63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60" t="s">
        <v>4795</v>
      </c>
    </row>
    <row r="209" spans="1:13" x14ac:dyDescent="0.25">
      <c r="A209" s="59">
        <f t="shared" si="3"/>
        <v>208</v>
      </c>
      <c r="B209" s="51" t="s">
        <v>4</v>
      </c>
      <c r="C209" s="51" t="s">
        <v>233</v>
      </c>
      <c r="D209" s="51" t="s">
        <v>5067</v>
      </c>
      <c r="E209" s="63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60" t="s">
        <v>4795</v>
      </c>
    </row>
    <row r="210" spans="1:13" x14ac:dyDescent="0.25">
      <c r="A210" s="59">
        <f t="shared" si="3"/>
        <v>209</v>
      </c>
      <c r="B210" s="51" t="s">
        <v>4</v>
      </c>
      <c r="C210" s="51" t="s">
        <v>233</v>
      </c>
      <c r="D210" s="51" t="s">
        <v>5614</v>
      </c>
      <c r="E210" s="64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60" t="s">
        <v>4795</v>
      </c>
    </row>
    <row r="211" spans="1:13" x14ac:dyDescent="0.25">
      <c r="A211" s="59">
        <f t="shared" si="3"/>
        <v>210</v>
      </c>
      <c r="B211" s="51" t="s">
        <v>4</v>
      </c>
      <c r="C211" s="51" t="s">
        <v>233</v>
      </c>
      <c r="D211" s="51" t="s">
        <v>5616</v>
      </c>
      <c r="E211" s="63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60" t="s">
        <v>4795</v>
      </c>
    </row>
    <row r="212" spans="1:13" x14ac:dyDescent="0.25">
      <c r="A212" s="59">
        <f t="shared" si="3"/>
        <v>211</v>
      </c>
      <c r="B212" s="51" t="s">
        <v>4</v>
      </c>
      <c r="C212" s="51" t="s">
        <v>233</v>
      </c>
      <c r="D212" s="51" t="s">
        <v>5069</v>
      </c>
      <c r="E212" s="63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60" t="s">
        <v>4795</v>
      </c>
    </row>
    <row r="213" spans="1:13" x14ac:dyDescent="0.25">
      <c r="A213" s="59">
        <f t="shared" si="3"/>
        <v>212</v>
      </c>
      <c r="B213" s="51" t="s">
        <v>4</v>
      </c>
      <c r="C213" s="51" t="s">
        <v>233</v>
      </c>
      <c r="D213" s="51" t="s">
        <v>5619</v>
      </c>
      <c r="E213" s="64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60" t="s">
        <v>4795</v>
      </c>
    </row>
    <row r="214" spans="1:13" x14ac:dyDescent="0.25">
      <c r="A214" s="59">
        <f t="shared" si="3"/>
        <v>213</v>
      </c>
      <c r="B214" s="51" t="s">
        <v>4</v>
      </c>
      <c r="C214" s="51" t="s">
        <v>233</v>
      </c>
      <c r="D214" s="51" t="s">
        <v>5621</v>
      </c>
      <c r="E214" s="63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60" t="s">
        <v>4795</v>
      </c>
    </row>
    <row r="215" spans="1:13" x14ac:dyDescent="0.25">
      <c r="A215" s="59">
        <f t="shared" si="3"/>
        <v>214</v>
      </c>
      <c r="B215" s="51" t="s">
        <v>4</v>
      </c>
      <c r="C215" s="51" t="s">
        <v>233</v>
      </c>
      <c r="D215" s="51" t="s">
        <v>5071</v>
      </c>
      <c r="E215" s="63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60" t="s">
        <v>4795</v>
      </c>
    </row>
    <row r="216" spans="1:13" x14ac:dyDescent="0.25">
      <c r="A216" s="59">
        <f t="shared" si="3"/>
        <v>215</v>
      </c>
      <c r="B216" s="51" t="s">
        <v>4</v>
      </c>
      <c r="C216" s="51" t="s">
        <v>233</v>
      </c>
      <c r="D216" s="51" t="s">
        <v>5073</v>
      </c>
      <c r="E216" s="63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60" t="s">
        <v>4795</v>
      </c>
    </row>
    <row r="217" spans="1:13" x14ac:dyDescent="0.25">
      <c r="A217" s="59">
        <f t="shared" si="3"/>
        <v>216</v>
      </c>
      <c r="B217" s="51" t="s">
        <v>4</v>
      </c>
      <c r="C217" s="51" t="s">
        <v>233</v>
      </c>
      <c r="D217" s="51" t="s">
        <v>5625</v>
      </c>
      <c r="E217" s="64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60" t="s">
        <v>4795</v>
      </c>
    </row>
    <row r="218" spans="1:13" x14ac:dyDescent="0.25">
      <c r="A218" s="59">
        <f t="shared" si="3"/>
        <v>217</v>
      </c>
      <c r="B218" s="51" t="s">
        <v>4</v>
      </c>
      <c r="C218" s="51" t="s">
        <v>233</v>
      </c>
      <c r="D218" s="51" t="s">
        <v>5627</v>
      </c>
      <c r="E218" s="63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60" t="s">
        <v>4795</v>
      </c>
    </row>
    <row r="219" spans="1:13" x14ac:dyDescent="0.25">
      <c r="A219" s="59">
        <f t="shared" si="3"/>
        <v>218</v>
      </c>
      <c r="B219" s="51" t="s">
        <v>4</v>
      </c>
      <c r="C219" s="51" t="s">
        <v>233</v>
      </c>
      <c r="D219" s="51" t="s">
        <v>5075</v>
      </c>
      <c r="E219" s="63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60" t="s">
        <v>4795</v>
      </c>
    </row>
    <row r="220" spans="1:13" x14ac:dyDescent="0.25">
      <c r="A220" s="59">
        <f t="shared" si="3"/>
        <v>219</v>
      </c>
      <c r="B220" s="51" t="s">
        <v>4</v>
      </c>
      <c r="C220" s="51" t="s">
        <v>233</v>
      </c>
      <c r="D220" s="51" t="s">
        <v>5077</v>
      </c>
      <c r="E220" s="63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60" t="s">
        <v>4795</v>
      </c>
    </row>
    <row r="221" spans="1:13" x14ac:dyDescent="0.25">
      <c r="A221" s="59">
        <f t="shared" si="3"/>
        <v>220</v>
      </c>
      <c r="B221" s="51" t="s">
        <v>4</v>
      </c>
      <c r="C221" s="51" t="s">
        <v>233</v>
      </c>
      <c r="D221" s="51" t="s">
        <v>5079</v>
      </c>
      <c r="E221" s="63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60" t="s">
        <v>4795</v>
      </c>
    </row>
    <row r="222" spans="1:13" x14ac:dyDescent="0.25">
      <c r="A222" s="59">
        <f t="shared" si="3"/>
        <v>221</v>
      </c>
      <c r="B222" s="51" t="s">
        <v>4</v>
      </c>
      <c r="C222" s="51" t="s">
        <v>233</v>
      </c>
      <c r="D222" s="51" t="s">
        <v>5081</v>
      </c>
      <c r="E222" s="63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60" t="s">
        <v>4795</v>
      </c>
    </row>
    <row r="223" spans="1:13" x14ac:dyDescent="0.25">
      <c r="A223" s="59">
        <f t="shared" si="3"/>
        <v>222</v>
      </c>
      <c r="B223" s="51" t="s">
        <v>4</v>
      </c>
      <c r="C223" s="51" t="s">
        <v>233</v>
      </c>
      <c r="D223" s="51" t="s">
        <v>5083</v>
      </c>
      <c r="E223" s="63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60" t="s">
        <v>4795</v>
      </c>
    </row>
    <row r="224" spans="1:13" x14ac:dyDescent="0.25">
      <c r="A224" s="59">
        <f t="shared" si="3"/>
        <v>223</v>
      </c>
      <c r="B224" s="51" t="s">
        <v>4</v>
      </c>
      <c r="C224" s="51" t="s">
        <v>233</v>
      </c>
      <c r="D224" s="51" t="s">
        <v>5085</v>
      </c>
      <c r="E224" s="63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60" t="s">
        <v>4795</v>
      </c>
    </row>
    <row r="225" spans="1:13" x14ac:dyDescent="0.25">
      <c r="A225" s="59">
        <f t="shared" si="3"/>
        <v>224</v>
      </c>
      <c r="B225" s="51" t="s">
        <v>4</v>
      </c>
      <c r="C225" s="51" t="s">
        <v>233</v>
      </c>
      <c r="D225" s="51" t="s">
        <v>5635</v>
      </c>
      <c r="E225" s="64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60" t="s">
        <v>4795</v>
      </c>
    </row>
    <row r="226" spans="1:13" x14ac:dyDescent="0.25">
      <c r="A226" s="59">
        <f t="shared" si="3"/>
        <v>225</v>
      </c>
      <c r="B226" s="51" t="s">
        <v>4</v>
      </c>
      <c r="C226" s="51" t="s">
        <v>233</v>
      </c>
      <c r="D226" s="51" t="s">
        <v>5637</v>
      </c>
      <c r="E226" s="63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60" t="s">
        <v>4795</v>
      </c>
    </row>
    <row r="227" spans="1:13" x14ac:dyDescent="0.25">
      <c r="A227" s="59">
        <f t="shared" si="3"/>
        <v>226</v>
      </c>
      <c r="B227" s="51" t="s">
        <v>4</v>
      </c>
      <c r="C227" s="51" t="s">
        <v>233</v>
      </c>
      <c r="D227" s="51" t="s">
        <v>5087</v>
      </c>
      <c r="E227" s="63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60" t="s">
        <v>4795</v>
      </c>
    </row>
    <row r="228" spans="1:13" x14ac:dyDescent="0.25">
      <c r="A228" s="59">
        <f t="shared" si="3"/>
        <v>227</v>
      </c>
      <c r="B228" s="51" t="s">
        <v>4</v>
      </c>
      <c r="C228" s="51" t="s">
        <v>233</v>
      </c>
      <c r="D228" s="51" t="s">
        <v>5089</v>
      </c>
      <c r="E228" s="63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60" t="s">
        <v>4795</v>
      </c>
    </row>
    <row r="229" spans="1:13" x14ac:dyDescent="0.25">
      <c r="A229" s="59">
        <f t="shared" si="3"/>
        <v>228</v>
      </c>
      <c r="B229" s="51" t="s">
        <v>4</v>
      </c>
      <c r="C229" s="51" t="s">
        <v>233</v>
      </c>
      <c r="D229" s="51" t="s">
        <v>5091</v>
      </c>
      <c r="E229" s="63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60" t="s">
        <v>4795</v>
      </c>
    </row>
    <row r="230" spans="1:13" x14ac:dyDescent="0.25">
      <c r="A230" s="59">
        <f t="shared" si="3"/>
        <v>229</v>
      </c>
      <c r="B230" s="51" t="s">
        <v>4</v>
      </c>
      <c r="C230" s="51" t="s">
        <v>233</v>
      </c>
      <c r="D230" s="51" t="s">
        <v>5093</v>
      </c>
      <c r="E230" s="63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60" t="s">
        <v>4795</v>
      </c>
    </row>
    <row r="231" spans="1:13" x14ac:dyDescent="0.25">
      <c r="A231" s="59">
        <f t="shared" si="3"/>
        <v>230</v>
      </c>
      <c r="B231" s="51" t="s">
        <v>4</v>
      </c>
      <c r="C231" s="51" t="s">
        <v>233</v>
      </c>
      <c r="D231" s="51" t="s">
        <v>5095</v>
      </c>
      <c r="E231" s="63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60" t="s">
        <v>4795</v>
      </c>
    </row>
    <row r="232" spans="1:13" x14ac:dyDescent="0.25">
      <c r="A232" s="59">
        <f t="shared" si="3"/>
        <v>231</v>
      </c>
      <c r="B232" s="51" t="s">
        <v>4</v>
      </c>
      <c r="C232" s="51" t="s">
        <v>233</v>
      </c>
      <c r="D232" s="51" t="s">
        <v>5097</v>
      </c>
      <c r="E232" s="63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60" t="s">
        <v>4795</v>
      </c>
    </row>
    <row r="233" spans="1:13" x14ac:dyDescent="0.25">
      <c r="A233" s="59">
        <f t="shared" si="3"/>
        <v>232</v>
      </c>
      <c r="B233" s="51" t="s">
        <v>4</v>
      </c>
      <c r="C233" s="51" t="s">
        <v>233</v>
      </c>
      <c r="D233" s="51" t="s">
        <v>5645</v>
      </c>
      <c r="E233" s="64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60" t="s">
        <v>4795</v>
      </c>
    </row>
    <row r="234" spans="1:13" x14ac:dyDescent="0.25">
      <c r="A234" s="59">
        <f t="shared" si="3"/>
        <v>233</v>
      </c>
      <c r="B234" s="51" t="s">
        <v>4</v>
      </c>
      <c r="C234" s="51" t="s">
        <v>233</v>
      </c>
      <c r="D234" s="51" t="s">
        <v>5647</v>
      </c>
      <c r="E234" s="63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60" t="s">
        <v>4795</v>
      </c>
    </row>
    <row r="235" spans="1:13" x14ac:dyDescent="0.25">
      <c r="A235" s="59">
        <f t="shared" si="3"/>
        <v>234</v>
      </c>
      <c r="B235" s="51" t="s">
        <v>4</v>
      </c>
      <c r="C235" s="51" t="s">
        <v>233</v>
      </c>
      <c r="D235" s="51" t="s">
        <v>5099</v>
      </c>
      <c r="E235" s="63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60" t="s">
        <v>4795</v>
      </c>
    </row>
    <row r="236" spans="1:13" x14ac:dyDescent="0.25">
      <c r="A236" s="59">
        <f t="shared" si="3"/>
        <v>235</v>
      </c>
      <c r="B236" s="51" t="s">
        <v>4</v>
      </c>
      <c r="C236" s="51" t="s">
        <v>233</v>
      </c>
      <c r="D236" s="51" t="s">
        <v>5101</v>
      </c>
      <c r="E236" s="63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60" t="s">
        <v>4795</v>
      </c>
    </row>
    <row r="237" spans="1:13" x14ac:dyDescent="0.25">
      <c r="A237" s="59">
        <f t="shared" si="3"/>
        <v>236</v>
      </c>
      <c r="B237" s="51" t="s">
        <v>4</v>
      </c>
      <c r="C237" s="51" t="s">
        <v>233</v>
      </c>
      <c r="D237" s="51" t="s">
        <v>5103</v>
      </c>
      <c r="E237" s="63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60" t="s">
        <v>4795</v>
      </c>
    </row>
    <row r="238" spans="1:13" x14ac:dyDescent="0.25">
      <c r="A238" s="59">
        <f t="shared" si="3"/>
        <v>237</v>
      </c>
      <c r="B238" s="51" t="s">
        <v>4</v>
      </c>
      <c r="C238" s="51" t="s">
        <v>233</v>
      </c>
      <c r="D238" s="51" t="s">
        <v>5105</v>
      </c>
      <c r="E238" s="63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60" t="s">
        <v>4795</v>
      </c>
    </row>
    <row r="239" spans="1:13" x14ac:dyDescent="0.25">
      <c r="A239" s="59">
        <f t="shared" si="3"/>
        <v>238</v>
      </c>
      <c r="B239" s="51" t="s">
        <v>4</v>
      </c>
      <c r="C239" s="51" t="s">
        <v>233</v>
      </c>
      <c r="D239" s="51" t="s">
        <v>5107</v>
      </c>
      <c r="E239" s="63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60" t="s">
        <v>4795</v>
      </c>
    </row>
    <row r="240" spans="1:13" x14ac:dyDescent="0.25">
      <c r="A240" s="59">
        <f t="shared" si="3"/>
        <v>239</v>
      </c>
      <c r="B240" s="51" t="s">
        <v>4</v>
      </c>
      <c r="C240" s="51" t="s">
        <v>233</v>
      </c>
      <c r="D240" s="51" t="s">
        <v>5109</v>
      </c>
      <c r="E240" s="63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60" t="s">
        <v>4795</v>
      </c>
    </row>
    <row r="241" spans="1:13" x14ac:dyDescent="0.25">
      <c r="A241" s="59">
        <f t="shared" si="3"/>
        <v>240</v>
      </c>
      <c r="B241" s="51" t="s">
        <v>4</v>
      </c>
      <c r="C241" s="51" t="s">
        <v>233</v>
      </c>
      <c r="D241" s="51" t="s">
        <v>5111</v>
      </c>
      <c r="E241" s="63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60" t="s">
        <v>4795</v>
      </c>
    </row>
    <row r="242" spans="1:13" x14ac:dyDescent="0.25">
      <c r="A242" s="59">
        <f t="shared" si="3"/>
        <v>241</v>
      </c>
      <c r="B242" s="51" t="s">
        <v>4</v>
      </c>
      <c r="C242" s="51" t="s">
        <v>233</v>
      </c>
      <c r="D242" s="51" t="s">
        <v>5113</v>
      </c>
      <c r="E242" s="63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60" t="s">
        <v>4795</v>
      </c>
    </row>
    <row r="243" spans="1:13" x14ac:dyDescent="0.25">
      <c r="A243" s="59">
        <f t="shared" si="3"/>
        <v>242</v>
      </c>
      <c r="B243" s="51" t="s">
        <v>4</v>
      </c>
      <c r="C243" s="51" t="s">
        <v>233</v>
      </c>
      <c r="D243" s="51" t="s">
        <v>5115</v>
      </c>
      <c r="E243" s="63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60" t="s">
        <v>4795</v>
      </c>
    </row>
    <row r="244" spans="1:13" x14ac:dyDescent="0.25">
      <c r="A244" s="59">
        <f t="shared" si="3"/>
        <v>243</v>
      </c>
      <c r="B244" s="51" t="s">
        <v>4</v>
      </c>
      <c r="C244" s="51" t="s">
        <v>233</v>
      </c>
      <c r="D244" s="51" t="s">
        <v>5117</v>
      </c>
      <c r="E244" s="63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60" t="s">
        <v>4795</v>
      </c>
    </row>
    <row r="245" spans="1:13" x14ac:dyDescent="0.25">
      <c r="A245" s="59">
        <f t="shared" si="3"/>
        <v>244</v>
      </c>
      <c r="B245" s="51" t="s">
        <v>4</v>
      </c>
      <c r="C245" s="51" t="s">
        <v>233</v>
      </c>
      <c r="D245" s="51" t="s">
        <v>5659</v>
      </c>
      <c r="E245" s="64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60" t="s">
        <v>4795</v>
      </c>
    </row>
    <row r="246" spans="1:13" x14ac:dyDescent="0.25">
      <c r="A246" s="59">
        <f t="shared" si="3"/>
        <v>245</v>
      </c>
      <c r="B246" s="51" t="s">
        <v>4</v>
      </c>
      <c r="C246" s="51" t="s">
        <v>233</v>
      </c>
      <c r="D246" s="51" t="s">
        <v>5661</v>
      </c>
      <c r="E246" s="63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60" t="s">
        <v>4795</v>
      </c>
    </row>
    <row r="247" spans="1:13" x14ac:dyDescent="0.25">
      <c r="A247" s="59">
        <f t="shared" si="3"/>
        <v>246</v>
      </c>
      <c r="B247" s="51" t="s">
        <v>4</v>
      </c>
      <c r="C247" s="51" t="s">
        <v>233</v>
      </c>
      <c r="D247" s="51" t="s">
        <v>5119</v>
      </c>
      <c r="E247" s="63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60" t="s">
        <v>4795</v>
      </c>
    </row>
    <row r="248" spans="1:13" x14ac:dyDescent="0.25">
      <c r="A248" s="59">
        <f t="shared" si="3"/>
        <v>247</v>
      </c>
      <c r="B248" s="51" t="s">
        <v>4</v>
      </c>
      <c r="C248" s="51" t="s">
        <v>233</v>
      </c>
      <c r="D248" s="51" t="s">
        <v>5664</v>
      </c>
      <c r="E248" s="64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60" t="s">
        <v>4795</v>
      </c>
    </row>
    <row r="249" spans="1:13" x14ac:dyDescent="0.25">
      <c r="A249" s="59">
        <f t="shared" si="3"/>
        <v>248</v>
      </c>
      <c r="B249" s="51" t="s">
        <v>4</v>
      </c>
      <c r="C249" s="51" t="s">
        <v>233</v>
      </c>
      <c r="D249" s="51" t="s">
        <v>5666</v>
      </c>
      <c r="E249" s="63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60" t="s">
        <v>4795</v>
      </c>
    </row>
    <row r="250" spans="1:13" x14ac:dyDescent="0.25">
      <c r="A250" s="59">
        <f t="shared" si="3"/>
        <v>249</v>
      </c>
      <c r="B250" s="51" t="s">
        <v>4</v>
      </c>
      <c r="C250" s="51" t="s">
        <v>233</v>
      </c>
      <c r="D250" s="51" t="s">
        <v>5121</v>
      </c>
      <c r="E250" s="63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60" t="s">
        <v>4795</v>
      </c>
    </row>
    <row r="251" spans="1:13" x14ac:dyDescent="0.25">
      <c r="A251" s="59">
        <f t="shared" si="3"/>
        <v>250</v>
      </c>
      <c r="B251" s="51" t="s">
        <v>4</v>
      </c>
      <c r="C251" s="51" t="s">
        <v>233</v>
      </c>
      <c r="D251" s="51" t="s">
        <v>5123</v>
      </c>
      <c r="E251" s="63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60" t="s">
        <v>4795</v>
      </c>
    </row>
    <row r="252" spans="1:13" x14ac:dyDescent="0.25">
      <c r="A252" s="59">
        <f t="shared" si="3"/>
        <v>251</v>
      </c>
      <c r="B252" s="51" t="s">
        <v>4</v>
      </c>
      <c r="C252" s="51" t="s">
        <v>233</v>
      </c>
      <c r="D252" s="51" t="s">
        <v>5670</v>
      </c>
      <c r="E252" s="64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60" t="s">
        <v>4795</v>
      </c>
    </row>
    <row r="253" spans="1:13" x14ac:dyDescent="0.25">
      <c r="A253" s="59">
        <f t="shared" si="3"/>
        <v>252</v>
      </c>
      <c r="B253" s="51" t="s">
        <v>4</v>
      </c>
      <c r="C253" s="51" t="s">
        <v>233</v>
      </c>
      <c r="D253" s="51" t="s">
        <v>5672</v>
      </c>
      <c r="E253" s="63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60" t="s">
        <v>4795</v>
      </c>
    </row>
    <row r="254" spans="1:13" x14ac:dyDescent="0.25">
      <c r="A254" s="59">
        <f t="shared" si="3"/>
        <v>253</v>
      </c>
      <c r="B254" s="51" t="s">
        <v>4</v>
      </c>
      <c r="C254" s="51" t="s">
        <v>233</v>
      </c>
      <c r="D254" s="51" t="s">
        <v>5125</v>
      </c>
      <c r="E254" s="63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60" t="s">
        <v>4795</v>
      </c>
    </row>
    <row r="255" spans="1:13" x14ac:dyDescent="0.25">
      <c r="A255" s="59">
        <f t="shared" si="3"/>
        <v>254</v>
      </c>
      <c r="B255" s="51" t="s">
        <v>4</v>
      </c>
      <c r="C255" s="51" t="s">
        <v>233</v>
      </c>
      <c r="D255" s="51" t="s">
        <v>5127</v>
      </c>
      <c r="E255" s="63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60" t="s">
        <v>4795</v>
      </c>
    </row>
    <row r="256" spans="1:13" x14ac:dyDescent="0.25">
      <c r="A256" s="59">
        <f t="shared" si="3"/>
        <v>255</v>
      </c>
      <c r="B256" s="51" t="s">
        <v>4</v>
      </c>
      <c r="C256" s="51" t="s">
        <v>233</v>
      </c>
      <c r="D256" s="51" t="s">
        <v>5129</v>
      </c>
      <c r="E256" s="63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60" t="s">
        <v>4795</v>
      </c>
    </row>
    <row r="257" spans="1:13" x14ac:dyDescent="0.25">
      <c r="A257" s="59">
        <f t="shared" si="3"/>
        <v>256</v>
      </c>
      <c r="B257" s="51" t="s">
        <v>4</v>
      </c>
      <c r="C257" s="51" t="s">
        <v>233</v>
      </c>
      <c r="D257" s="51" t="s">
        <v>5131</v>
      </c>
      <c r="E257" s="63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60" t="s">
        <v>4795</v>
      </c>
    </row>
    <row r="258" spans="1:13" x14ac:dyDescent="0.25">
      <c r="A258" s="59">
        <f t="shared" si="3"/>
        <v>257</v>
      </c>
      <c r="B258" s="51" t="s">
        <v>4</v>
      </c>
      <c r="C258" s="51" t="s">
        <v>233</v>
      </c>
      <c r="D258" s="51" t="s">
        <v>5133</v>
      </c>
      <c r="E258" s="63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60" t="s">
        <v>4795</v>
      </c>
    </row>
    <row r="259" spans="1:13" x14ac:dyDescent="0.25">
      <c r="A259" s="59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3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60" t="s">
        <v>4795</v>
      </c>
    </row>
    <row r="260" spans="1:13" x14ac:dyDescent="0.25">
      <c r="A260" s="59">
        <f t="shared" si="4"/>
        <v>259</v>
      </c>
      <c r="B260" s="51" t="s">
        <v>4</v>
      </c>
      <c r="C260" s="51" t="s">
        <v>233</v>
      </c>
      <c r="D260" s="51" t="s">
        <v>5680</v>
      </c>
      <c r="E260" s="64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60" t="s">
        <v>4795</v>
      </c>
    </row>
    <row r="261" spans="1:13" x14ac:dyDescent="0.25">
      <c r="A261" s="59">
        <f t="shared" si="4"/>
        <v>260</v>
      </c>
      <c r="B261" s="51" t="s">
        <v>4</v>
      </c>
      <c r="C261" s="51" t="s">
        <v>233</v>
      </c>
      <c r="D261" s="51" t="s">
        <v>5682</v>
      </c>
      <c r="E261" s="63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60" t="s">
        <v>4795</v>
      </c>
    </row>
    <row r="262" spans="1:13" x14ac:dyDescent="0.25">
      <c r="A262" s="59">
        <f t="shared" si="4"/>
        <v>261</v>
      </c>
      <c r="B262" s="51" t="s">
        <v>4</v>
      </c>
      <c r="C262" s="51" t="s">
        <v>233</v>
      </c>
      <c r="D262" s="51" t="s">
        <v>5137</v>
      </c>
      <c r="E262" s="63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60" t="s">
        <v>4795</v>
      </c>
    </row>
    <row r="263" spans="1:13" x14ac:dyDescent="0.25">
      <c r="A263" s="59">
        <f t="shared" si="4"/>
        <v>262</v>
      </c>
      <c r="B263" s="51" t="s">
        <v>4</v>
      </c>
      <c r="C263" s="51" t="s">
        <v>233</v>
      </c>
      <c r="D263" s="51" t="s">
        <v>5139</v>
      </c>
      <c r="E263" s="63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60" t="s">
        <v>4795</v>
      </c>
    </row>
    <row r="264" spans="1:13" x14ac:dyDescent="0.25">
      <c r="A264" s="59">
        <f t="shared" si="4"/>
        <v>263</v>
      </c>
      <c r="B264" s="51" t="s">
        <v>4</v>
      </c>
      <c r="C264" s="51" t="s">
        <v>233</v>
      </c>
      <c r="D264" s="51" t="s">
        <v>5141</v>
      </c>
      <c r="E264" s="63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60" t="s">
        <v>4795</v>
      </c>
    </row>
    <row r="265" spans="1:13" x14ac:dyDescent="0.25">
      <c r="A265" s="59">
        <f t="shared" si="4"/>
        <v>264</v>
      </c>
      <c r="B265" s="51" t="s">
        <v>4</v>
      </c>
      <c r="C265" s="51" t="s">
        <v>233</v>
      </c>
      <c r="D265" s="51" t="s">
        <v>5143</v>
      </c>
      <c r="E265" s="63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60" t="s">
        <v>4795</v>
      </c>
    </row>
    <row r="266" spans="1:13" x14ac:dyDescent="0.25">
      <c r="A266" s="59">
        <f t="shared" si="4"/>
        <v>265</v>
      </c>
      <c r="B266" s="51" t="s">
        <v>4</v>
      </c>
      <c r="C266" s="51" t="s">
        <v>233</v>
      </c>
      <c r="D266" s="51" t="s">
        <v>5145</v>
      </c>
      <c r="E266" s="63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60" t="s">
        <v>4795</v>
      </c>
    </row>
    <row r="267" spans="1:13" x14ac:dyDescent="0.25">
      <c r="A267" s="59">
        <f t="shared" si="4"/>
        <v>266</v>
      </c>
      <c r="B267" s="51" t="s">
        <v>4</v>
      </c>
      <c r="C267" s="51" t="s">
        <v>233</v>
      </c>
      <c r="D267" s="51" t="s">
        <v>5147</v>
      </c>
      <c r="E267" s="63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60" t="s">
        <v>4795</v>
      </c>
    </row>
    <row r="268" spans="1:13" x14ac:dyDescent="0.25">
      <c r="A268" s="59">
        <f t="shared" si="4"/>
        <v>267</v>
      </c>
      <c r="B268" s="51" t="s">
        <v>4</v>
      </c>
      <c r="C268" s="51" t="s">
        <v>233</v>
      </c>
      <c r="D268" s="51" t="s">
        <v>5690</v>
      </c>
      <c r="E268" s="64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60" t="s">
        <v>4795</v>
      </c>
    </row>
    <row r="269" spans="1:13" x14ac:dyDescent="0.25">
      <c r="A269" s="59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60" t="s">
        <v>4778</v>
      </c>
    </row>
    <row r="270" spans="1:13" x14ac:dyDescent="0.25">
      <c r="A270" s="59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60" t="s">
        <v>4778</v>
      </c>
    </row>
    <row r="271" spans="1:13" x14ac:dyDescent="0.25">
      <c r="A271" s="59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60" t="s">
        <v>4778</v>
      </c>
    </row>
    <row r="272" spans="1:13" x14ac:dyDescent="0.25">
      <c r="A272" s="59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60" t="s">
        <v>4778</v>
      </c>
    </row>
    <row r="273" spans="1:13" x14ac:dyDescent="0.25">
      <c r="A273" s="59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60" t="s">
        <v>1230</v>
      </c>
    </row>
    <row r="274" spans="1:13" x14ac:dyDescent="0.25">
      <c r="A274" s="59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60" t="s">
        <v>1230</v>
      </c>
    </row>
    <row r="275" spans="1:13" x14ac:dyDescent="0.25">
      <c r="A275" s="59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60" t="s">
        <v>4778</v>
      </c>
    </row>
    <row r="276" spans="1:13" x14ac:dyDescent="0.25">
      <c r="A276" s="59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60" t="s">
        <v>4778</v>
      </c>
    </row>
    <row r="277" spans="1:13" x14ac:dyDescent="0.25">
      <c r="A277" s="59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60" t="s">
        <v>4778</v>
      </c>
    </row>
    <row r="278" spans="1:13" x14ac:dyDescent="0.25">
      <c r="A278" s="59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60" t="s">
        <v>4778</v>
      </c>
    </row>
    <row r="279" spans="1:13" x14ac:dyDescent="0.25">
      <c r="A279" s="59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60" t="s">
        <v>4778</v>
      </c>
    </row>
    <row r="280" spans="1:13" x14ac:dyDescent="0.25">
      <c r="A280" s="59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60" t="s">
        <v>1230</v>
      </c>
    </row>
    <row r="281" spans="1:13" x14ac:dyDescent="0.25">
      <c r="A281" s="59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60" t="s">
        <v>1230</v>
      </c>
    </row>
    <row r="282" spans="1:13" x14ac:dyDescent="0.25">
      <c r="A282" s="59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60" t="s">
        <v>1230</v>
      </c>
    </row>
    <row r="283" spans="1:13" x14ac:dyDescent="0.25">
      <c r="A283" s="59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60" t="s">
        <v>1230</v>
      </c>
    </row>
    <row r="284" spans="1:13" x14ac:dyDescent="0.25">
      <c r="A284" s="59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60" t="s">
        <v>1230</v>
      </c>
    </row>
    <row r="285" spans="1:13" x14ac:dyDescent="0.25">
      <c r="A285" s="59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60" t="s">
        <v>1230</v>
      </c>
    </row>
    <row r="286" spans="1:13" x14ac:dyDescent="0.25">
      <c r="A286" s="59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60" t="s">
        <v>1230</v>
      </c>
    </row>
    <row r="287" spans="1:13" x14ac:dyDescent="0.25">
      <c r="A287" s="59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60" t="s">
        <v>1230</v>
      </c>
    </row>
    <row r="288" spans="1:13" x14ac:dyDescent="0.25">
      <c r="A288" s="59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60" t="s">
        <v>1230</v>
      </c>
    </row>
    <row r="289" spans="1:13" x14ac:dyDescent="0.25">
      <c r="A289" s="59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60" t="s">
        <v>1230</v>
      </c>
    </row>
    <row r="290" spans="1:13" x14ac:dyDescent="0.25">
      <c r="A290" s="59">
        <f t="shared" si="4"/>
        <v>289</v>
      </c>
      <c r="B290" s="51" t="s">
        <v>4</v>
      </c>
      <c r="C290" s="51" t="s">
        <v>238</v>
      </c>
      <c r="D290" s="51" t="s">
        <v>345</v>
      </c>
      <c r="E290" s="61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60" t="s">
        <v>4784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8"/>
  <sheetViews>
    <sheetView topLeftCell="A244" workbookViewId="0">
      <selection activeCell="B278" sqref="B276:B27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7583</v>
      </c>
      <c r="B277" s="36" t="s">
        <v>86</v>
      </c>
    </row>
    <row r="278" spans="1:2" x14ac:dyDescent="0.25">
      <c r="A278" s="5" t="s">
        <v>7588</v>
      </c>
      <c r="B278" s="36" t="s">
        <v>86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</vt:i4>
      </vt:variant>
    </vt:vector>
  </HeadingPairs>
  <TitlesOfParts>
    <vt:vector size="19" baseType="lpstr">
      <vt:lpstr>pvt</vt:lpstr>
      <vt:lpstr>STUCT1</vt:lpstr>
      <vt:lpstr>Sheet5</vt:lpstr>
      <vt:lpstr>Sheet6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2025-11-21T22:01:27Z</dcterms:modified>
</cp:coreProperties>
</file>