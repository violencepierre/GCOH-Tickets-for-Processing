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BE0740E-C69B-4AB9-BB37-89F57D19109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6" sheetId="23" r:id="rId3"/>
    <sheet name="Sheet5" sheetId="22" r:id="rId4"/>
    <sheet name="Sheet4" sheetId="21" r:id="rId5"/>
    <sheet name="Sheet3" sheetId="20" r:id="rId6"/>
    <sheet name="Sheet2" sheetId="19" r:id="rId7"/>
    <sheet name="Sheet1" sheetId="18" r:id="rId8"/>
    <sheet name="Names" sheetId="5" r:id="rId9"/>
    <sheet name="NEW NODES" sheetId="6" r:id="rId10"/>
    <sheet name="People" sheetId="7" r:id="rId11"/>
    <sheet name="2023" sheetId="8" state="hidden" r:id="rId12"/>
    <sheet name="Sectors" sheetId="9" r:id="rId13"/>
    <sheet name="Okey" sheetId="10" r:id="rId14"/>
    <sheet name="KPI" sheetId="12" r:id="rId15"/>
  </sheets>
  <definedNames>
    <definedName name="_xlnm._FilterDatabase" localSheetId="11">'2023'!$A$1:$M$1</definedName>
    <definedName name="_xlnm._FilterDatabase" localSheetId="8">Names!$A$237:$G$388</definedName>
    <definedName name="_xlnm._FilterDatabase" localSheetId="10">People!$A$1:$B$1</definedName>
    <definedName name="_xlnm._FilterDatabase" localSheetId="4" hidden="1">Sheet4!$A$1:$G$1</definedName>
    <definedName name="_xlnm._FilterDatabase" localSheetId="1">STUCT1!#REF!</definedName>
  </definedNames>
  <calcPr calcId="181029"/>
  <pivotCaches>
    <pivotCache cacheId="0" r:id="rId16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55" i="1" l="1"/>
  <c r="J1362" i="1"/>
  <c r="J1361" i="1"/>
  <c r="J1360" i="1"/>
  <c r="J1359" i="1"/>
  <c r="J1358" i="1"/>
  <c r="J1357" i="1"/>
  <c r="J1356" i="1"/>
  <c r="H1361" i="1"/>
  <c r="H1362" i="1"/>
  <c r="H1355" i="1"/>
  <c r="H1356" i="1"/>
  <c r="H1357" i="1"/>
  <c r="H1358" i="1"/>
  <c r="H1359" i="1"/>
  <c r="H1360" i="1"/>
  <c r="J1354" i="1"/>
  <c r="H1354" i="1"/>
  <c r="J1351" i="1"/>
  <c r="J1352" i="1"/>
  <c r="J1353" i="1"/>
  <c r="H1351" i="1"/>
  <c r="H1352" i="1"/>
  <c r="H1353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</calcChain>
</file>

<file path=xl/sharedStrings.xml><?xml version="1.0" encoding="utf-8"?>
<sst xmlns="http://schemas.openxmlformats.org/spreadsheetml/2006/main" count="37323" uniqueCount="6762">
  <si>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</si>
  <si>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</si>
  <si>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</si>
  <si>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</si>
  <si>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</si>
  <si>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</si>
  <si>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</si>
  <si>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</si>
  <si>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</si>
  <si>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</si>
  <si>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</si>
  <si>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</si>
  <si>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</si>
  <si>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</si>
  <si>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</si>
  <si>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</si>
  <si>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</si>
  <si>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</si>
  <si>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</si>
  <si>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</si>
  <si>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</si>
  <si>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</si>
  <si>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</si>
  <si>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</si>
  <si>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</si>
  <si>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</si>
  <si>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</si>
  <si>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</si>
  <si>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</si>
  <si>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</si>
  <si>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</si>
  <si>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</si>
  <si>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</si>
  <si>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</si>
  <si>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</si>
  <si>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</si>
  <si>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</si>
  <si>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</si>
  <si>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</si>
  <si>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</si>
  <si>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</si>
  <si>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</si>
  <si>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</si>
  <si>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</si>
  <si>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</si>
  <si>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</si>
  <si>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</si>
  <si>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</si>
  <si>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</si>
  <si>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</si>
  <si>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</si>
  <si>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</si>
  <si>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</si>
  <si>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</si>
  <si>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</si>
  <si>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</si>
  <si>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</si>
  <si>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</si>
  <si>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</si>
  <si>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</si>
  <si>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</si>
  <si>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</si>
  <si>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</si>
  <si>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</si>
  <si>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</si>
  <si>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</si>
  <si>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</si>
  <si>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</si>
  <si>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</si>
  <si>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</si>
  <si>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</si>
  <si>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</si>
  <si>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</si>
  <si>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</si>
  <si>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</si>
  <si>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</si>
  <si>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</si>
  <si>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</si>
  <si>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</si>
  <si>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</si>
  <si>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</si>
  <si>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</si>
  <si>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</si>
  <si>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</si>
  <si>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</si>
  <si>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</si>
  <si>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</si>
  <si>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</si>
  <si>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</si>
  <si>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</si>
  <si>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</si>
  <si>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</si>
  <si>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</si>
  <si>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</si>
  <si>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</si>
  <si>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</si>
  <si>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</si>
  <si>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</si>
  <si>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</si>
  <si>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</si>
  <si>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</si>
  <si>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</si>
  <si>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</si>
  <si>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</si>
  <si>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</si>
  <si>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</si>
  <si>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</si>
  <si>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</si>
  <si>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</si>
  <si>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</si>
  <si>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</si>
  <si>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</si>
  <si>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</si>
  <si>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</si>
  <si>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</si>
  <si>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</si>
  <si>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</si>
  <si>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</si>
  <si>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</si>
  <si>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</si>
  <si>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</si>
  <si>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</si>
  <si>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</si>
  <si>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</si>
  <si>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</si>
  <si>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</si>
  <si>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</si>
  <si>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</si>
  <si>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</si>
  <si>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</si>
  <si>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</si>
  <si>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</si>
  <si>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</si>
  <si>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</si>
  <si>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</si>
  <si>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</si>
  <si>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</si>
  <si>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</si>
  <si>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</si>
  <si>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</si>
  <si>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</si>
  <si>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</si>
  <si>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</si>
  <si>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</si>
  <si>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</si>
  <si>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</si>
  <si>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</si>
  <si>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</si>
  <si>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</si>
  <si>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</si>
  <si>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</si>
  <si>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</si>
  <si>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</si>
  <si>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</si>
  <si>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</si>
  <si>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</si>
  <si>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</si>
  <si>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</si>
  <si>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</si>
  <si>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</si>
  <si>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</si>
  <si>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</si>
  <si>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</si>
  <si>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</si>
  <si>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</si>
  <si>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</si>
  <si>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</si>
  <si>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</si>
  <si>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</si>
  <si>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</si>
  <si>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</si>
  <si>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</si>
  <si>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</si>
  <si>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</si>
  <si>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</si>
  <si>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</si>
  <si>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</si>
  <si>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</si>
  <si>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</si>
  <si>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</si>
  <si>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</si>
  <si>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</si>
  <si>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</si>
  <si>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</si>
  <si>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</si>
  <si>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</si>
  <si>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</si>
  <si>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</si>
  <si>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</si>
  <si>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</si>
  <si>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</si>
  <si>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</si>
  <si>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</si>
  <si>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</si>
  <si>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</si>
  <si>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</si>
  <si>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</si>
  <si>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</si>
  <si>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</si>
  <si>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</si>
  <si>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</si>
  <si>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</si>
  <si>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</si>
  <si>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</si>
  <si>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</si>
  <si>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</si>
  <si>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</si>
  <si>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</si>
  <si>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</si>
  <si>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</si>
  <si>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</si>
  <si>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</si>
  <si>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</si>
  <si>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</si>
  <si>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</si>
  <si>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</si>
  <si>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</si>
  <si>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</si>
  <si>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</si>
  <si>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</si>
  <si>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</si>
  <si>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</si>
  <si>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</si>
  <si>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</si>
  <si>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</si>
  <si>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</si>
  <si>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</si>
  <si>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</si>
  <si>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</si>
  <si>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</si>
  <si>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</si>
  <si>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</si>
  <si>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</si>
  <si>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</si>
  <si>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</si>
  <si>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</si>
  <si>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</si>
  <si>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</si>
  <si>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</si>
  <si>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</si>
  <si>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</si>
  <si>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</si>
  <si>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</si>
  <si>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</si>
  <si>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</si>
  <si>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</si>
  <si>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</si>
  <si>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</si>
  <si>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</si>
  <si>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</si>
  <si>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</si>
  <si>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</si>
  <si>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</si>
  <si>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</si>
  <si>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</si>
  <si>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</si>
  <si>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</si>
  <si>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</si>
  <si>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</si>
  <si>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</si>
  <si>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</si>
  <si>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</si>
  <si>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</si>
  <si>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</si>
  <si>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</si>
  <si>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</si>
  <si>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</si>
  <si>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</si>
  <si>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</si>
  <si>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</si>
  <si>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</si>
  <si>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</si>
  <si>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</si>
  <si>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</si>
  <si>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</si>
  <si>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</si>
  <si>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</si>
  <si>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</si>
  <si>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</si>
  <si>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</si>
  <si>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</si>
  <si>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</si>
  <si>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</si>
  <si>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</si>
  <si>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</si>
  <si>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</si>
  <si>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</si>
  <si>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</si>
  <si>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</si>
  <si>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</si>
  <si>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</si>
  <si>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</si>
  <si>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</si>
  <si>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</si>
  <si>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</si>
  <si>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</si>
  <si>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</si>
  <si>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</si>
  <si>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</si>
  <si>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</si>
  <si>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</si>
  <si>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</si>
  <si>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</si>
  <si>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</si>
  <si>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</si>
  <si>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</si>
  <si>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</si>
  <si>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</si>
  <si>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</si>
  <si>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</si>
  <si>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</si>
  <si>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</si>
  <si>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</si>
  <si>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</si>
  <si>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</si>
  <si>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</si>
  <si>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</si>
  <si>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</si>
  <si>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</si>
  <si>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</si>
  <si>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</si>
  <si>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</si>
  <si>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</si>
  <si>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</si>
  <si>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</si>
  <si>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</si>
  <si>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</si>
  <si>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</si>
  <si>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</si>
  <si>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</si>
  <si>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</si>
  <si>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</si>
  <si>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</si>
  <si>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</si>
  <si>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</si>
  <si>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</si>
  <si>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</si>
  <si>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</si>
  <si>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</si>
  <si>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</si>
  <si>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</si>
  <si>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</si>
  <si>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</si>
  <si>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</si>
  <si>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</si>
  <si>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</si>
  <si>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</si>
  <si>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</si>
  <si>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</si>
  <si>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</si>
  <si>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</si>
  <si>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</si>
  <si>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</si>
  <si>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</si>
  <si>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</si>
  <si>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</si>
  <si>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</si>
  <si>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</si>
  <si>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</si>
  <si>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</si>
  <si>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</si>
  <si>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</si>
  <si>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</si>
  <si>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</si>
  <si>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</si>
  <si>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</si>
  <si>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</si>
  <si>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</si>
  <si>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</si>
  <si>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</si>
  <si>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</si>
  <si>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</si>
  <si>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</si>
  <si>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</si>
  <si>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</si>
  <si>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</si>
  <si>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</si>
  <si>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</si>
  <si>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</si>
  <si>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</si>
  <si>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</si>
  <si>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</si>
  <si>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</si>
  <si>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</si>
  <si>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</si>
  <si>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</si>
  <si>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</si>
  <si>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</si>
  <si>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</si>
  <si>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</si>
  <si>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</si>
  <si>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</si>
  <si>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</si>
  <si>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</si>
  <si>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</si>
  <si>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</si>
  <si>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</si>
  <si>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</si>
  <si>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</si>
  <si>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</si>
  <si>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</si>
  <si>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</si>
  <si>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</si>
  <si>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</si>
  <si>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</si>
  <si>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</si>
  <si>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</si>
  <si>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</si>
  <si>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</si>
  <si>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</si>
  <si>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</si>
  <si>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</si>
  <si>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</si>
  <si>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</si>
  <si>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</si>
  <si>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</si>
  <si>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</si>
  <si>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</si>
  <si>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</si>
  <si>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</si>
  <si>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</si>
  <si>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</si>
  <si>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</si>
  <si>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</si>
  <si>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</si>
  <si>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</si>
  <si>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</si>
  <si>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</si>
  <si>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</si>
  <si>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</si>
  <si>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</si>
  <si>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</si>
  <si>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</si>
  <si>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</si>
  <si>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</si>
  <si>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</si>
  <si>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</si>
  <si>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</si>
  <si>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</si>
  <si>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</si>
  <si>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</si>
  <si>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</si>
  <si>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</si>
  <si>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</si>
  <si>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</si>
  <si>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</si>
  <si>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</si>
  <si>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</si>
  <si>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</si>
  <si>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</si>
  <si>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</si>
  <si>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</si>
  <si>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</si>
  <si>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</si>
  <si>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</si>
  <si>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</si>
  <si>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</si>
  <si>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</si>
  <si>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</si>
  <si>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</si>
  <si>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</si>
  <si>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</si>
  <si>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</si>
  <si>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</si>
  <si>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</si>
  <si>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</si>
  <si>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</si>
  <si>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</si>
  <si>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</si>
  <si>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</si>
  <si>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</si>
  <si>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</si>
  <si>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</si>
  <si>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</si>
  <si>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</si>
  <si>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</si>
  <si>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</si>
  <si>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</si>
  <si>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</si>
  <si>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</si>
  <si>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</si>
  <si>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</si>
  <si>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</si>
  <si>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</si>
  <si>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</si>
  <si>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</si>
  <si>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</si>
  <si>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</si>
  <si>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</si>
  <si>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</si>
  <si>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</si>
  <si>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</si>
  <si>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</si>
  <si>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</si>
  <si>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</si>
  <si>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</si>
  <si>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</si>
  <si>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</si>
  <si>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</si>
  <si>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</si>
  <si>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</si>
  <si>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</si>
  <si>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</si>
  <si>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</si>
  <si>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</si>
  <si>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</si>
  <si>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</si>
  <si>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</si>
  <si>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</si>
  <si>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</si>
  <si>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</si>
  <si>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</si>
  <si>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</si>
  <si>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</si>
  <si>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</si>
  <si>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</si>
  <si>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</si>
  <si>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</si>
  <si>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</si>
  <si>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</si>
  <si>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</si>
  <si>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</si>
  <si>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</si>
  <si>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</si>
  <si>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</si>
  <si>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</si>
  <si>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</si>
  <si>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</si>
  <si>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</si>
  <si>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</si>
  <si>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</si>
  <si>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</si>
  <si>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</si>
  <si>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</si>
  <si>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</si>
  <si>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</si>
  <si>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</si>
  <si>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</si>
  <si>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</si>
  <si>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</si>
  <si>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</si>
  <si>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</si>
  <si>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</si>
  <si>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</si>
  <si>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</si>
  <si>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</si>
  <si>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</si>
  <si>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</si>
  <si>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</si>
  <si>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</si>
  <si>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</si>
  <si>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</si>
  <si>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</si>
  <si>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</si>
  <si>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</si>
  <si>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</si>
  <si>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</si>
  <si>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</si>
  <si>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</si>
  <si>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</si>
  <si>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</si>
  <si>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</si>
  <si>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</si>
  <si>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</si>
  <si>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</si>
  <si>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</si>
  <si>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</si>
  <si>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</si>
  <si>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</si>
  <si>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</si>
  <si>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</si>
  <si>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</si>
  <si>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</si>
  <si>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</si>
  <si>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</si>
  <si>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</si>
  <si>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</si>
  <si>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</si>
  <si>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</si>
  <si>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</si>
  <si>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</si>
  <si>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</si>
  <si>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</si>
  <si>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</si>
  <si>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</si>
  <si>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</si>
  <si>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</si>
  <si>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</si>
  <si>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</si>
  <si>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</si>
  <si>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</si>
  <si>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</si>
  <si>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</si>
  <si>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</si>
  <si>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</si>
  <si>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</si>
  <si>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</si>
  <si>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</si>
  <si>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</si>
  <si>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</si>
  <si>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</si>
  <si>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</si>
  <si>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</si>
  <si>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</si>
  <si>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</si>
  <si>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</si>
  <si>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</si>
  <si>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</si>
  <si>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</si>
  <si>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</si>
  <si>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</si>
  <si>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</si>
  <si>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</si>
  <si>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</si>
  <si>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</si>
  <si>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</si>
  <si>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</si>
  <si>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</si>
  <si>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</si>
  <si>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</si>
  <si>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</si>
  <si>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</si>
  <si>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</si>
  <si>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</si>
  <si>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</si>
  <si>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</si>
  <si>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</si>
  <si>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</si>
  <si>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</si>
  <si>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</si>
  <si>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</si>
  <si>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</si>
  <si>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</si>
  <si>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</si>
  <si>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</si>
  <si>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</si>
  <si>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</si>
  <si>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</si>
  <si>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</si>
  <si>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</si>
  <si>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</si>
  <si>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</si>
  <si>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</si>
  <si>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</si>
  <si>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</si>
  <si>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</si>
  <si>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</si>
  <si>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</si>
  <si>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</si>
  <si>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</si>
  <si>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</si>
  <si>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</si>
  <si>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</si>
  <si>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</si>
  <si>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</si>
  <si>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</si>
  <si>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</si>
  <si>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</si>
  <si>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</si>
  <si>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</si>
  <si>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</si>
  <si>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</si>
  <si>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</si>
  <si>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</si>
  <si>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</si>
  <si>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</si>
  <si>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</si>
  <si>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</si>
  <si>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</si>
  <si>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</si>
  <si>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</si>
  <si>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</si>
  <si>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</si>
  <si>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</si>
  <si>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</si>
  <si>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</si>
  <si>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</si>
  <si>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</si>
  <si>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</si>
  <si>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</si>
  <si>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</si>
  <si>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</si>
  <si>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</si>
  <si>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</si>
  <si>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</si>
  <si>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</si>
  <si>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</si>
  <si>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</si>
  <si>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</si>
  <si>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</si>
  <si>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</si>
  <si>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</si>
  <si>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</si>
  <si>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</si>
  <si>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</si>
  <si>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</si>
  <si>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</si>
  <si>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</si>
  <si>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</si>
  <si>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</si>
  <si>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</si>
  <si>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</si>
  <si>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</si>
  <si>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</si>
  <si>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</si>
  <si>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</si>
  <si>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</si>
  <si>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</si>
  <si>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</si>
  <si>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</si>
  <si>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</si>
  <si>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</si>
  <si>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</si>
  <si>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</si>
  <si>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</si>
  <si>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</si>
  <si>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</si>
  <si>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</si>
  <si>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</si>
  <si>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</si>
  <si>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</si>
  <si>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</si>
  <si>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</si>
  <si>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</si>
  <si>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</si>
  <si>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</si>
  <si>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</si>
  <si>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</si>
  <si>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</si>
  <si>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</si>
  <si>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</si>
  <si>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</si>
  <si>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</si>
  <si>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</si>
  <si>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</si>
  <si>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</si>
  <si>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</si>
  <si>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</si>
  <si>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</si>
  <si>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</si>
  <si>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</si>
  <si>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</si>
  <si>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</si>
  <si>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</si>
  <si>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</si>
  <si>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</si>
  <si>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</si>
  <si>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</si>
  <si>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</si>
  <si>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</si>
  <si>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</si>
  <si>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</si>
  <si>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</si>
  <si>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</si>
  <si>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</si>
  <si>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</si>
  <si>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</si>
  <si>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</si>
  <si>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</si>
  <si>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</si>
  <si>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</si>
  <si>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</si>
  <si>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</si>
  <si>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</si>
  <si>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</si>
  <si>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</si>
  <si>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</si>
  <si>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</si>
  <si>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</si>
  <si>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</si>
  <si>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</si>
  <si>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</si>
  <si>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</si>
  <si>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</si>
  <si>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</si>
  <si>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</si>
  <si>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</si>
  <si>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</si>
  <si>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</si>
  <si>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</si>
  <si>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</si>
  <si>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</si>
  <si>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</si>
  <si>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</si>
  <si>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</si>
  <si>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</si>
  <si>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</si>
  <si>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</si>
  <si>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</si>
  <si>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</si>
  <si>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</si>
  <si>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</si>
  <si>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</si>
  <si>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</si>
  <si>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</si>
  <si>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</si>
  <si>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</si>
  <si>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</si>
  <si>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</si>
  <si>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</si>
  <si>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</si>
  <si>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</si>
  <si>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</si>
  <si>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</si>
  <si>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</si>
  <si>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</si>
  <si>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</si>
  <si>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</si>
  <si>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</si>
  <si>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</si>
  <si>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</si>
  <si>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</si>
  <si>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</si>
  <si>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</si>
  <si>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</si>
  <si>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</si>
  <si>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</si>
  <si>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</si>
  <si>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</si>
  <si>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</si>
  <si>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</si>
  <si>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</si>
  <si>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</si>
  <si>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</si>
  <si>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</si>
  <si>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</si>
  <si>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</si>
  <si>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</si>
  <si>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</si>
  <si>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</si>
  <si>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</si>
  <si>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</si>
  <si>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</si>
  <si>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</si>
  <si>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</si>
  <si>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</si>
  <si>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</si>
  <si>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</si>
  <si>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</si>
  <si>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</si>
  <si>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</si>
  <si>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</si>
  <si>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</si>
  <si>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</si>
  <si>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</si>
  <si>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</si>
  <si>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</si>
  <si>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</si>
  <si>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</si>
  <si>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</si>
  <si>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</si>
  <si>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</si>
  <si>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</si>
  <si>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</si>
  <si>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</si>
  <si>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</si>
  <si>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</si>
  <si>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</si>
  <si>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</si>
  <si>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</si>
  <si>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</si>
  <si>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</si>
  <si>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</si>
  <si>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</si>
  <si>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</si>
  <si>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</si>
  <si>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</si>
  <si>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</si>
  <si>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</si>
  <si>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</si>
  <si>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</si>
  <si>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</si>
  <si>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</si>
  <si>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</si>
  <si>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</si>
  <si>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</si>
  <si>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</si>
  <si>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</si>
  <si>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</si>
  <si>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</si>
  <si>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</si>
  <si>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</si>
  <si>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</si>
  <si>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</si>
  <si>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</si>
  <si>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</si>
  <si>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</si>
  <si>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</si>
  <si>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</si>
  <si>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</si>
  <si>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</si>
  <si>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</si>
  <si>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</si>
  <si>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</si>
  <si>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</si>
  <si>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</si>
  <si>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</si>
  <si>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</si>
  <si>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</si>
  <si>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</si>
  <si>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</si>
  <si>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</si>
  <si>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</si>
  <si>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</si>
  <si>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</si>
  <si>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</si>
  <si>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</si>
  <si>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</si>
  <si>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</si>
  <si>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</si>
  <si>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</si>
  <si>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</si>
  <si>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</si>
  <si>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</si>
  <si>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</si>
  <si>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</si>
  <si>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</si>
  <si>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</si>
  <si>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</si>
  <si>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</si>
  <si>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</si>
  <si>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</si>
  <si>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</si>
  <si>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</si>
  <si>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</si>
  <si>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</si>
  <si>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</si>
  <si>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</si>
  <si>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</si>
  <si>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</si>
  <si>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</si>
  <si>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</si>
  <si>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</si>
  <si>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</si>
  <si>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</si>
  <si>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</si>
  <si>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</si>
  <si>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</si>
  <si>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</si>
  <si>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</si>
  <si>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</si>
  <si>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</si>
  <si>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</si>
  <si>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</si>
  <si>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</si>
  <si>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</si>
  <si>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</si>
  <si>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</si>
  <si>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</si>
  <si>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</si>
  <si>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</si>
  <si>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</si>
  <si>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</si>
  <si>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</si>
  <si>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</si>
  <si>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</si>
  <si>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</si>
  <si>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</si>
  <si>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</si>
  <si>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</si>
  <si>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</si>
  <si>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</si>
  <si>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</si>
  <si>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</si>
  <si>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</si>
  <si>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</si>
  <si>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</si>
  <si>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</si>
  <si>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</si>
  <si>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</si>
  <si>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</si>
  <si>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</si>
  <si>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</si>
  <si>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</si>
  <si>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</si>
  <si>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</si>
  <si>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</si>
  <si>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</si>
  <si>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</si>
  <si>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</si>
  <si>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</si>
  <si>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</si>
  <si>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</si>
  <si>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</si>
  <si>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</si>
  <si>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</si>
  <si>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</si>
  <si>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</si>
  <si>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</si>
  <si>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</si>
  <si>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</si>
  <si>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</si>
  <si>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</si>
  <si>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</si>
  <si>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</si>
  <si>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</si>
  <si>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</si>
  <si>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</si>
  <si>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</si>
  <si>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</si>
  <si>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</si>
  <si>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</si>
  <si>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</si>
  <si>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</si>
  <si>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</si>
  <si>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</si>
  <si>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</si>
  <si>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</si>
  <si>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</si>
  <si>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</si>
  <si>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</si>
  <si>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</si>
  <si>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</si>
  <si>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</si>
  <si>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</si>
  <si>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</si>
  <si>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</si>
  <si>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</si>
  <si>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</si>
  <si>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</si>
  <si>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</si>
  <si>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</si>
  <si>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</si>
  <si>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</si>
  <si>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</si>
  <si>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</si>
  <si>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</si>
  <si>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</si>
  <si>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</si>
  <si>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</si>
  <si>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</si>
  <si>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</si>
  <si>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</si>
  <si>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</si>
  <si>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</si>
  <si>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</si>
  <si>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</si>
  <si>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</si>
  <si>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</si>
  <si>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</si>
  <si>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</si>
  <si>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</si>
  <si>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</si>
  <si>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</si>
  <si>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</si>
  <si>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</si>
  <si>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</si>
  <si>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</si>
  <si>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</si>
  <si>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</si>
  <si>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</si>
  <si>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</si>
  <si>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</si>
  <si>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</si>
  <si>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</si>
  <si>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</si>
  <si>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</si>
  <si>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</si>
  <si>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</si>
  <si>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</si>
  <si>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</si>
  <si>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</si>
  <si>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</si>
  <si>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</si>
  <si>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</si>
  <si>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</si>
  <si>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</si>
  <si>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</si>
  <si>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</si>
  <si>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</si>
  <si>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</si>
  <si>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</si>
  <si>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</si>
  <si>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</si>
  <si>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</si>
  <si>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</si>
  <si>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</si>
  <si>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</si>
  <si>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</si>
  <si>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</si>
  <si>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</si>
  <si>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</si>
  <si>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</si>
  <si>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</si>
  <si>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</si>
  <si>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</si>
  <si>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</si>
  <si>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</si>
  <si>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</si>
  <si>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</si>
  <si>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</si>
  <si>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</si>
  <si>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</si>
  <si>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</si>
  <si>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</si>
  <si>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</si>
  <si>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</si>
  <si>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</si>
  <si>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</si>
  <si>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</si>
  <si>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</si>
  <si>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</si>
  <si>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</si>
  <si>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</si>
  <si>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</si>
  <si>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</si>
  <si>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</si>
  <si>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</si>
  <si>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</si>
  <si>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</si>
  <si>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</si>
  <si>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</si>
  <si>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</si>
  <si>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</si>
  <si>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</si>
  <si>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</si>
  <si>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</si>
  <si>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</si>
  <si>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</si>
  <si>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</si>
  <si>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</si>
  <si>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</si>
  <si>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</si>
  <si>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</si>
  <si>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</si>
  <si>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</si>
  <si>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</si>
  <si>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</si>
  <si>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</si>
  <si>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</si>
  <si>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</si>
  <si>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</si>
  <si>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</si>
  <si>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</si>
  <si>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</si>
  <si>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</si>
  <si>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</si>
  <si>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</si>
  <si>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</si>
  <si>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</si>
  <si>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</si>
  <si>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</si>
  <si>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</si>
  <si>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</si>
  <si>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</si>
  <si>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</si>
  <si>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</si>
  <si>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</si>
  <si>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</si>
  <si>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</si>
  <si>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</si>
  <si>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</si>
  <si>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</si>
  <si>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</si>
  <si>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</si>
  <si>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</si>
  <si>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</si>
  <si>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</si>
  <si>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</si>
  <si>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</si>
  <si>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</si>
  <si>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</si>
  <si>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</si>
  <si>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</si>
  <si>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</si>
  <si>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</si>
  <si>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</si>
  <si>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</si>
  <si>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</si>
  <si>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</si>
  <si>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</si>
  <si>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</si>
  <si>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</si>
  <si>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</si>
  <si>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</si>
  <si>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</si>
  <si>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</si>
  <si>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</si>
  <si>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</si>
  <si>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</si>
  <si>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</si>
  <si>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</si>
  <si>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</si>
  <si>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</si>
  <si>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</si>
  <si>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</si>
  <si>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</si>
  <si>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</si>
  <si>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</si>
  <si>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</si>
  <si>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</si>
  <si>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</si>
  <si>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</si>
  <si>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</si>
  <si>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</si>
  <si>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</si>
  <si>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</si>
  <si>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</si>
  <si>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</si>
  <si>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</si>
  <si>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</si>
  <si>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</si>
  <si>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</si>
  <si>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</si>
  <si>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</si>
  <si>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</si>
  <si>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</si>
  <si>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</si>
  <si>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</si>
  <si>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</si>
  <si>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</si>
  <si>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</si>
  <si>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</si>
  <si>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</si>
  <si>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</si>
  <si>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</si>
  <si>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</si>
  <si>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</si>
  <si>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</si>
  <si>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</si>
  <si>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</si>
  <si>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</si>
  <si>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</si>
  <si>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</si>
  <si>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</si>
  <si>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</si>
  <si>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</si>
  <si>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</si>
  <si>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</si>
  <si>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</si>
  <si>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</si>
  <si>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</si>
  <si>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</si>
  <si>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</si>
  <si>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</si>
  <si>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</si>
  <si>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</si>
  <si>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</si>
  <si>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</si>
  <si>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</si>
  <si>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</si>
  <si>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</si>
  <si>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</si>
  <si>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</si>
  <si>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</si>
  <si>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</si>
  <si>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</si>
  <si>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</si>
  <si>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</si>
  <si>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</si>
  <si>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</si>
  <si>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</si>
  <si>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</si>
  <si>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</si>
  <si>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</si>
  <si>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</si>
  <si>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</si>
  <si>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</si>
  <si>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</si>
  <si>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</si>
  <si>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</si>
  <si>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</si>
  <si>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</si>
  <si>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</si>
  <si>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</si>
  <si>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</si>
  <si>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</si>
  <si>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</si>
  <si>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</si>
  <si>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</si>
  <si>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</si>
  <si>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</si>
  <si>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</si>
  <si>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</si>
  <si>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</si>
  <si>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</si>
  <si>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</si>
  <si>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</si>
  <si>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</si>
  <si>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</si>
  <si>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</si>
  <si>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</si>
  <si>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</si>
  <si>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</si>
  <si>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</si>
  <si>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</si>
  <si>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</si>
  <si>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</si>
  <si>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</si>
  <si>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</si>
  <si>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</si>
  <si>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</si>
  <si>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</si>
  <si>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</si>
  <si>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</si>
  <si>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</si>
  <si>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</si>
  <si>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</si>
  <si>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</si>
  <si>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</si>
  <si>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</si>
  <si>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</si>
  <si>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</si>
  <si>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</si>
  <si>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</si>
  <si>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</si>
  <si>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</si>
  <si>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</si>
  <si>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</si>
  <si>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</si>
  <si>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</si>
  <si>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</si>
  <si>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</si>
  <si>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</si>
  <si>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</si>
  <si>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</si>
  <si>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</si>
  <si>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</si>
  <si>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</si>
  <si>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</si>
  <si>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</si>
  <si>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</si>
  <si>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</si>
  <si>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</si>
  <si>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</si>
  <si>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</si>
  <si>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</si>
  <si>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</si>
  <si>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</si>
  <si>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</si>
  <si>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</si>
  <si>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</si>
  <si>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</si>
  <si>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</si>
  <si>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</si>
  <si>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</si>
  <si>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</si>
  <si>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</si>
  <si>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</si>
  <si>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</si>
  <si>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</si>
  <si>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</si>
  <si>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</si>
  <si>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</si>
  <si>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</si>
  <si>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</si>
  <si>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</si>
  <si>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</si>
  <si>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</si>
  <si>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</si>
  <si>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</si>
  <si>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</si>
  <si>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</si>
  <si>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</si>
  <si>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</si>
  <si>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</si>
  <si>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</si>
  <si>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</si>
  <si>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</si>
  <si>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</si>
  <si>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</si>
  <si>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</si>
  <si>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</si>
  <si>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</si>
  <si>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</si>
  <si>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</si>
  <si>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</si>
  <si>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</si>
  <si>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</si>
  <si>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</si>
  <si>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</si>
  <si>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</si>
  <si>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</si>
  <si>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</si>
  <si>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</si>
  <si>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</si>
  <si>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</si>
  <si>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</si>
  <si>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</si>
  <si>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</si>
  <si>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</si>
  <si>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</si>
  <si>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</si>
  <si>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</si>
  <si>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</si>
  <si>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</si>
  <si>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</si>
  <si>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</si>
  <si>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</si>
  <si>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</si>
  <si>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</si>
  <si>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</si>
  <si>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</si>
  <si>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</si>
  <si>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</si>
  <si>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</si>
  <si>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</si>
  <si>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</si>
  <si>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</si>
  <si>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</si>
  <si>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</si>
  <si>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</si>
  <si>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</si>
  <si>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</si>
  <si>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</si>
  <si>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</si>
  <si>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</si>
  <si>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</si>
  <si>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</si>
  <si>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</si>
  <si>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</si>
  <si>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</si>
  <si>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</si>
  <si>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</si>
  <si>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</si>
  <si>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</si>
  <si>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</si>
  <si>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</si>
  <si>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</si>
  <si>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</si>
  <si>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</si>
  <si>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</si>
  <si>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</si>
  <si>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</si>
  <si>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</si>
  <si>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</si>
  <si>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</si>
  <si>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</si>
  <si>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</si>
  <si>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</si>
  <si>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</si>
  <si>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</si>
  <si>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</si>
  <si>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</si>
  <si>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</si>
  <si>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</si>
  <si>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</si>
  <si>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</si>
  <si>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</si>
  <si>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</si>
  <si>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</si>
  <si>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</si>
  <si>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</si>
  <si>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</si>
  <si>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</si>
  <si>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</si>
  <si>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</si>
  <si>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</si>
  <si>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</si>
  <si>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</si>
  <si>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</si>
  <si>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</si>
  <si>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</si>
  <si>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</si>
  <si>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</si>
  <si>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</si>
  <si>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</si>
  <si>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</si>
  <si>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</si>
  <si>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</si>
  <si>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</si>
  <si>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</si>
  <si>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</si>
  <si>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</si>
  <si>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</si>
  <si>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</si>
  <si>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</si>
  <si>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</si>
  <si>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</si>
  <si>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</si>
  <si>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</si>
  <si>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</si>
  <si>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</si>
  <si>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</si>
  <si>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</si>
  <si>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</si>
  <si>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</si>
  <si>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</si>
  <si>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</si>
  <si>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</si>
  <si>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</si>
  <si>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</si>
  <si>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</si>
  <si>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</si>
  <si>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</si>
  <si>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</si>
  <si>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</si>
  <si>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</si>
  <si>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</si>
  <si>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</si>
  <si>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</si>
  <si>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</si>
  <si>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</si>
  <si>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</si>
  <si>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</si>
  <si>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</si>
  <si>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</si>
  <si>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</si>
  <si>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</si>
  <si>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</si>
  <si>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</si>
  <si>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</si>
  <si>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</si>
  <si>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</si>
  <si>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</si>
  <si>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</si>
  <si>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</si>
  <si>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</si>
  <si>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</si>
  <si>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</si>
  <si>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</si>
  <si>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</si>
  <si>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</si>
  <si>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</si>
  <si>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</si>
  <si>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</si>
  <si>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</si>
  <si>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</si>
  <si>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</si>
  <si>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</si>
  <si>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</si>
  <si>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</si>
  <si>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</si>
  <si>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</si>
  <si>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</si>
  <si>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</si>
  <si>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</si>
  <si>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</si>
  <si>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</si>
  <si>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</si>
  <si>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</si>
  <si>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</si>
  <si>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</si>
  <si>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</si>
  <si>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</si>
  <si>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</si>
  <si>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</si>
  <si>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</si>
  <si>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</si>
  <si>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</si>
  <si>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</si>
  <si>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</si>
  <si>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</si>
  <si>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</si>
  <si>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</si>
  <si>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</si>
  <si>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</si>
  <si>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</si>
  <si>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</si>
  <si>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</si>
  <si>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</si>
  <si>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</si>
  <si>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</si>
  <si>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</si>
  <si>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</si>
  <si>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</si>
  <si>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</si>
  <si>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</si>
  <si>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</si>
  <si>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</si>
  <si>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</si>
  <si>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</si>
  <si>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</si>
  <si>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</si>
  <si>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</si>
  <si>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</si>
  <si>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</si>
  <si>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</si>
  <si>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</si>
  <si>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</si>
  <si>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</si>
  <si>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</si>
  <si>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</si>
  <si>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</si>
  <si>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</si>
  <si>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</si>
  <si>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</si>
  <si>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</si>
  <si>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</si>
  <si>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</si>
  <si>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</si>
  <si>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</si>
  <si>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</si>
  <si>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</si>
  <si>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</si>
  <si>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</si>
  <si>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</si>
  <si>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</si>
  <si>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</si>
  <si>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</si>
  <si>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</si>
  <si>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</si>
  <si>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</si>
  <si>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</si>
  <si>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</si>
  <si>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</si>
  <si>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</si>
  <si>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</si>
  <si>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</si>
  <si>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</si>
  <si>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</si>
  <si>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</si>
  <si>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</si>
  <si>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</si>
  <si>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</si>
  <si>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</si>
  <si>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</si>
  <si>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</si>
  <si>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</si>
  <si>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</si>
  <si>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</si>
  <si>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</si>
  <si>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</si>
  <si>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</si>
  <si>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</si>
  <si>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</si>
  <si>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</si>
  <si>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</si>
  <si>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</si>
  <si>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</si>
  <si>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</si>
  <si>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</si>
  <si>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</si>
  <si>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</si>
  <si>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</si>
  <si>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</si>
  <si>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</si>
  <si>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</si>
  <si>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</si>
  <si>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</si>
  <si>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</si>
  <si>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</si>
  <si>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</si>
  <si>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</si>
  <si>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</si>
  <si>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</si>
  <si>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</si>
  <si>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</si>
  <si>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</si>
  <si>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</si>
  <si>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</si>
  <si>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</si>
  <si>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</si>
  <si>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</si>
  <si>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</si>
  <si>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</si>
  <si>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</si>
  <si>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</si>
  <si>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</si>
  <si>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</si>
  <si>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</si>
  <si>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</si>
  <si>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</si>
  <si>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</si>
  <si>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</si>
  <si>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</si>
  <si>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</si>
  <si>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</si>
  <si>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</si>
  <si>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</si>
  <si>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</si>
  <si>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</si>
  <si>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</si>
  <si>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</si>
  <si>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</si>
  <si>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</si>
  <si>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</si>
  <si>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</si>
  <si>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</si>
  <si>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</si>
  <si>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</si>
  <si>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</si>
  <si>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</si>
  <si>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</si>
  <si>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</si>
  <si>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</si>
  <si>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</si>
  <si>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</si>
  <si>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</si>
  <si>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</si>
  <si>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</si>
  <si>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</si>
  <si>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</si>
  <si>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</si>
  <si>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</si>
  <si>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</si>
  <si>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</si>
  <si>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</si>
  <si>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</si>
  <si>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</si>
  <si>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</si>
  <si>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</si>
  <si>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</si>
  <si>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</si>
  <si>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</si>
  <si>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</si>
  <si>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</si>
  <si>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</si>
  <si>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</si>
  <si>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</si>
  <si>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</si>
  <si>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</si>
  <si>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</si>
  <si>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</si>
  <si>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</si>
  <si>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</si>
  <si>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</si>
  <si>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</si>
  <si>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</si>
  <si>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</si>
  <si>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</si>
  <si>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</si>
  <si>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</si>
  <si>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</si>
  <si>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</si>
  <si>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</si>
  <si>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</si>
  <si>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</si>
  <si>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</si>
  <si>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</si>
  <si>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</si>
  <si>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</si>
  <si>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</si>
  <si>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</si>
  <si>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</si>
  <si>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</si>
  <si>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</si>
  <si>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</si>
  <si>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</si>
  <si>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</si>
  <si>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</si>
  <si>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</si>
  <si>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</si>
  <si>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</si>
  <si>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</si>
  <si>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</si>
  <si>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</si>
  <si>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</si>
  <si>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</si>
  <si>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</si>
  <si>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</si>
  <si>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</si>
  <si>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</si>
  <si>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</si>
  <si>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</si>
  <si>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</si>
  <si>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</si>
  <si>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</si>
  <si>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</si>
  <si>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</si>
  <si>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</si>
  <si>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</si>
  <si>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</si>
  <si>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</si>
  <si>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</si>
  <si>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</si>
  <si>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</si>
  <si>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</si>
  <si>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</si>
  <si>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</si>
  <si>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</si>
  <si>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</si>
  <si>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</si>
  <si>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</si>
  <si>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</si>
  <si>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</si>
  <si>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</si>
  <si>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</si>
  <si>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</si>
  <si>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</si>
  <si>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</si>
  <si>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</si>
  <si>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</si>
  <si>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</si>
  <si>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</si>
  <si>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</si>
  <si>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</si>
  <si>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</si>
  <si>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</si>
  <si>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</si>
  <si>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</si>
  <si>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</si>
  <si>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</si>
  <si>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</si>
  <si>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</si>
  <si>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</si>
  <si>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</si>
  <si>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</si>
  <si>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</si>
  <si>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</si>
  <si>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</si>
  <si>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</si>
  <si>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</si>
  <si>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</si>
  <si>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</si>
  <si>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</si>
  <si>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</si>
  <si>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</si>
  <si>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</si>
  <si>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</si>
  <si>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</si>
  <si>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</si>
  <si>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</si>
  <si>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</si>
  <si>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</si>
  <si>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</si>
  <si>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</si>
  <si>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</si>
  <si>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</si>
  <si>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</si>
  <si>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</si>
  <si>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</si>
  <si>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</si>
  <si>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</si>
  <si>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</si>
  <si>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</si>
  <si>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</si>
  <si>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</si>
  <si>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</si>
  <si>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</si>
  <si>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</si>
  <si>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</si>
  <si>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</si>
  <si>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</si>
  <si>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</si>
  <si>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</si>
  <si>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</si>
  <si>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</si>
  <si>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</si>
  <si>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</si>
  <si>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</si>
  <si>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</si>
  <si>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</si>
  <si>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</si>
  <si>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</si>
  <si>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</si>
  <si>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</si>
  <si>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</si>
  <si>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</si>
  <si>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</si>
  <si>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</si>
  <si>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</si>
  <si>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</si>
  <si>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</si>
  <si>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</si>
  <si>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</si>
  <si>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</si>
  <si>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</si>
  <si>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</si>
  <si>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</si>
  <si>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</si>
  <si>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</si>
  <si>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</si>
  <si>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</si>
  <si>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</si>
  <si>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</si>
  <si>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</si>
  <si>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</si>
  <si>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</si>
  <si>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</si>
  <si>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</si>
  <si>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</si>
  <si>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</si>
  <si>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</si>
  <si>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</si>
  <si>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</si>
  <si>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</si>
  <si>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</si>
  <si>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</si>
  <si>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</si>
  <si>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</si>
  <si>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</si>
  <si>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</si>
  <si>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</si>
  <si>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</si>
  <si>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</si>
  <si>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</si>
  <si>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</si>
  <si>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</si>
  <si>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</si>
  <si>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</si>
  <si>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</si>
  <si>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</si>
  <si>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</si>
  <si>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</si>
  <si>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</si>
  <si>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</si>
  <si>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</si>
  <si>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</si>
  <si>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</si>
  <si>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</si>
  <si>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</si>
  <si>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</si>
  <si>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</si>
  <si>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</si>
  <si>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</si>
  <si>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</si>
  <si>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</si>
  <si>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</si>
  <si>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</si>
  <si>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</si>
  <si>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</si>
  <si>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</si>
  <si>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</si>
  <si>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</si>
  <si>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</si>
  <si>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</si>
  <si>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</si>
  <si>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</si>
  <si>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</si>
  <si>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</si>
  <si>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</si>
  <si>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</si>
  <si>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</si>
  <si>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</si>
  <si>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</si>
  <si>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</si>
  <si>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</si>
  <si>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</si>
  <si>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</si>
  <si>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</si>
  <si>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</si>
  <si>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</si>
  <si>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</si>
  <si>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</si>
  <si>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</si>
  <si>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</si>
  <si>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</si>
  <si>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</si>
  <si>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</si>
  <si>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</si>
  <si>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</si>
  <si>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</si>
  <si>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</si>
  <si>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</si>
  <si>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</si>
  <si>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</si>
  <si>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</si>
  <si>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</si>
  <si>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</si>
  <si>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</si>
  <si>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</si>
  <si>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</si>
  <si>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</si>
  <si>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</si>
  <si>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</si>
  <si>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</si>
  <si>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</si>
  <si>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</si>
  <si>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</si>
  <si>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</si>
  <si>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</si>
  <si>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</si>
  <si>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</si>
  <si>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</si>
  <si>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</si>
  <si>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</si>
  <si>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</si>
  <si>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</si>
  <si>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</si>
  <si>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</si>
  <si>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</si>
  <si>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</si>
  <si>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</si>
  <si>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</si>
  <si>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</si>
  <si>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</si>
  <si>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</si>
  <si>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</si>
  <si>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</si>
  <si>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</si>
  <si>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</si>
  <si>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</si>
  <si>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</si>
  <si>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</si>
  <si>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</si>
  <si>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</si>
  <si>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</si>
  <si>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</si>
  <si>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</si>
  <si>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</si>
  <si>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</si>
  <si>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</si>
  <si>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</si>
  <si>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</si>
  <si>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</si>
  <si>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</si>
  <si>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</si>
  <si>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</si>
  <si>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</si>
  <si>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</si>
  <si>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</si>
  <si>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</si>
  <si>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</si>
  <si>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</si>
  <si>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</si>
  <si>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</si>
  <si>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</si>
  <si>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</si>
  <si>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</si>
  <si>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</si>
  <si>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</si>
  <si>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</si>
  <si>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</si>
  <si>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</si>
  <si>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</si>
  <si>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</si>
  <si>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</si>
  <si>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</si>
  <si>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</si>
  <si>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</si>
  <si>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</si>
  <si>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</si>
  <si>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</si>
  <si>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</si>
  <si>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</si>
  <si>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</si>
  <si>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</si>
  <si>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</si>
  <si>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</si>
  <si>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</si>
  <si>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</si>
  <si>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</si>
  <si>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</si>
  <si>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</si>
  <si>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</si>
  <si>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</si>
  <si>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</si>
  <si>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</si>
  <si>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</si>
  <si>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</si>
  <si>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</si>
  <si>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</si>
  <si>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</si>
  <si>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</si>
  <si>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</si>
  <si>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</si>
  <si>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</si>
  <si>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</si>
  <si>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</si>
  <si>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</si>
  <si>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</si>
  <si>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</si>
  <si>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</si>
  <si>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</si>
  <si>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</si>
  <si>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</si>
  <si>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</si>
  <si>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</si>
  <si>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</si>
  <si>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</si>
  <si>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</si>
  <si>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</si>
  <si>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</si>
  <si>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</si>
  <si>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</si>
  <si>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</si>
  <si>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</si>
  <si>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</si>
  <si>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</si>
  <si>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</si>
  <si>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</si>
  <si>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</si>
  <si>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</si>
  <si>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</si>
  <si>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</si>
  <si>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</si>
  <si>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</si>
  <si>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</si>
  <si>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</si>
  <si>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</si>
  <si>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</si>
  <si>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</si>
  <si>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</si>
  <si>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</si>
  <si>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</si>
  <si>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</si>
  <si>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</si>
  <si>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</si>
  <si>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</si>
  <si>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</si>
  <si>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</si>
  <si>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</si>
  <si>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</si>
  <si>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</si>
  <si>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</si>
  <si>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</si>
  <si>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</si>
  <si>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</si>
  <si>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</si>
  <si>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</si>
  <si>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</si>
  <si>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</si>
  <si>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</si>
  <si>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</si>
  <si>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</si>
  <si>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</si>
  <si>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</si>
  <si>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</si>
  <si>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</si>
  <si>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</si>
  <si>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</si>
  <si>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</si>
  <si>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</si>
  <si>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</si>
  <si>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</si>
  <si>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</si>
  <si>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</si>
  <si>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</si>
  <si>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</si>
  <si>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</si>
  <si>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</si>
  <si>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</si>
  <si>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</si>
  <si>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</si>
  <si>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</si>
  <si>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</si>
  <si>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</si>
  <si>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</si>
  <si>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</si>
  <si>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</si>
  <si>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</si>
  <si>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</si>
  <si>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</si>
  <si>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</si>
  <si>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</si>
  <si>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</si>
  <si>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</si>
  <si>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</si>
  <si>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</si>
  <si>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</si>
  <si>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</si>
  <si>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</si>
  <si>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</si>
  <si>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</si>
  <si>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</si>
  <si>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</si>
  <si>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</si>
  <si>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</si>
  <si>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</si>
  <si>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</si>
  <si>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</si>
  <si>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</si>
  <si>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</si>
  <si>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</si>
  <si>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</si>
  <si>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</si>
  <si>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</si>
  <si>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</si>
  <si>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</si>
  <si>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</si>
  <si>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</si>
  <si>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</si>
  <si>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</si>
  <si>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</si>
  <si>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</si>
  <si>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</si>
  <si>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</si>
  <si>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</si>
  <si>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</si>
  <si>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</si>
  <si>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</si>
  <si>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</si>
  <si>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</si>
  <si>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</si>
  <si>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</si>
  <si>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</si>
  <si>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</si>
  <si>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</si>
  <si>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</si>
  <si>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</si>
  <si>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</si>
  <si>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</si>
  <si>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</si>
  <si>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</si>
  <si>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</si>
  <si>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</si>
  <si>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</si>
  <si>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</si>
  <si>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</si>
  <si>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</si>
  <si>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</si>
  <si>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</si>
  <si>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</si>
  <si>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</si>
  <si>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</si>
  <si>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</si>
  <si>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</si>
  <si>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</si>
  <si>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</si>
  <si>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</si>
  <si>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</si>
  <si>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</si>
  <si>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</si>
  <si>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</si>
  <si>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</si>
  <si>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</si>
  <si>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</si>
  <si>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</si>
  <si>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</si>
  <si>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</si>
  <si>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</si>
  <si>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</si>
  <si>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</si>
  <si>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</si>
  <si>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</si>
  <si>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</si>
  <si>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</si>
  <si>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</si>
  <si>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</si>
  <si>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</si>
  <si>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</si>
  <si>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</si>
  <si>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</si>
  <si>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</si>
  <si>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</si>
  <si>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</si>
  <si>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</si>
  <si>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</si>
  <si>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</si>
  <si>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</si>
  <si>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</si>
  <si>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</si>
  <si>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</si>
  <si>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</si>
  <si>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</si>
  <si>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</si>
  <si>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</si>
  <si>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</si>
  <si>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</si>
  <si>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</si>
  <si>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</si>
  <si>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</si>
  <si>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</si>
  <si>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</si>
  <si>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</si>
  <si>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</si>
  <si>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</si>
  <si>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</si>
  <si>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</si>
  <si>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</si>
  <si>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</si>
  <si>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</si>
  <si>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</si>
  <si>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</si>
  <si>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</si>
  <si>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</si>
  <si>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</si>
  <si>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</si>
  <si>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</si>
  <si>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</si>
  <si>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</si>
  <si>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</si>
  <si>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</si>
  <si>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</si>
  <si>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</si>
  <si>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</si>
  <si>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</si>
  <si>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</si>
  <si>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</si>
  <si>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</si>
  <si>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</si>
  <si>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</si>
  <si>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</si>
  <si>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</si>
  <si>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</si>
  <si>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</si>
  <si>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</si>
  <si>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</si>
  <si>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</si>
  <si>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</si>
  <si>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</si>
  <si>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</si>
  <si>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</si>
  <si>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</si>
  <si>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</si>
  <si>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</si>
  <si>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</si>
  <si>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</si>
  <si>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</si>
  <si>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</si>
  <si>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</si>
  <si>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</si>
  <si>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</si>
  <si>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</si>
  <si>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</si>
  <si>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</si>
  <si>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</si>
  <si>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</si>
  <si>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</si>
  <si>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</si>
  <si>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</si>
  <si>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</si>
  <si>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</si>
  <si>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</si>
  <si>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</si>
  <si>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</si>
  <si>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</si>
  <si>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</si>
  <si>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</si>
  <si>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</si>
  <si>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</si>
  <si>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</si>
  <si>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</si>
  <si>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</si>
  <si>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</si>
  <si>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</si>
  <si>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</si>
  <si>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</si>
  <si>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</si>
  <si>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</si>
  <si>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</si>
  <si>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</si>
  <si>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</si>
  <si>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</si>
  <si>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</si>
  <si>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</si>
  <si>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</si>
  <si>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</si>
  <si>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</si>
  <si>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</si>
  <si>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</si>
  <si>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</si>
  <si>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</si>
  <si>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</si>
  <si>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</si>
  <si>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</si>
  <si>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</si>
  <si>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</si>
  <si>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</si>
  <si>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</si>
  <si>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</si>
  <si>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</si>
  <si>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</si>
  <si>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</si>
  <si>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</si>
  <si>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</si>
  <si>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</si>
  <si>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</si>
  <si>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</si>
  <si>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</si>
  <si>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</si>
  <si>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</si>
  <si>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</si>
  <si>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</si>
  <si>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</si>
  <si>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</si>
  <si>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</si>
  <si>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</si>
  <si>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</si>
  <si>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</si>
  <si>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</si>
  <si>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</si>
  <si>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</si>
  <si>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</si>
  <si>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</si>
  <si>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</si>
  <si>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</si>
  <si>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</si>
  <si>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</si>
  <si>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</si>
  <si>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</si>
  <si>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</si>
  <si>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</si>
  <si>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</si>
  <si>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</si>
  <si>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</si>
  <si>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</si>
  <si>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</si>
  <si>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</si>
  <si>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</si>
  <si>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</si>
  <si>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</si>
  <si>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</si>
  <si>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</si>
  <si>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</si>
  <si>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</si>
  <si>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</si>
  <si>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</si>
  <si>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</si>
  <si>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</si>
  <si>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</si>
  <si>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</si>
  <si>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</si>
  <si>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</si>
  <si>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</si>
  <si>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</si>
  <si>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</si>
  <si>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</si>
  <si>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</si>
  <si>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</si>
  <si>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</si>
  <si>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</si>
  <si>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</si>
  <si>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</si>
  <si>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</si>
  <si>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</si>
  <si>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</si>
  <si>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</si>
  <si>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</si>
  <si>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</si>
  <si>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</si>
  <si>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</si>
  <si>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</si>
  <si>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</si>
  <si>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</si>
  <si>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</si>
  <si>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</si>
  <si>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</si>
  <si>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</si>
  <si>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</si>
  <si>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</si>
  <si>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</si>
  <si>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</si>
  <si>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</si>
  <si>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</si>
  <si>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</si>
  <si>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</si>
  <si>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</si>
  <si>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</si>
  <si>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</si>
  <si>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</si>
  <si>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</si>
  <si>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</si>
  <si>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</si>
  <si>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</si>
  <si>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</si>
  <si>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</si>
  <si>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</si>
  <si>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</si>
  <si>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</si>
  <si>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</si>
  <si>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</si>
  <si>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</si>
  <si>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</si>
  <si>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</si>
  <si>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</si>
  <si>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</si>
  <si>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</si>
  <si>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</si>
  <si>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</si>
  <si>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</si>
  <si>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</si>
  <si>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</si>
  <si>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</si>
  <si>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</si>
  <si>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</si>
  <si>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</si>
  <si>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</si>
  <si>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</si>
  <si>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</si>
  <si>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</si>
  <si>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</si>
  <si>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</si>
  <si>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</si>
  <si>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</si>
  <si>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</si>
  <si>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</si>
  <si>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</si>
  <si>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</si>
  <si>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</si>
  <si>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</si>
  <si>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</si>
  <si>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</si>
  <si>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</si>
  <si>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</si>
  <si>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</si>
  <si>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</si>
  <si>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</si>
  <si>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</si>
  <si>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</si>
  <si>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</si>
  <si>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</si>
  <si>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</si>
  <si>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</si>
  <si>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</si>
  <si>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</si>
  <si>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</si>
  <si>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</si>
  <si>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</si>
  <si>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</si>
  <si>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</si>
  <si>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</si>
  <si>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</si>
  <si>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</si>
  <si>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</si>
  <si>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</si>
  <si>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</si>
  <si>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</si>
  <si>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</si>
  <si>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</si>
  <si>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</si>
  <si>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</si>
  <si>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</si>
  <si>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</si>
  <si>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</si>
  <si>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</si>
  <si>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</si>
  <si>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</si>
  <si>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</si>
  <si>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</si>
  <si>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</si>
  <si>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</si>
  <si>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</si>
  <si>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</si>
  <si>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</si>
  <si>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</si>
  <si>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</si>
  <si>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</si>
  <si>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</si>
  <si>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</si>
  <si>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</si>
  <si>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</si>
  <si>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</si>
  <si>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</si>
  <si>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</si>
  <si>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</si>
  <si>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</si>
  <si>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</si>
  <si>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</si>
  <si>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</si>
  <si>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</si>
  <si>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</si>
  <si>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</si>
  <si>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</si>
  <si>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</si>
  <si>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</si>
  <si>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</si>
  <si>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</si>
  <si>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</si>
  <si>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</si>
  <si>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</si>
  <si>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</si>
  <si>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</si>
  <si>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</si>
  <si>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</si>
  <si>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</si>
  <si>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</si>
  <si>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</si>
  <si>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</si>
  <si>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</si>
  <si>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</si>
  <si>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</si>
  <si>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</si>
  <si>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</si>
  <si>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</si>
  <si>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</si>
  <si>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</si>
  <si>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</si>
  <si>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</si>
  <si>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</si>
  <si>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</si>
  <si>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</si>
  <si>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</si>
  <si>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</si>
  <si>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</si>
  <si>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</si>
  <si>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</si>
  <si>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</si>
  <si>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</si>
  <si>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</si>
  <si>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</si>
  <si>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</si>
  <si>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</si>
  <si>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</si>
  <si>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</si>
  <si>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</si>
  <si>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</si>
  <si>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</si>
  <si>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</si>
  <si>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</si>
  <si>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</si>
  <si>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</si>
  <si>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</si>
  <si>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</si>
  <si>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</si>
  <si>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</si>
  <si>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</si>
  <si>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</si>
  <si>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</si>
  <si>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</si>
  <si>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</si>
  <si>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</si>
  <si>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</si>
  <si>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</si>
  <si>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</si>
  <si>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</si>
  <si>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</si>
  <si>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</si>
  <si>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</si>
  <si>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</si>
  <si>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</si>
  <si>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</si>
  <si>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</si>
  <si>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</si>
  <si>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</si>
  <si>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</si>
  <si>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</si>
  <si>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</si>
  <si>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</si>
  <si>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</si>
  <si>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</si>
  <si>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</si>
  <si>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</si>
  <si>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</si>
  <si>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</si>
  <si>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</si>
  <si>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</si>
  <si>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</si>
  <si>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</si>
  <si>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</si>
  <si>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</si>
  <si>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</si>
  <si>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</si>
  <si>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</si>
  <si>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</si>
  <si>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</si>
  <si>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</si>
  <si>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</si>
  <si>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</si>
  <si>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</si>
  <si>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</si>
  <si>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</si>
  <si>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</si>
  <si>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</si>
  <si>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</si>
  <si>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</si>
  <si>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</si>
  <si>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</si>
  <si>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</si>
  <si>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</si>
  <si>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</si>
  <si>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</si>
  <si>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</si>
  <si>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</si>
  <si>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</si>
  <si>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</si>
  <si>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</si>
  <si>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</si>
  <si>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</si>
  <si>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</si>
  <si>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</si>
  <si>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</si>
  <si>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</si>
  <si>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</si>
  <si>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</si>
  <si>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</si>
  <si>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</si>
  <si>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</si>
  <si>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</si>
  <si>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</si>
  <si>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</si>
  <si>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</si>
  <si>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</si>
  <si>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</si>
  <si>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</si>
  <si>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</si>
  <si>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</si>
  <si>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</si>
  <si>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</si>
  <si>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</si>
  <si>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</si>
  <si>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</si>
  <si>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</si>
  <si>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</si>
  <si>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</si>
  <si>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</si>
  <si>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</si>
  <si>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</si>
  <si>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</si>
  <si>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</si>
  <si>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</si>
  <si>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</si>
  <si>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</si>
  <si>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</si>
  <si>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</si>
  <si>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</si>
  <si>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</si>
  <si>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</si>
  <si>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</si>
  <si>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</si>
  <si>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</si>
  <si>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</si>
  <si>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</si>
  <si>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</si>
  <si>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</si>
  <si>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</si>
  <si>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</si>
  <si>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</si>
  <si>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</si>
  <si>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</si>
  <si>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</si>
  <si>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</si>
  <si>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</si>
  <si>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</si>
  <si>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</si>
  <si>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</si>
  <si>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</si>
  <si>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</si>
  <si>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</si>
  <si>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</si>
  <si>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</si>
  <si>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</si>
  <si>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</si>
  <si>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</si>
  <si>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</si>
  <si>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</si>
  <si>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</si>
  <si>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</si>
  <si>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</si>
  <si>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</si>
  <si>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</si>
  <si>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</si>
  <si>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</si>
  <si>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</si>
  <si>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</si>
  <si>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</si>
  <si>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</si>
  <si>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</si>
  <si>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</si>
  <si>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</si>
  <si>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</si>
  <si>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</si>
  <si>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</si>
  <si>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</si>
  <si>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</si>
  <si>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</si>
  <si>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</si>
  <si>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</si>
  <si>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</si>
  <si>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</si>
  <si>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</si>
  <si>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</si>
  <si>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</si>
  <si>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</si>
  <si>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</si>
  <si>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</si>
  <si>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</si>
  <si>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</si>
  <si>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</si>
  <si>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</si>
  <si>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</si>
  <si>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</si>
  <si>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</si>
  <si>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</si>
  <si>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</si>
  <si>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</si>
  <si>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</si>
  <si>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</si>
  <si>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</si>
  <si>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</si>
  <si>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</si>
  <si>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</si>
  <si>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</si>
  <si>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</si>
  <si>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</si>
  <si>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</si>
  <si>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</si>
  <si>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</si>
  <si>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</si>
  <si>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</si>
  <si>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</si>
  <si>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</si>
  <si>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</si>
  <si>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</si>
  <si>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</si>
  <si>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</si>
  <si>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</si>
  <si>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</si>
  <si>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</si>
  <si>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</si>
  <si>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</si>
  <si>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</si>
  <si>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</si>
  <si>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</si>
  <si>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</si>
  <si>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</si>
  <si>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</si>
  <si>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</si>
  <si>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</si>
  <si>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</si>
  <si>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</si>
  <si>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</si>
  <si>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</si>
  <si>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</si>
  <si>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</si>
  <si>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</si>
  <si>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</si>
  <si>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</si>
  <si>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</si>
  <si>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</si>
  <si>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</si>
  <si>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</si>
  <si>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</si>
  <si>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</si>
  <si>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</si>
  <si>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</si>
  <si>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</si>
  <si>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</si>
  <si>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</si>
  <si>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</si>
  <si>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</si>
  <si>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</si>
  <si>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</si>
  <si>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</si>
  <si>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</si>
  <si>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</si>
  <si>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</si>
  <si>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</si>
  <si>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</si>
  <si>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</si>
  <si>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</si>
  <si>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</si>
  <si>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</si>
  <si>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</si>
  <si>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</si>
  <si>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</si>
  <si>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</si>
  <si>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</si>
  <si>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</si>
  <si>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</si>
  <si>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</si>
  <si>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</si>
  <si>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</si>
  <si>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</si>
  <si>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</si>
  <si>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</si>
  <si>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</si>
  <si>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</si>
  <si>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</si>
  <si>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</si>
  <si>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</si>
  <si>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</si>
  <si>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</si>
  <si>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</si>
  <si>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</si>
  <si>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</si>
  <si>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</si>
  <si>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</si>
  <si>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</si>
  <si>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</si>
  <si>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</si>
  <si>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</si>
  <si>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</si>
  <si>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</si>
  <si>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</si>
  <si>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</si>
  <si>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</si>
  <si>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</si>
  <si>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</si>
  <si>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</si>
  <si>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</si>
  <si>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</si>
  <si>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</si>
  <si>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</si>
  <si>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</si>
  <si>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</si>
  <si>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</si>
  <si>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</si>
  <si>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</si>
  <si>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</si>
  <si>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</si>
  <si>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</si>
  <si>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</si>
  <si>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</si>
  <si>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</si>
  <si>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</si>
  <si>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</si>
  <si>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</si>
  <si>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</si>
  <si>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</si>
  <si>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</si>
  <si>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</si>
  <si>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</si>
  <si>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</si>
  <si>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</si>
  <si>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</si>
  <si>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</si>
  <si>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</si>
  <si>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</si>
  <si>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</si>
  <si>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</si>
  <si>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</si>
  <si>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</si>
  <si>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</si>
  <si>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</si>
  <si>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</si>
  <si>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</si>
  <si>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</si>
  <si>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</si>
  <si>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</si>
  <si>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</si>
  <si>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</si>
  <si>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</si>
  <si>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</si>
  <si>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</si>
  <si>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</si>
  <si>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</si>
  <si>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</si>
  <si>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</si>
  <si>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</si>
  <si>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</si>
  <si>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</si>
  <si>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</si>
  <si>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</si>
  <si>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</si>
  <si>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</si>
  <si>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</si>
  <si>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</si>
  <si>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</si>
  <si>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</si>
  <si>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</si>
  <si>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</si>
  <si>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</si>
  <si>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</si>
  <si>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</si>
  <si>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</si>
  <si>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</si>
  <si>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</si>
  <si>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</si>
  <si>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</si>
  <si>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</si>
  <si>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</si>
  <si>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</si>
  <si>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</si>
  <si>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</si>
  <si>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</si>
  <si>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</si>
  <si>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</si>
  <si>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</si>
  <si>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</si>
  <si>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</si>
  <si>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</si>
  <si>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</si>
  <si>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</si>
  <si>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</si>
  <si>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</si>
  <si>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</si>
  <si>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</si>
  <si>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</si>
  <si>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</si>
  <si>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</si>
  <si>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</si>
  <si>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</si>
  <si>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</si>
  <si>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</si>
  <si>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</si>
  <si>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</si>
  <si>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</si>
  <si>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</si>
  <si>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</si>
  <si>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</si>
  <si>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</si>
  <si>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</si>
  <si>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</si>
  <si>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</si>
  <si>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</si>
  <si>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</si>
  <si>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</si>
  <si>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</si>
  <si>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</si>
  <si>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</si>
  <si>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</si>
  <si>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</si>
  <si>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</si>
  <si>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</si>
  <si>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</si>
  <si>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</si>
  <si>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</si>
  <si>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</si>
  <si>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</si>
  <si>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</si>
  <si>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</si>
  <si>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</si>
  <si>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</si>
  <si>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</si>
  <si>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</si>
  <si>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</si>
  <si>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</si>
  <si>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</si>
  <si>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</si>
  <si>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</si>
  <si>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</si>
  <si>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</si>
  <si>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</si>
  <si>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</si>
  <si>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</si>
  <si>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</si>
  <si>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</si>
  <si>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</si>
  <si>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</si>
  <si>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</si>
  <si>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</si>
  <si>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</si>
  <si>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</si>
  <si>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</si>
  <si>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</si>
  <si>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</si>
  <si>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</si>
  <si>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</si>
  <si>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</si>
  <si>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</si>
  <si>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</si>
  <si>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</si>
  <si>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</si>
  <si>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</si>
  <si>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</si>
  <si>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</si>
  <si>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</si>
  <si>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</si>
  <si>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</si>
  <si>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</si>
  <si>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</si>
  <si>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</si>
  <si>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</si>
  <si>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</si>
  <si>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</si>
  <si>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</si>
  <si>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</si>
  <si>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</si>
  <si>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</si>
  <si>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</si>
  <si>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</si>
  <si>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</si>
  <si>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</si>
  <si>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</si>
  <si>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</si>
  <si>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</si>
  <si>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</si>
  <si>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</si>
  <si>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</si>
  <si>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</si>
  <si>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</si>
  <si>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</si>
  <si>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</si>
  <si>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</si>
  <si>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</si>
  <si>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</si>
  <si>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</si>
  <si>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</si>
  <si>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</si>
  <si>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</si>
  <si>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</si>
  <si>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</si>
  <si>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</si>
  <si>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</si>
  <si>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</si>
  <si>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</si>
  <si>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</si>
  <si>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</si>
  <si>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</si>
  <si>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</si>
  <si>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</si>
  <si>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</si>
  <si>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</si>
  <si>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</si>
  <si>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</si>
  <si>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</si>
  <si>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</si>
  <si>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</si>
  <si>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</si>
  <si>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</si>
  <si>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</si>
  <si>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</si>
  <si>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</si>
  <si>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</si>
  <si>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</si>
  <si>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</si>
  <si>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</si>
  <si>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</si>
  <si>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</si>
  <si>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</si>
  <si>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</si>
  <si>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</si>
  <si>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</si>
  <si>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</si>
  <si>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</si>
  <si>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</si>
  <si>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</si>
  <si>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</si>
  <si>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</si>
  <si>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</si>
  <si>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</si>
  <si>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</si>
  <si>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</si>
  <si>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</si>
  <si>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</si>
  <si>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</si>
  <si>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</si>
  <si>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</si>
  <si>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</si>
  <si>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</si>
  <si>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</si>
  <si>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</si>
  <si>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</si>
  <si>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</si>
  <si>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</si>
  <si>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</si>
  <si>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</si>
  <si>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</si>
  <si>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</si>
  <si>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</si>
  <si>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</si>
  <si>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</si>
  <si>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</si>
  <si>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</si>
  <si>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</si>
  <si>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</si>
  <si>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</si>
  <si>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</si>
  <si>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</si>
  <si>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</si>
  <si>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</si>
  <si>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</si>
  <si>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</si>
  <si>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</si>
  <si>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</si>
  <si>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</si>
  <si>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</si>
  <si>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</si>
  <si>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</si>
  <si>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</si>
  <si>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</si>
  <si>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</si>
  <si>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</si>
  <si>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</si>
  <si>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</si>
  <si>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</si>
  <si>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</si>
  <si>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</si>
  <si>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</si>
  <si>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</si>
  <si>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</si>
  <si>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</si>
  <si>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</si>
  <si>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</si>
  <si>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</si>
  <si>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</si>
  <si>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</si>
  <si>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</si>
  <si>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</si>
  <si>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</si>
  <si>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</si>
  <si>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</si>
  <si>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</si>
  <si>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</si>
  <si>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</si>
  <si>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</si>
  <si>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</si>
  <si>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</si>
  <si>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</si>
  <si>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</si>
  <si>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</si>
  <si>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</si>
  <si>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</si>
  <si>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</si>
  <si>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</si>
  <si>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</si>
  <si>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</si>
  <si>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</si>
  <si>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</si>
  <si>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</si>
  <si>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</si>
  <si>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</si>
  <si>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</si>
  <si>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</si>
  <si>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</si>
  <si>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</si>
  <si>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</si>
  <si>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</si>
  <si>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</si>
  <si>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</si>
  <si>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</si>
  <si>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</si>
  <si>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</si>
  <si>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</si>
  <si>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</si>
  <si>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</si>
  <si>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</si>
  <si>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</si>
  <si>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</si>
  <si>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</si>
  <si>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</si>
  <si>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</si>
  <si>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</si>
  <si>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</si>
  <si>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</si>
  <si>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</si>
  <si>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</si>
  <si>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</si>
  <si>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</si>
  <si>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</si>
  <si>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</si>
  <si>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</si>
  <si>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</si>
  <si>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</si>
  <si>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</si>
  <si>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</si>
  <si>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</si>
  <si>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</si>
  <si>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</si>
  <si>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</si>
  <si>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</si>
  <si>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</si>
  <si>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</si>
  <si>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</si>
  <si>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</si>
  <si>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</si>
  <si>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</si>
  <si>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</si>
  <si>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</si>
  <si>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</si>
  <si>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</si>
  <si>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</si>
  <si>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</si>
  <si>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</si>
  <si>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</si>
  <si>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</si>
  <si>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</si>
  <si>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</si>
  <si>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</si>
  <si>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</si>
  <si>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</si>
  <si>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</si>
  <si>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</si>
  <si>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</si>
  <si>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</si>
  <si>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</si>
  <si>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</si>
  <si>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</si>
  <si>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</si>
  <si>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</si>
  <si>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</si>
  <si>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</si>
  <si>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</si>
  <si>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</si>
  <si>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</si>
  <si>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</si>
  <si>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</si>
  <si>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</si>
  <si>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</si>
  <si>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</si>
  <si>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</si>
  <si>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</si>
  <si>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</si>
  <si>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</si>
  <si>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</si>
  <si>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</si>
  <si>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</si>
  <si>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</si>
  <si>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</si>
  <si>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</si>
  <si>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</si>
  <si>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</si>
  <si>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</si>
  <si>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</si>
  <si>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</si>
  <si>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</si>
  <si>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</si>
  <si>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</si>
  <si>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</si>
  <si>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</si>
  <si>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</si>
  <si>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</si>
  <si>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</si>
  <si>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</si>
  <si>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</si>
  <si>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</si>
  <si>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</si>
  <si>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</si>
  <si>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</si>
  <si>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</si>
  <si>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</si>
  <si>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</si>
  <si>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</si>
  <si>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</si>
  <si>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</si>
  <si>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</si>
  <si>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</si>
  <si>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</si>
  <si>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</si>
  <si>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</si>
  <si>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</si>
  <si>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</si>
  <si>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</si>
  <si>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</si>
  <si>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</si>
  <si>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</si>
  <si>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</si>
  <si>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</si>
  <si>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</si>
  <si>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</si>
  <si>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</si>
  <si>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</si>
  <si>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</si>
  <si>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</si>
  <si>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</si>
  <si>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</si>
  <si>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</si>
  <si>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</si>
  <si>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</si>
  <si>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</si>
  <si>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</si>
  <si>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</si>
  <si>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</si>
  <si>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</si>
  <si>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</si>
  <si>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</si>
  <si>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</si>
  <si>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</si>
  <si>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</si>
  <si>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</si>
  <si>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</si>
  <si>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</si>
  <si>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</si>
  <si>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</si>
  <si>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</si>
  <si>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</si>
  <si>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</si>
  <si>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</si>
  <si>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</si>
  <si>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</si>
  <si>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</si>
  <si>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</si>
  <si>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</si>
  <si>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</si>
  <si>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</si>
  <si>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</si>
  <si>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</si>
  <si>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</si>
  <si>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</si>
  <si>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</si>
  <si>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</si>
  <si>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</si>
  <si>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</si>
  <si>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</si>
  <si>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</si>
  <si>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</si>
  <si>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</si>
  <si>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</si>
  <si>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</si>
  <si>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</si>
  <si>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</si>
  <si>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</si>
  <si>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</si>
  <si>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</si>
  <si>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</si>
  <si>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</si>
  <si>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</si>
  <si>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</si>
  <si>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</si>
  <si>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</si>
  <si>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</si>
  <si>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</si>
  <si>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</si>
  <si>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</si>
  <si>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</si>
  <si>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</si>
  <si>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</si>
  <si>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</si>
  <si>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</si>
  <si>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</si>
  <si>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</si>
  <si>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</si>
  <si>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</si>
  <si>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</si>
  <si>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</si>
  <si>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</si>
  <si>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</si>
  <si>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</si>
  <si>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</si>
  <si>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</si>
  <si>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</si>
  <si>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</si>
  <si>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</si>
  <si>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</si>
  <si>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</si>
  <si>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</si>
  <si>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</si>
  <si>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</si>
  <si>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</si>
  <si>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</si>
  <si>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</si>
  <si>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</si>
  <si>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</si>
  <si>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</si>
  <si>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</si>
  <si>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</si>
  <si>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</si>
  <si>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</si>
  <si>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</si>
  <si>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</si>
  <si>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</si>
  <si>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</si>
  <si>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</si>
  <si>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</si>
  <si>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</si>
  <si>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</si>
  <si>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</si>
  <si>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</si>
  <si>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</si>
  <si>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</si>
  <si>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</si>
  <si>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</si>
  <si>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</si>
  <si>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</si>
  <si>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</si>
  <si>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</si>
  <si>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</si>
  <si>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</si>
  <si>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</si>
  <si>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</si>
  <si>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</si>
  <si>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</si>
  <si>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</si>
  <si>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</si>
  <si>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</si>
  <si>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</si>
  <si>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</si>
  <si>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</si>
  <si>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</si>
  <si>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</si>
  <si>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</si>
  <si>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</si>
  <si>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</si>
  <si>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</si>
  <si>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</si>
  <si>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</si>
  <si>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</si>
  <si>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</si>
  <si>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</si>
  <si>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</si>
  <si>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</si>
  <si>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</si>
  <si>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</si>
  <si>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</si>
  <si>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</si>
  <si>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</si>
  <si>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</si>
  <si>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</si>
  <si>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</si>
  <si>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</si>
  <si>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</si>
  <si>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</si>
  <si>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</si>
  <si>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</si>
  <si>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</si>
  <si>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</si>
  <si>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</si>
  <si>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</si>
  <si>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</si>
  <si>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</si>
  <si>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</si>
  <si>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</si>
  <si>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</si>
  <si>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</si>
  <si>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</si>
  <si>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</si>
  <si>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</si>
  <si>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</si>
  <si>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</si>
  <si>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</si>
  <si>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</si>
  <si>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</si>
  <si>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</si>
  <si>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</si>
  <si>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</si>
  <si>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</si>
  <si>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</si>
  <si>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</si>
  <si>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</si>
  <si>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</si>
  <si>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</si>
  <si>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</si>
  <si>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</si>
  <si>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</si>
  <si>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</si>
  <si>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</si>
  <si>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</si>
  <si>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</si>
  <si>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</si>
  <si>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</si>
  <si>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</si>
  <si>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</si>
  <si>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</si>
  <si>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</si>
  <si>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</si>
  <si>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</si>
  <si>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</si>
  <si>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</si>
  <si>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</si>
  <si>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</si>
  <si>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</si>
  <si>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</si>
  <si>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</si>
  <si>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</si>
  <si>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</si>
  <si>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</si>
  <si>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</si>
  <si>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</si>
  <si>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</si>
  <si>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</si>
  <si>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</si>
  <si>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</si>
  <si>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</si>
  <si>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</si>
  <si>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</si>
  <si>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</si>
  <si>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</si>
  <si>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</si>
  <si>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</si>
  <si>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</si>
  <si>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</si>
  <si>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</si>
  <si>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</si>
  <si>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</si>
  <si>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</si>
  <si>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</si>
  <si>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</si>
  <si>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</si>
  <si>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</si>
  <si>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</si>
  <si>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</si>
  <si>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</si>
  <si>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</si>
  <si>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</si>
  <si>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</si>
  <si>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</si>
  <si>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</si>
  <si>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</si>
  <si>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</si>
  <si>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</si>
  <si>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</si>
  <si>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</si>
  <si>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</si>
  <si>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</si>
  <si>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</si>
  <si>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</si>
  <si>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</si>
  <si>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</si>
  <si>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</si>
  <si>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</si>
  <si>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</si>
  <si>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</si>
  <si>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</si>
  <si>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</si>
  <si>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</si>
  <si>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</si>
  <si>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</si>
  <si>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</si>
  <si>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</si>
  <si>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</si>
  <si>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</si>
  <si>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</si>
  <si>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</si>
  <si>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</si>
  <si>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</si>
  <si>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</si>
  <si>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</si>
  <si>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</si>
  <si>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</si>
  <si>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</si>
  <si>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</si>
  <si>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</si>
  <si>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</si>
  <si>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</si>
  <si>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</si>
  <si>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</si>
  <si>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</si>
  <si>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</si>
  <si>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</si>
  <si>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</si>
  <si>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</si>
  <si>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</si>
  <si>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</si>
  <si>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</si>
  <si>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</si>
  <si>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</si>
  <si>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</si>
  <si>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</si>
  <si>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</si>
  <si>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</si>
  <si>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</si>
  <si>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</si>
  <si>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</si>
  <si>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</si>
  <si>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</si>
  <si>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</si>
  <si>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</si>
  <si>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</si>
  <si>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</si>
  <si>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</si>
  <si>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</si>
  <si>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</si>
  <si>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</si>
  <si>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</si>
  <si>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</si>
  <si>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</si>
  <si>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</si>
  <si>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</si>
  <si>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</si>
  <si>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</si>
  <si>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</si>
  <si>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</si>
  <si>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</si>
  <si>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</si>
  <si>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</si>
  <si>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</si>
  <si>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</si>
  <si>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</si>
  <si>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</si>
  <si>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</si>
  <si>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</si>
  <si>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</si>
  <si>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</si>
  <si>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</si>
  <si>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</si>
  <si>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</si>
  <si>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</si>
  <si>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</si>
  <si>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</si>
  <si>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</si>
  <si>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</si>
  <si>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</si>
  <si>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</si>
  <si>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</si>
  <si>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</si>
  <si>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</si>
  <si>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</si>
  <si>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</si>
  <si>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</si>
  <si>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</si>
  <si>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</si>
  <si>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</si>
  <si>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</si>
  <si>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</si>
  <si>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</si>
  <si>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</si>
  <si>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</si>
  <si>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</si>
  <si>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</si>
  <si>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</si>
  <si>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</si>
  <si>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</si>
  <si>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</si>
  <si>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</si>
  <si>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</si>
  <si>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</si>
  <si>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</si>
  <si>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</si>
  <si>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</si>
  <si>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</si>
  <si>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</si>
  <si>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</si>
  <si>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</si>
  <si>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</si>
  <si>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</si>
  <si>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</si>
  <si>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</si>
  <si>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</si>
  <si>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</si>
  <si>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</si>
  <si>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</si>
  <si>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</si>
  <si>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</si>
  <si>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</si>
  <si>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</si>
  <si>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</si>
  <si>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</si>
  <si>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</si>
  <si>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</si>
  <si>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</si>
  <si>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</si>
  <si>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</si>
  <si>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</si>
  <si>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</si>
  <si>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</si>
  <si>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</si>
  <si>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</si>
  <si>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</si>
  <si>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</si>
  <si>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</si>
  <si>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</si>
  <si>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</si>
  <si>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</si>
  <si>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</si>
  <si>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</si>
  <si>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</si>
  <si>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</si>
  <si>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</si>
  <si>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</si>
  <si>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</si>
  <si>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</si>
  <si>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</si>
  <si>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</si>
  <si>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</si>
  <si>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</si>
  <si>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</si>
  <si>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</si>
  <si>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</si>
  <si>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</si>
  <si>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</si>
  <si>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</si>
  <si>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</si>
  <si>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</si>
  <si>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</si>
  <si>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</si>
  <si>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</si>
  <si>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</si>
  <si>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</si>
  <si>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</si>
  <si>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</si>
  <si>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</si>
  <si>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</si>
  <si>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</si>
  <si>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</si>
  <si>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</si>
  <si>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</si>
  <si>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</si>
  <si>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</si>
  <si>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</si>
  <si>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</si>
  <si>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</si>
  <si>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</si>
  <si>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</si>
  <si>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</si>
  <si>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</si>
  <si>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</si>
  <si>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</si>
  <si>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</si>
  <si>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</si>
  <si>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</si>
  <si>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</si>
  <si>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</si>
  <si>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</si>
  <si>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</si>
  <si>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</si>
  <si>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</si>
  <si>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</si>
  <si>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</si>
  <si>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</si>
  <si>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</si>
  <si>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</si>
  <si>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</si>
  <si>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</si>
  <si>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</si>
  <si>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</si>
  <si>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</si>
  <si>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</si>
  <si>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</si>
  <si>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</si>
  <si>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</si>
  <si>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</si>
  <si>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</si>
  <si>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</si>
  <si>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</si>
  <si>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</si>
  <si>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</si>
  <si>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</si>
  <si>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</si>
  <si>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</si>
  <si>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</si>
  <si>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</si>
  <si>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</si>
  <si>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</si>
  <si>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</si>
  <si>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</si>
  <si>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</si>
  <si>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</si>
  <si>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</si>
  <si>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</si>
  <si>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</si>
  <si>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</si>
  <si>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</si>
  <si>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</si>
  <si>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</si>
  <si>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</si>
  <si>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</si>
  <si>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</si>
  <si>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</si>
  <si>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</si>
  <si>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</si>
  <si>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</si>
  <si>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</si>
  <si>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</si>
  <si>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</si>
  <si>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</si>
  <si>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</si>
  <si>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</si>
  <si>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</si>
  <si>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</si>
  <si>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</si>
  <si>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</si>
  <si>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</si>
  <si>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</si>
  <si>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</si>
  <si>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</si>
  <si>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</si>
  <si>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</si>
  <si>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</si>
  <si>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</si>
  <si>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</si>
  <si>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</si>
  <si>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</si>
  <si>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</si>
  <si>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</si>
  <si>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</si>
  <si>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</si>
  <si>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</si>
  <si>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</si>
  <si>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</si>
  <si>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</si>
  <si>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</si>
  <si>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</si>
  <si>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</si>
  <si>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</si>
  <si>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</si>
  <si>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</si>
  <si>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</si>
  <si>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</si>
  <si>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</si>
  <si>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</si>
  <si>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</si>
  <si>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</si>
  <si>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</si>
  <si>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</si>
  <si>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</si>
  <si>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</si>
  <si>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</si>
  <si>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</si>
  <si>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</si>
  <si>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</si>
  <si>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</si>
  <si>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</si>
  <si>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</si>
  <si>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</si>
  <si>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</si>
  <si>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</si>
  <si>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</si>
  <si>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</si>
  <si>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</si>
  <si>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</si>
  <si>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</si>
  <si>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</si>
  <si>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</si>
  <si>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</si>
  <si>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</si>
  <si>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</si>
  <si>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</si>
  <si>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</si>
  <si>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</si>
  <si>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</si>
  <si>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</si>
  <si>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</si>
  <si>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</si>
  <si>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</si>
  <si>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</si>
  <si>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</si>
  <si>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</si>
  <si>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</si>
  <si>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</si>
  <si>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</si>
  <si>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</si>
  <si>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</si>
  <si>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</si>
  <si>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</si>
  <si>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</si>
  <si>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</si>
  <si>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</si>
  <si>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</si>
  <si>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</si>
  <si>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</si>
  <si>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</si>
  <si>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</si>
  <si>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</si>
  <si>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</si>
  <si>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</si>
  <si>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</si>
  <si>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</si>
  <si>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</si>
  <si>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</si>
  <si>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</si>
  <si>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</si>
  <si>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</si>
  <si>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</si>
  <si>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</si>
  <si>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</si>
  <si>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</si>
  <si>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</si>
  <si>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</si>
  <si>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</si>
  <si>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</si>
  <si>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</si>
  <si>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</si>
  <si>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</si>
  <si>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</si>
  <si>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</si>
  <si>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</si>
  <si>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</si>
  <si>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</si>
  <si>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</si>
  <si>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</si>
  <si>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</si>
  <si>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</si>
  <si>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</si>
  <si>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</si>
  <si>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</si>
  <si>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</si>
  <si>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</si>
  <si>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</si>
  <si>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</si>
  <si>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</si>
  <si>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</si>
  <si>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</si>
  <si>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</si>
  <si>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</si>
  <si>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</si>
  <si>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</si>
  <si>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</si>
  <si>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</si>
  <si>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</si>
  <si>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</si>
  <si>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</si>
  <si>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</si>
  <si>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</si>
  <si>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</si>
  <si>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</si>
  <si>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</si>
  <si>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</si>
  <si>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</si>
  <si>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</si>
  <si>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</si>
  <si>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</si>
  <si>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</si>
  <si>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</si>
  <si>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</si>
  <si>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</si>
  <si>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</si>
  <si>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</si>
  <si>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</si>
  <si>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</si>
  <si>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</si>
  <si>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</si>
  <si>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</si>
  <si>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</si>
  <si>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</si>
  <si>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</si>
  <si>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</si>
  <si>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</si>
  <si>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</si>
  <si>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</si>
  <si>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</si>
  <si>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</si>
  <si>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</si>
  <si>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</si>
  <si>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</si>
  <si>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</si>
  <si>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</si>
  <si>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</si>
  <si>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</si>
  <si>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</si>
  <si>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</si>
  <si>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</si>
  <si>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</si>
  <si>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</si>
  <si>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</si>
  <si>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</si>
  <si>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</si>
  <si>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</si>
  <si>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</si>
  <si>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</si>
  <si>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</si>
  <si>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</si>
  <si>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</si>
  <si>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</si>
  <si>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</si>
  <si>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</si>
  <si>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</si>
  <si>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</si>
  <si>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</si>
  <si>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</si>
  <si>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</si>
  <si>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</si>
  <si>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</si>
  <si>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</si>
  <si>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</si>
  <si>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</si>
  <si>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</si>
  <si>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</si>
  <si>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</si>
  <si>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</si>
  <si>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</si>
  <si>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</si>
  <si>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</si>
  <si>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</si>
  <si>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</si>
  <si>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</si>
  <si>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</si>
  <si>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</si>
  <si>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</si>
  <si>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</si>
  <si>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</si>
  <si>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</si>
  <si>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</si>
  <si>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</si>
  <si>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</si>
  <si>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</si>
  <si>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</si>
  <si>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</si>
  <si>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</si>
  <si>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</si>
  <si>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</si>
  <si>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</si>
  <si>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</si>
  <si>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</si>
  <si>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</si>
  <si>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</si>
  <si>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</si>
  <si>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</si>
  <si>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</si>
  <si>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</si>
  <si>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</si>
  <si>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</si>
  <si>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</si>
  <si>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</si>
  <si>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</si>
  <si>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</si>
  <si>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</si>
  <si>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</si>
  <si>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</si>
  <si>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</si>
  <si>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</si>
  <si>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</si>
  <si>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</si>
  <si>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</si>
  <si>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</si>
  <si>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</si>
  <si>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</si>
  <si>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</si>
  <si>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</si>
  <si>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</si>
  <si>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</si>
  <si>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</si>
  <si>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</si>
  <si>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</si>
  <si>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</si>
  <si>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</si>
  <si>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</si>
  <si>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</si>
  <si>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</si>
  <si>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</si>
  <si>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</si>
  <si>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</si>
  <si>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</si>
  <si>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</si>
  <si>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</si>
  <si>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</si>
  <si>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</si>
  <si>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</si>
  <si>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</si>
  <si>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</si>
  <si>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</si>
  <si>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</si>
  <si>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</si>
  <si>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</si>
  <si>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</si>
  <si>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</si>
  <si>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</si>
  <si>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</si>
  <si>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</si>
  <si>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</si>
  <si>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</si>
  <si>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</si>
  <si>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</si>
  <si>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</si>
  <si>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</si>
  <si>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</si>
  <si>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</si>
  <si>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</si>
  <si>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</si>
  <si>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</si>
  <si>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</si>
  <si>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</si>
  <si>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</si>
  <si>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</si>
  <si>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</si>
  <si>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</si>
  <si>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</si>
  <si>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</si>
  <si>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</si>
  <si>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</si>
  <si>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</si>
  <si>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</si>
  <si>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</si>
  <si>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</si>
  <si>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</si>
  <si>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</si>
  <si>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</si>
  <si>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</si>
  <si>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</si>
  <si>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</si>
  <si>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</si>
  <si>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</si>
  <si>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</si>
  <si>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</si>
  <si>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</si>
  <si>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</si>
  <si>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</si>
  <si>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</si>
  <si>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</si>
  <si>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</si>
  <si>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</si>
  <si>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</si>
  <si>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</si>
  <si>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</si>
  <si>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</si>
  <si>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</si>
  <si>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</si>
  <si>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</si>
  <si>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</si>
  <si>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</si>
  <si>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</si>
  <si>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</si>
  <si>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</si>
  <si>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</si>
  <si>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</si>
  <si>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</si>
  <si>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</si>
  <si>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</si>
  <si>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</si>
  <si>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</si>
  <si>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</si>
  <si>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</si>
  <si>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</si>
  <si>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</si>
  <si>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</si>
  <si>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</si>
  <si>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</si>
  <si>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</si>
  <si>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</si>
  <si>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</si>
  <si>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</si>
  <si>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</si>
  <si>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</si>
  <si>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</si>
  <si>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</si>
  <si>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</si>
  <si>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</si>
  <si>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</si>
  <si>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</si>
  <si>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</si>
  <si>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</si>
  <si>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</si>
  <si>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</si>
  <si>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</si>
  <si>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</si>
  <si>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</si>
  <si>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</si>
  <si>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</si>
  <si>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</si>
  <si>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</si>
  <si>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</si>
  <si>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</si>
  <si>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</si>
  <si>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</si>
  <si>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</si>
  <si>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</si>
  <si>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</si>
  <si>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</si>
  <si>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</si>
  <si>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</si>
  <si>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</si>
  <si>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</si>
  <si>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</si>
  <si>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</si>
  <si>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</si>
  <si>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</si>
  <si>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</si>
  <si>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</si>
  <si>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</si>
  <si>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</si>
  <si>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</si>
  <si>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</si>
  <si>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</si>
  <si>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</si>
  <si>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</si>
  <si>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</si>
  <si>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</si>
  <si>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</si>
  <si>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</si>
  <si>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</si>
  <si>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</si>
  <si>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</si>
  <si>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</si>
  <si>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</si>
  <si>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</si>
  <si>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</si>
  <si>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</si>
  <si>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</si>
  <si>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</si>
  <si>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</si>
  <si>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</si>
  <si>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</si>
  <si>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</si>
  <si>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</si>
  <si>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</si>
  <si>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</si>
  <si>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</si>
  <si>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</si>
  <si>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</si>
  <si>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</si>
  <si>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</si>
  <si>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</si>
  <si>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</si>
  <si>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</si>
  <si>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</si>
  <si>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</si>
  <si>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</si>
  <si>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</si>
  <si>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</si>
  <si>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</si>
  <si>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</si>
  <si>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</si>
  <si>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</si>
  <si>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</si>
  <si>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</si>
  <si>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</si>
  <si>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</si>
  <si>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</si>
  <si>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</si>
  <si>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</si>
  <si>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</si>
  <si>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</si>
  <si>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</si>
  <si>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</si>
  <si>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</si>
  <si>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</si>
  <si>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</si>
  <si>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</si>
  <si>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</si>
  <si>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</si>
  <si>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</si>
  <si>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</si>
  <si>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</si>
  <si>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</si>
  <si>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</si>
  <si>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</si>
  <si>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</si>
  <si>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</si>
  <si>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</si>
  <si>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</si>
  <si>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</si>
  <si>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</si>
  <si>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</si>
  <si>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</si>
  <si>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</si>
  <si>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</si>
  <si>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</si>
  <si>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</si>
  <si>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</si>
  <si>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</si>
  <si>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</si>
  <si>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</si>
  <si>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</si>
  <si>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</si>
  <si>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</si>
  <si>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</si>
  <si>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</si>
  <si>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</si>
  <si>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</si>
  <si>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</si>
  <si>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</si>
  <si>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</si>
  <si>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</si>
  <si>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</si>
  <si>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</si>
  <si>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</si>
  <si>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</si>
  <si>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</si>
  <si>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</si>
  <si>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</si>
  <si>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</si>
  <si>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</si>
  <si>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</si>
  <si>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</si>
  <si>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</si>
  <si>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</si>
  <si>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</si>
  <si>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</si>
  <si>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</si>
  <si>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</si>
  <si>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</si>
  <si>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</si>
  <si>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</si>
  <si>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</si>
  <si>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</si>
  <si>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</si>
  <si>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</si>
  <si>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</si>
  <si>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</si>
  <si>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</si>
  <si>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</si>
  <si>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</si>
  <si>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</si>
  <si>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</si>
  <si>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</si>
  <si>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</si>
  <si>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</si>
  <si>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</si>
  <si>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</si>
  <si>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</si>
  <si>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</si>
  <si>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</si>
  <si>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</si>
  <si>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</si>
  <si>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</si>
  <si>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</si>
  <si>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</si>
  <si>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</si>
  <si>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</si>
  <si>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</si>
  <si>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</si>
  <si>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</si>
  <si>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</si>
  <si>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</si>
  <si>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</si>
  <si>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</si>
  <si>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</si>
  <si>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</si>
  <si>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</si>
  <si>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</si>
  <si>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</si>
  <si>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</si>
  <si>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</si>
  <si>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</si>
  <si>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</si>
  <si>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</si>
  <si>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</si>
  <si>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</si>
  <si>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</si>
  <si>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</si>
  <si>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</si>
  <si>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</si>
  <si>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</si>
  <si>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</si>
  <si>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</si>
  <si>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</si>
  <si>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</si>
  <si>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</si>
  <si>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</si>
  <si>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</si>
  <si>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</si>
  <si>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</si>
  <si>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</si>
  <si>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</si>
  <si>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</si>
  <si>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</si>
  <si>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</si>
  <si>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</si>
  <si>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</si>
  <si>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</si>
  <si>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</si>
  <si>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</si>
  <si>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</si>
  <si>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</si>
  <si>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</si>
  <si>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</si>
  <si>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</si>
  <si>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</si>
  <si>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</si>
  <si>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</si>
  <si>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</si>
  <si>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</si>
  <si>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</si>
  <si>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</si>
  <si>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</si>
  <si>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</si>
  <si>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</si>
  <si>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</si>
  <si>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</si>
  <si>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</si>
  <si>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</si>
  <si>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</si>
  <si>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</si>
  <si>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</si>
  <si>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</si>
  <si>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</si>
  <si>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</si>
  <si>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</si>
  <si>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</si>
  <si>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</si>
  <si>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</si>
  <si>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</si>
  <si>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</si>
  <si>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</si>
  <si>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</si>
  <si>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</si>
  <si>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</si>
  <si>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</si>
  <si>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</si>
  <si>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</si>
  <si>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</si>
  <si>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</si>
  <si>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</si>
  <si>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</si>
  <si>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</si>
  <si>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</si>
  <si>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</si>
  <si>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</si>
  <si>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</si>
  <si>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</si>
  <si>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</si>
  <si>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</si>
  <si>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</si>
  <si>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</si>
  <si>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</si>
  <si>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</si>
  <si>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</si>
  <si>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</si>
  <si>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</si>
  <si>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</si>
  <si>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</si>
  <si>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</si>
  <si>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</si>
  <si>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</si>
  <si>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</si>
  <si>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</si>
  <si>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</si>
  <si>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</si>
  <si>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</si>
  <si>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</si>
  <si>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</si>
  <si>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</si>
  <si>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</si>
  <si>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</si>
  <si>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</si>
  <si>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</si>
  <si>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</si>
  <si>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</si>
  <si>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</si>
  <si>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</si>
  <si>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</si>
  <si>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</si>
  <si>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</si>
  <si>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</si>
  <si>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</si>
  <si>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</si>
  <si>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</si>
  <si>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</si>
  <si>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</si>
  <si>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</si>
  <si>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</si>
  <si>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</si>
  <si>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</si>
  <si>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</si>
  <si>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</si>
  <si>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</si>
  <si>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</si>
  <si>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</si>
  <si>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</si>
  <si>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</si>
  <si>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</si>
  <si>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</si>
  <si>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</si>
  <si>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</si>
  <si>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</si>
  <si>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</si>
  <si>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</si>
  <si>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</si>
  <si>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</si>
  <si>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</si>
  <si>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</si>
  <si>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</si>
  <si>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</si>
  <si>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</si>
  <si>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</si>
  <si>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</si>
  <si>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</si>
  <si>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</si>
  <si>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</si>
  <si>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</si>
  <si>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</si>
  <si>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</si>
  <si>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</si>
  <si>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</si>
  <si>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</si>
  <si>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</si>
  <si>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</si>
  <si>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</si>
  <si>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</si>
  <si>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</si>
  <si>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</si>
  <si>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</si>
  <si>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</si>
  <si>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</si>
  <si>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</si>
  <si>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</si>
  <si>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</si>
  <si>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</si>
  <si>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</si>
  <si>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</si>
  <si>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</si>
  <si>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</si>
  <si>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</si>
  <si>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</si>
  <si>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</si>
  <si>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</si>
  <si>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</si>
  <si>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</si>
  <si>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</si>
  <si>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</si>
  <si>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</si>
  <si>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</si>
  <si>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</si>
  <si>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</si>
  <si>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</si>
  <si>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</si>
  <si>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</si>
  <si>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</si>
  <si>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</si>
  <si>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</si>
  <si>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</si>
  <si>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</si>
  <si>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</si>
  <si>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</si>
  <si>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</si>
  <si>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</si>
  <si>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</si>
  <si>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</si>
  <si>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</si>
  <si>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</si>
  <si>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</si>
  <si>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</si>
  <si>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</si>
  <si>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</si>
  <si>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</si>
  <si>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</si>
  <si>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</si>
  <si>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</si>
  <si>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</si>
  <si>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</si>
  <si>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</si>
  <si>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</si>
  <si>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</si>
  <si>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</si>
  <si>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</si>
  <si>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</si>
  <si>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</si>
  <si>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</si>
  <si>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</si>
  <si>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</si>
  <si>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</si>
  <si>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</si>
  <si>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</si>
  <si>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</si>
  <si>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</si>
  <si>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</si>
  <si>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</si>
  <si>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</si>
  <si>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</si>
  <si>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</si>
  <si>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</si>
  <si>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</si>
  <si>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</si>
  <si>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</si>
  <si>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</si>
  <si>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</si>
  <si>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</si>
  <si>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</si>
  <si>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</si>
  <si>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</si>
  <si>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</si>
  <si>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</si>
  <si>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</si>
  <si>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</si>
  <si>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</si>
  <si>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</si>
  <si>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</si>
  <si>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</si>
  <si>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</si>
  <si>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</si>
  <si>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</si>
  <si>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</si>
  <si>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</si>
  <si>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</si>
  <si>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</si>
  <si>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</si>
  <si>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</si>
  <si>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</si>
  <si>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</si>
  <si>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</si>
  <si>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</si>
  <si>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</si>
  <si>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</si>
  <si>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</si>
  <si>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</si>
  <si>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</si>
  <si>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</si>
  <si>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</si>
  <si>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</si>
  <si>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</si>
  <si>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</si>
  <si>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</si>
  <si>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</si>
  <si>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</si>
  <si>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</si>
  <si>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</si>
  <si>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</si>
  <si>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</si>
  <si>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</si>
  <si>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</si>
  <si>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</si>
  <si>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</si>
  <si>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</si>
  <si>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</si>
  <si>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</si>
  <si>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</si>
  <si>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</si>
  <si>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</si>
  <si>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</si>
  <si>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</si>
  <si>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</si>
  <si>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</si>
  <si>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</si>
  <si>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</si>
  <si>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</si>
  <si>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</si>
  <si>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</si>
  <si>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</si>
  <si>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</si>
  <si>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</si>
  <si>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</si>
  <si>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</si>
  <si>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</si>
  <si>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</si>
  <si>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</si>
  <si>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</si>
  <si>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</si>
  <si>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</si>
  <si>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</si>
  <si>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</si>
  <si>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</si>
  <si>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</si>
  <si>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</si>
  <si>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</si>
  <si>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</si>
  <si>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</si>
  <si>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</si>
  <si>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</si>
  <si>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</si>
  <si>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</si>
  <si>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</si>
  <si>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</si>
  <si>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</si>
  <si>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</si>
  <si>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</si>
  <si>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</si>
  <si>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</si>
  <si>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</si>
  <si>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</si>
  <si>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</si>
  <si>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</si>
  <si>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</si>
  <si>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</si>
  <si>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</si>
  <si>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</si>
  <si>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</si>
  <si>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</si>
  <si>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</si>
  <si>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</si>
  <si>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</si>
  <si>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</si>
  <si>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</si>
  <si>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</si>
  <si>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</si>
  <si>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</si>
  <si>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</si>
  <si>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</si>
  <si>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</si>
  <si>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</si>
  <si>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</si>
  <si>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</si>
  <si>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</si>
  <si>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</si>
  <si>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</si>
  <si>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</si>
  <si>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</si>
  <si>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</si>
  <si>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</si>
  <si>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</si>
  <si>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</si>
  <si>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</si>
  <si>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</si>
  <si>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</si>
  <si>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</si>
  <si>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</si>
  <si>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</si>
  <si>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</si>
  <si>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</si>
  <si>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</si>
  <si>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</si>
  <si>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</si>
  <si>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</si>
  <si>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</si>
  <si>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</si>
  <si>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</si>
  <si>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</si>
  <si>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</si>
  <si>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</si>
  <si>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</si>
  <si>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</si>
  <si>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</si>
  <si>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</si>
  <si>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</si>
  <si>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</si>
  <si>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</si>
  <si>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</si>
  <si>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</si>
  <si>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</si>
  <si>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</si>
  <si>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</si>
  <si>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</si>
  <si>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</si>
  <si>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</si>
  <si>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</si>
  <si>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</si>
  <si>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</si>
  <si>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</si>
  <si>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</si>
  <si>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</si>
  <si>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</si>
  <si>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</si>
  <si>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</si>
  <si>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</si>
  <si>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</si>
  <si>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</si>
  <si>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</si>
  <si>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</si>
  <si>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</si>
  <si>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</si>
  <si>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</si>
  <si>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</si>
  <si>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</si>
  <si>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</si>
  <si>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</si>
  <si>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</si>
  <si>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</si>
  <si>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</si>
  <si>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</si>
  <si>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</si>
  <si>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</si>
  <si>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</si>
  <si>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</si>
  <si>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</si>
  <si>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</si>
  <si>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</si>
  <si>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</si>
  <si>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</si>
  <si>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</si>
  <si>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</si>
  <si>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</si>
  <si>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</si>
  <si>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</si>
  <si>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</si>
  <si>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</si>
  <si>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</si>
  <si>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</si>
  <si>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</si>
  <si>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</si>
  <si>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</si>
  <si>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</si>
  <si>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</si>
  <si>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</si>
  <si>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</si>
  <si>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</si>
  <si>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</si>
  <si>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</si>
  <si>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</si>
  <si>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</si>
  <si>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</si>
  <si>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</si>
  <si>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</si>
  <si>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</si>
  <si>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</si>
  <si>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</si>
  <si>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</si>
  <si>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</si>
  <si>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</si>
  <si>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</si>
  <si>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</si>
  <si>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</si>
  <si>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</si>
  <si>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</si>
  <si>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</si>
  <si>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</si>
  <si>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</si>
  <si>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</si>
  <si>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</si>
  <si>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</si>
  <si>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</si>
  <si>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</si>
  <si>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</si>
  <si>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</si>
  <si>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</si>
  <si>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</si>
  <si>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</si>
  <si>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</si>
  <si>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</si>
  <si>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</si>
  <si>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</si>
  <si>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</si>
  <si>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</si>
  <si>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</si>
  <si>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</si>
  <si>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</si>
  <si>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</si>
  <si>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</si>
  <si>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</si>
  <si>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</si>
  <si>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</si>
  <si>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</si>
  <si>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</si>
  <si>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</si>
  <si>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</si>
  <si>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</si>
  <si>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</si>
  <si>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</si>
  <si>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</si>
  <si>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</si>
  <si>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</si>
  <si>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</si>
  <si>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</si>
  <si>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</si>
  <si>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</si>
  <si>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</si>
  <si>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</si>
  <si>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</si>
  <si>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</si>
  <si>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</si>
  <si>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</si>
  <si>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</si>
  <si>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</si>
  <si>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</si>
  <si>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</si>
  <si>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</si>
  <si>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</si>
  <si>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</si>
  <si>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</si>
  <si>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</si>
  <si>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</si>
  <si>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</si>
  <si>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</si>
  <si>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</si>
  <si>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</si>
  <si>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</si>
  <si>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</si>
  <si>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</si>
  <si>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</si>
  <si>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</si>
  <si>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</si>
  <si>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</si>
  <si>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</si>
  <si>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</si>
  <si>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</si>
  <si>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</si>
  <si>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</si>
  <si>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</si>
  <si>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</si>
  <si>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</si>
  <si>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</si>
  <si>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</si>
  <si>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</si>
  <si>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</si>
  <si>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</si>
  <si>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</si>
  <si>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</si>
  <si>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</si>
  <si>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</si>
  <si>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</si>
  <si>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</si>
  <si>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</si>
  <si>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</si>
  <si>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</si>
  <si>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</si>
  <si>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</si>
  <si>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</si>
  <si>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</si>
  <si>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</si>
  <si>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</si>
  <si>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</si>
  <si>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</si>
  <si>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</si>
  <si>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</si>
  <si>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</si>
  <si>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</si>
  <si>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</si>
  <si>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</si>
  <si>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</si>
  <si>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</si>
  <si>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</si>
  <si>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</si>
  <si>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</si>
  <si>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</si>
  <si>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</si>
  <si>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</si>
  <si>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</si>
  <si>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</si>
  <si>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</si>
  <si>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</si>
  <si>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</si>
  <si>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</si>
  <si>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</si>
  <si>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</si>
  <si>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</si>
  <si>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</si>
  <si>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</si>
  <si>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</si>
  <si>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</si>
  <si>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</si>
  <si>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</si>
  <si>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</si>
  <si>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</si>
  <si>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</si>
  <si>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</si>
  <si>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</si>
  <si>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</si>
  <si>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</si>
  <si>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</si>
  <si>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</si>
  <si>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</si>
  <si>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</si>
  <si>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</si>
  <si>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</si>
  <si>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</si>
  <si>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</si>
  <si>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</si>
  <si>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</si>
  <si>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</si>
  <si>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</si>
  <si>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</si>
  <si>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</si>
  <si>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</si>
  <si>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</si>
  <si>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</si>
  <si>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</si>
  <si>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</si>
  <si>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</si>
  <si>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</si>
  <si>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</si>
  <si>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</si>
  <si>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</si>
  <si>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</si>
  <si>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</si>
  <si>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</si>
  <si>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</si>
  <si>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</si>
  <si>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</si>
  <si>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</si>
  <si>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</si>
  <si>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</si>
  <si>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</si>
  <si>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</si>
  <si>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</si>
  <si>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</si>
  <si>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</si>
  <si>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</si>
  <si>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</si>
  <si>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</si>
  <si>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</si>
  <si>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</si>
  <si>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</si>
  <si>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</si>
  <si>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</si>
  <si>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</si>
  <si>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</si>
  <si>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</si>
  <si>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</si>
  <si>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</si>
  <si>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</si>
  <si>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</si>
  <si>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</si>
  <si>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</si>
  <si>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</si>
  <si>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</si>
  <si>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</si>
  <si>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</si>
  <si>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</si>
  <si>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</si>
  <si>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</si>
  <si>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</si>
  <si>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</si>
  <si>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</si>
  <si>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</si>
  <si>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</si>
  <si>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</si>
  <si>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</si>
  <si>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</si>
  <si>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</si>
  <si>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</si>
  <si>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</si>
  <si>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</si>
  <si>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</si>
  <si>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</si>
  <si>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</si>
  <si>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</si>
  <si>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</si>
  <si>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</si>
  <si>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</si>
  <si>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</si>
  <si>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</si>
  <si>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</si>
  <si>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</si>
  <si>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</si>
  <si>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</si>
  <si>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</si>
  <si>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</si>
  <si>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</si>
  <si>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</si>
  <si>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</si>
  <si>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</si>
  <si>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</si>
  <si>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</si>
  <si>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</si>
  <si>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</si>
  <si>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</si>
  <si>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</si>
  <si>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</si>
  <si>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</si>
  <si>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</si>
  <si>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</si>
  <si>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</si>
  <si>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</si>
  <si>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</si>
  <si>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</si>
  <si>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</si>
  <si>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</si>
  <si>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</si>
  <si>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</si>
  <si>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</si>
  <si>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</si>
  <si>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</si>
  <si>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</si>
  <si>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</si>
  <si>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</si>
  <si>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</si>
  <si>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</si>
  <si>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</si>
  <si>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</si>
  <si>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</si>
  <si>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</si>
  <si>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</si>
  <si>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</si>
  <si>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</si>
  <si>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</si>
  <si>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</si>
  <si>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</si>
  <si>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</si>
  <si>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</si>
  <si>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</si>
  <si>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</si>
  <si>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</si>
  <si>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</si>
  <si>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</si>
  <si>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</si>
  <si>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</si>
  <si>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</si>
  <si>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</si>
  <si>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</si>
  <si>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</si>
  <si>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</si>
  <si>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</si>
  <si>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</si>
  <si>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</si>
  <si>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</si>
  <si>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</si>
  <si>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</si>
  <si>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</si>
  <si>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</si>
  <si>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</si>
  <si>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</si>
  <si>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</si>
  <si>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</si>
  <si>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</si>
  <si>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</si>
  <si>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</si>
  <si>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</si>
  <si>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</si>
  <si>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</si>
  <si>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</si>
  <si>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</si>
  <si>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</si>
  <si>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</si>
  <si>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</si>
  <si>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</si>
  <si>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</si>
  <si>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</si>
  <si>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</si>
  <si>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</si>
  <si>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</si>
  <si>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</si>
  <si>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</si>
  <si>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</si>
  <si>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</si>
  <si>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</si>
  <si>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</si>
  <si>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</si>
  <si>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</si>
  <si>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</si>
  <si>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</si>
  <si>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</si>
  <si>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</si>
  <si>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</si>
  <si>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</si>
  <si>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</si>
  <si>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</si>
  <si>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</si>
  <si>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</si>
  <si>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</si>
  <si>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</si>
  <si>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</si>
  <si>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</si>
  <si>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</si>
  <si>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</si>
  <si>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</si>
  <si>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</si>
  <si>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</si>
  <si>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</si>
  <si>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</si>
  <si>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</si>
  <si>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</si>
  <si>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</si>
  <si>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</si>
  <si>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</si>
  <si>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</si>
  <si>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</si>
  <si>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</si>
  <si>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</si>
  <si>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</si>
  <si>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</si>
  <si>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</si>
  <si>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</si>
  <si>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</si>
  <si>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</si>
  <si>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</si>
  <si>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</si>
  <si>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</si>
  <si>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</si>
  <si>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</si>
  <si>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</si>
  <si>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</si>
  <si>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</si>
  <si>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</si>
  <si>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</si>
  <si>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</si>
  <si>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</si>
  <si>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</si>
  <si>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</si>
  <si>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</si>
  <si>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</si>
  <si>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</si>
  <si>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</si>
  <si>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</si>
  <si>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</si>
  <si>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</si>
  <si>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</si>
  <si>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</si>
  <si>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</si>
  <si>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</si>
  <si>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</si>
  <si>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</si>
  <si>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</si>
  <si>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</si>
  <si>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</si>
  <si>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</si>
  <si>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</si>
  <si>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</si>
  <si>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</si>
  <si>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</si>
  <si>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</si>
  <si>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</si>
  <si>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</si>
  <si>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</si>
  <si>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</si>
  <si>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</si>
  <si>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</si>
  <si>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</si>
  <si>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</si>
  <si>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</si>
  <si>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</si>
  <si>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</si>
  <si>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</si>
  <si>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</si>
  <si>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</si>
  <si>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</si>
  <si>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</si>
  <si>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</si>
  <si>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</si>
  <si>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</si>
  <si>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</si>
  <si>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</si>
  <si>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</si>
  <si>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</si>
  <si>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</si>
  <si>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</si>
  <si>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</si>
  <si>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</si>
  <si>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</si>
  <si>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</si>
  <si>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</si>
  <si>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</si>
  <si>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</si>
  <si>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</si>
  <si>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</si>
  <si>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</si>
  <si>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</si>
  <si>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</si>
  <si>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</si>
  <si>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</si>
  <si>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</si>
  <si>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</si>
  <si>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</si>
  <si>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</si>
  <si>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</si>
  <si>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</si>
  <si>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</si>
  <si>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</si>
  <si>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</si>
  <si>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</si>
  <si>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</si>
  <si>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</si>
  <si>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</si>
  <si>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</si>
  <si>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</si>
  <si>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</si>
  <si>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</si>
  <si>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</si>
  <si>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</si>
  <si>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</si>
  <si>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</si>
  <si>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</si>
  <si>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</si>
  <si>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</si>
  <si>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</si>
  <si>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</si>
  <si>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</si>
  <si>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</si>
  <si>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</si>
  <si>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</si>
  <si>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</si>
  <si>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</si>
  <si>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</si>
  <si>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</si>
  <si>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</si>
  <si>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</si>
  <si>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</si>
  <si>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</si>
  <si>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</si>
  <si>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</si>
  <si>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</si>
  <si>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</si>
  <si>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</si>
  <si>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</si>
  <si>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</si>
  <si>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</si>
  <si>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</si>
  <si>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</si>
  <si>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</si>
  <si>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</si>
  <si>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</si>
  <si>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</si>
  <si>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</si>
  <si>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</si>
  <si>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</si>
  <si>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</si>
  <si>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</si>
  <si>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</si>
  <si>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</si>
  <si>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</si>
  <si>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</si>
  <si>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</si>
  <si>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</si>
  <si>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</si>
  <si>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</si>
  <si>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</si>
  <si>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</si>
  <si>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</si>
  <si>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</si>
  <si>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</si>
  <si>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</si>
  <si>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</si>
  <si>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</si>
  <si>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</si>
  <si>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</si>
  <si>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</si>
  <si>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</si>
  <si>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</si>
  <si>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</si>
  <si>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</si>
  <si>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</si>
  <si>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</si>
  <si>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</si>
  <si>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</si>
  <si>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</si>
  <si>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</si>
  <si>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</si>
  <si>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</si>
  <si>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</si>
  <si>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</si>
  <si>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</si>
  <si>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</si>
  <si>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</si>
  <si>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</si>
  <si>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</si>
  <si>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</si>
  <si>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</si>
  <si>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</si>
  <si>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</si>
  <si>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</si>
  <si>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</si>
  <si>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</si>
  <si>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</si>
  <si>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</si>
  <si>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</si>
  <si>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</si>
  <si>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</si>
  <si>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</si>
  <si>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</si>
  <si>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</si>
  <si>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</si>
  <si>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</si>
  <si>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</si>
  <si>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</si>
  <si>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</si>
  <si>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</si>
  <si>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</si>
  <si>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</si>
  <si>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</si>
  <si>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</si>
  <si>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</si>
  <si>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</si>
  <si>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</si>
  <si>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</si>
  <si>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</si>
  <si>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</si>
  <si>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</si>
  <si>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</si>
  <si>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</si>
  <si>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</si>
  <si>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</si>
  <si>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</si>
  <si>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</si>
  <si>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</si>
  <si>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</si>
  <si>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</si>
  <si>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</si>
  <si>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</si>
  <si>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</si>
  <si>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</si>
  <si>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</si>
  <si>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</si>
  <si>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</si>
  <si>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</si>
  <si>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</si>
  <si>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</si>
  <si>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</si>
  <si>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</si>
  <si>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</si>
  <si>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</si>
  <si>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</si>
  <si>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</si>
  <si>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</si>
  <si>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</si>
  <si>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</si>
  <si>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</si>
  <si>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</si>
  <si>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</si>
  <si>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</si>
  <si>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</si>
  <si>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</si>
  <si>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</si>
  <si>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</si>
  <si>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</si>
  <si>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</si>
  <si>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</si>
  <si>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</si>
  <si>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</si>
  <si>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</si>
  <si>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</si>
  <si>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</si>
  <si>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</si>
  <si>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</si>
  <si>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</si>
  <si>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</si>
  <si>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</si>
  <si>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</si>
  <si>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</si>
  <si>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</si>
  <si>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</si>
  <si>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</si>
  <si>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</si>
  <si>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</si>
  <si>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</si>
  <si>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</si>
  <si>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</si>
  <si>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</si>
  <si>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</si>
  <si>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</si>
  <si>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</si>
  <si>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</si>
  <si>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</si>
  <si>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</si>
  <si>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</si>
  <si>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</si>
  <si>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</si>
  <si>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</si>
  <si>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</si>
  <si>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</si>
  <si>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</si>
  <si>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</si>
  <si>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</si>
  <si>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</si>
  <si>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</si>
  <si>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</si>
  <si>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</si>
  <si>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</si>
  <si>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</si>
  <si>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</si>
  <si>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</si>
  <si>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</si>
  <si>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</si>
  <si>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</si>
  <si>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</si>
  <si>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</si>
  <si>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</si>
  <si>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</si>
  <si>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</si>
  <si>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</si>
  <si>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</si>
  <si>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</si>
  <si>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</si>
  <si>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</si>
  <si>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</si>
  <si>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</si>
  <si>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</si>
  <si>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</si>
  <si>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</si>
  <si>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</si>
  <si>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</si>
  <si>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</si>
  <si>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</si>
  <si>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</si>
  <si>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</si>
  <si>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</si>
  <si>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</si>
  <si>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</si>
  <si>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</si>
  <si>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</si>
  <si>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</si>
  <si>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</si>
  <si>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</si>
  <si>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</si>
  <si>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</si>
  <si>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</si>
  <si>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</si>
  <si>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</si>
  <si>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</si>
  <si>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</si>
  <si>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</si>
  <si>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</si>
  <si>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</si>
  <si>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</si>
  <si>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</si>
  <si>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</si>
  <si>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</si>
  <si>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</si>
  <si>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</si>
  <si>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</si>
  <si>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</si>
  <si>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</si>
  <si>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</si>
  <si>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</si>
  <si>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</si>
  <si>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</si>
  <si>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</si>
  <si>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</si>
  <si>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</si>
  <si>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</si>
  <si>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</si>
  <si>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</si>
  <si>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</si>
  <si>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</si>
  <si>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</si>
  <si>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</si>
  <si>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</si>
  <si>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</si>
  <si>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</si>
  <si>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</si>
  <si>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</si>
  <si>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</si>
  <si>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</si>
  <si>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</si>
  <si>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</si>
  <si>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</si>
  <si>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</si>
  <si>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</si>
  <si>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</si>
  <si>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</si>
  <si>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</si>
  <si>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</si>
  <si>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</si>
  <si>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</si>
  <si>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</si>
  <si>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</si>
  <si>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</si>
  <si>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</si>
  <si>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</si>
  <si>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</si>
  <si>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</si>
  <si>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</si>
  <si>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</si>
  <si>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</si>
  <si>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</si>
  <si>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</si>
  <si>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</si>
  <si>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</si>
  <si>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</si>
  <si>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</si>
  <si>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</si>
  <si>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</si>
  <si>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</si>
  <si>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</si>
  <si>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</si>
  <si>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</si>
  <si>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</si>
  <si>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</si>
  <si>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</si>
  <si>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</si>
  <si>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</si>
  <si>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</si>
  <si>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</si>
  <si>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</si>
  <si>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</si>
  <si>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</si>
  <si>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</si>
  <si>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</si>
  <si>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</si>
  <si>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</si>
  <si>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</si>
  <si>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</si>
  <si>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</si>
  <si>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</si>
  <si>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</si>
  <si>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</si>
  <si>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</si>
  <si>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</si>
  <si>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</si>
  <si>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</si>
  <si>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</si>
  <si>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</si>
  <si>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</si>
  <si>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</si>
  <si>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</si>
  <si>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</si>
  <si>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</si>
  <si>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</si>
  <si>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</si>
  <si>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</si>
  <si>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</si>
  <si>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</si>
  <si>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</si>
  <si>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</si>
  <si>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</si>
  <si>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</si>
  <si>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</si>
  <si>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</si>
  <si>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</si>
  <si>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</si>
  <si>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</si>
  <si>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</si>
  <si>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</si>
  <si>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</si>
  <si>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</si>
  <si>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</si>
  <si>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</si>
  <si>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</si>
  <si>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</si>
  <si>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</si>
  <si>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</si>
  <si>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</si>
  <si>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</si>
  <si>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</si>
  <si>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</si>
  <si>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</si>
  <si>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</si>
  <si>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</si>
  <si>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</si>
  <si>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</si>
  <si>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</si>
  <si>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</si>
  <si>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</si>
  <si>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</si>
  <si>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</si>
  <si>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</si>
  <si>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</si>
  <si>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</si>
  <si>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</si>
  <si>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</si>
  <si>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</si>
  <si>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</si>
  <si>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</si>
  <si>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</si>
  <si>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</si>
  <si>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</si>
  <si>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</si>
  <si>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</si>
  <si>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</si>
  <si>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</si>
  <si>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</si>
  <si>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</si>
  <si>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</si>
  <si>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</si>
  <si>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</si>
  <si>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</si>
  <si>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</si>
  <si>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</si>
  <si>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</si>
  <si>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</si>
  <si>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</si>
  <si>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</si>
  <si>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</si>
  <si>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</si>
  <si>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</si>
  <si>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</si>
  <si>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</si>
  <si>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</si>
  <si>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</si>
  <si>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</si>
  <si>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</si>
  <si>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</si>
  <si>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</si>
  <si>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</si>
  <si>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</si>
  <si>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</si>
  <si>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</si>
  <si>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</si>
  <si>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</si>
  <si>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</si>
  <si>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</si>
  <si>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</si>
  <si>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</si>
  <si>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</si>
  <si>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</si>
  <si>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</si>
  <si>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</si>
  <si>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</si>
  <si>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</si>
  <si>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</si>
  <si>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</si>
  <si>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</si>
  <si>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</si>
  <si>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</si>
  <si>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</si>
  <si>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</si>
  <si>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</si>
  <si>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</si>
  <si>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</si>
  <si>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</si>
  <si>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</si>
  <si>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</si>
  <si>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</si>
  <si>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</si>
  <si>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</si>
  <si>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</si>
  <si>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</si>
  <si>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</si>
  <si>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</si>
  <si>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</si>
  <si>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</si>
  <si>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</si>
  <si>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</si>
  <si>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</si>
  <si>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</si>
  <si>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</si>
  <si>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</si>
  <si>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</si>
  <si>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</si>
  <si>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</si>
  <si>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</si>
  <si>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</si>
  <si>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</si>
  <si>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</si>
  <si>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</si>
  <si>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</si>
  <si>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</si>
  <si>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</si>
  <si>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</si>
  <si>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</si>
  <si>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</si>
  <si>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</si>
  <si>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</si>
  <si>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</si>
  <si>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</si>
  <si>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</si>
  <si>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</si>
  <si>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</si>
  <si>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</si>
  <si>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</si>
  <si>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</si>
  <si>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</si>
  <si>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</si>
  <si>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</si>
  <si>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</si>
  <si>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</si>
  <si>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</si>
  <si>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</si>
  <si>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</si>
  <si>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</si>
  <si>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</si>
  <si>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</si>
  <si>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</si>
  <si>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</si>
  <si>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</si>
  <si>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</si>
  <si>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</si>
  <si>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</si>
  <si>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</si>
  <si>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</si>
  <si>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</si>
  <si>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</si>
  <si>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</si>
  <si>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</si>
  <si>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</si>
  <si>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</si>
  <si>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</si>
  <si>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</si>
  <si>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</si>
  <si>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</si>
  <si>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</si>
  <si>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</si>
  <si>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</si>
  <si>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</si>
  <si>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</si>
  <si>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</si>
  <si>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</si>
  <si>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</si>
  <si>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</si>
  <si>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</si>
  <si>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</si>
  <si>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</si>
  <si>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</si>
  <si>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</si>
  <si>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</si>
  <si>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</si>
  <si>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</si>
  <si>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</si>
  <si>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</si>
  <si>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</si>
  <si>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</si>
  <si>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</si>
  <si>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</si>
  <si>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</si>
  <si>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</si>
  <si>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</si>
  <si>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</si>
  <si>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</si>
  <si>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</si>
  <si>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</si>
  <si>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</si>
  <si>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</si>
  <si>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</si>
  <si>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</si>
  <si>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</si>
  <si>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</si>
  <si>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</si>
  <si>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</si>
  <si>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</si>
  <si>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</si>
  <si>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</si>
  <si>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</si>
  <si>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</si>
  <si>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</si>
  <si>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</si>
  <si>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</si>
  <si>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</si>
  <si>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</si>
  <si>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</si>
  <si>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</si>
  <si>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</si>
  <si>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</si>
  <si>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</si>
  <si>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</si>
  <si>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</si>
  <si>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</si>
  <si>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</si>
  <si>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</si>
  <si>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</si>
  <si>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</si>
  <si>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</si>
  <si>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</si>
  <si>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</si>
  <si>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</si>
  <si>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</si>
  <si>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</si>
  <si>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</si>
  <si>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</si>
  <si>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</si>
  <si>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</si>
  <si>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</si>
  <si>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</si>
  <si>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</si>
  <si>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</si>
  <si>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</si>
  <si>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</si>
  <si>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</si>
  <si>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</si>
  <si>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</si>
  <si>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</si>
  <si>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</si>
  <si>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</si>
  <si>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</si>
  <si>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</si>
  <si>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</si>
  <si>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</si>
  <si>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</si>
  <si>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</si>
  <si>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</si>
  <si>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</si>
  <si>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</si>
  <si>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</si>
  <si>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</si>
  <si>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</si>
  <si>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</si>
  <si>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</si>
  <si>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</si>
  <si>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</si>
  <si>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</si>
  <si>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</si>
  <si>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</si>
  <si>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</si>
  <si>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</si>
  <si>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</si>
  <si>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</si>
  <si>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</si>
  <si>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</si>
  <si>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</si>
  <si>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</si>
  <si>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</si>
  <si>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</si>
  <si>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</si>
  <si>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</si>
  <si>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</si>
  <si>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</si>
  <si>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</si>
  <si>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</si>
  <si>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</si>
  <si>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</si>
  <si>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</si>
  <si>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</si>
  <si>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</si>
  <si>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</si>
  <si>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</si>
  <si>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</si>
  <si>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</si>
  <si>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</si>
  <si>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</si>
  <si>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</si>
  <si>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</si>
  <si>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</si>
  <si>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</si>
  <si>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</si>
  <si>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</si>
  <si>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</si>
  <si>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</si>
  <si>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</si>
  <si>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</si>
  <si>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</si>
  <si>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</si>
  <si>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</si>
  <si>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</si>
  <si>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</si>
  <si>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</si>
  <si>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</si>
  <si>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</si>
  <si>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</si>
  <si>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</si>
  <si>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</si>
  <si>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</si>
  <si>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</si>
  <si>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</si>
  <si>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</si>
  <si>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</si>
  <si>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</si>
  <si>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</si>
  <si>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</si>
  <si>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</si>
  <si>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</si>
  <si>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</si>
  <si>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</si>
  <si>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</si>
  <si>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</si>
  <si>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</si>
  <si>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</si>
  <si>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</si>
  <si>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</si>
  <si>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</si>
  <si>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</si>
  <si>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</si>
  <si>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</si>
  <si>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</si>
  <si>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</si>
  <si>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</si>
  <si>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</si>
  <si>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</si>
  <si>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</si>
  <si>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</si>
  <si>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</si>
  <si>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</si>
  <si>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</si>
  <si>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</si>
  <si>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</si>
  <si>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</si>
  <si>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</si>
  <si>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</si>
  <si>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</si>
  <si>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</si>
  <si>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</si>
  <si>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</si>
  <si>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</si>
  <si>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</si>
  <si>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</si>
  <si>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</si>
  <si>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</si>
  <si>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</si>
  <si>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</si>
  <si>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</si>
  <si>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</si>
  <si>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</si>
  <si>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</si>
  <si>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</si>
  <si>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</si>
  <si>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</si>
  <si>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</si>
  <si>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</si>
  <si>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</si>
  <si>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</si>
  <si>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</si>
  <si>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</si>
  <si>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</si>
  <si>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</si>
  <si>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</si>
  <si>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</si>
  <si>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</si>
  <si>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</si>
  <si>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</si>
  <si>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</si>
  <si>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</si>
  <si>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</si>
  <si>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</si>
  <si>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</si>
  <si>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</si>
  <si>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</si>
  <si>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</si>
  <si>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</si>
  <si>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</si>
  <si>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</si>
  <si>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</si>
  <si>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</si>
  <si>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</si>
  <si>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</si>
  <si>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</si>
  <si>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</si>
  <si>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</si>
  <si>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</si>
  <si>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</si>
  <si>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</si>
  <si>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</si>
  <si>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</si>
  <si>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</si>
  <si>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</si>
  <si>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</si>
  <si>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</si>
  <si>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</si>
  <si>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</si>
  <si>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</si>
  <si>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</si>
  <si>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</si>
  <si>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</si>
  <si>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</si>
  <si>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</si>
  <si>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</si>
  <si>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</si>
  <si>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</si>
  <si>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</si>
  <si>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</si>
  <si>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</si>
  <si>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</si>
  <si>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</si>
  <si>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</si>
  <si>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</si>
  <si>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</si>
  <si>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</si>
  <si>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</si>
  <si>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</si>
  <si>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</si>
  <si>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</si>
  <si>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</si>
  <si>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</si>
  <si>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</si>
  <si>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</si>
  <si>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</si>
  <si>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</si>
  <si>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</si>
  <si>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</si>
  <si>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</si>
  <si>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</si>
  <si>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</si>
  <si>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</si>
  <si>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</si>
  <si>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</si>
  <si>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</si>
  <si>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</si>
  <si>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</si>
  <si>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</si>
  <si>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</si>
  <si>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</si>
  <si>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</si>
  <si>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</si>
  <si>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</si>
  <si>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</si>
  <si>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</si>
  <si>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</si>
  <si>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</si>
  <si>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</si>
  <si>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</si>
  <si>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</si>
  <si>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</si>
  <si>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</si>
  <si>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</si>
  <si>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</si>
  <si>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</si>
  <si>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</si>
  <si>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</si>
  <si>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</si>
  <si>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</si>
  <si>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</si>
  <si>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</si>
  <si>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</si>
  <si>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</si>
  <si>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</si>
  <si>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</si>
  <si>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</si>
  <si>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</si>
  <si>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</si>
  <si>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</si>
  <si>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</si>
  <si>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</si>
  <si>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</si>
  <si>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</si>
  <si>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</si>
  <si>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</si>
  <si>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</si>
  <si>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</si>
  <si>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</si>
  <si>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</si>
  <si>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</si>
  <si>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</si>
  <si>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</si>
  <si>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</si>
  <si>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</si>
  <si>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</si>
  <si>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</si>
  <si>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</si>
  <si>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</si>
  <si>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</si>
  <si>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</si>
  <si>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</si>
  <si>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</si>
  <si>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</si>
  <si>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</si>
  <si>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</si>
  <si>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</si>
  <si>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</si>
  <si>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</si>
  <si>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</si>
  <si>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</si>
  <si>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</si>
  <si>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</si>
  <si>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</si>
  <si>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</si>
  <si>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</si>
  <si>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</si>
  <si>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</si>
  <si>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</si>
  <si>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</si>
  <si>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</si>
  <si>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</si>
  <si>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</si>
  <si>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</si>
  <si>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</si>
  <si>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</si>
  <si>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</si>
  <si>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</si>
  <si>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</si>
  <si>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</si>
  <si>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</si>
  <si>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</si>
  <si>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</si>
  <si>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</si>
  <si>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</si>
  <si>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</si>
  <si>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</si>
  <si>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</si>
  <si>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</si>
  <si>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</si>
  <si>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</si>
  <si>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</si>
  <si>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</si>
  <si>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</si>
  <si>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</si>
  <si>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</si>
  <si>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</si>
  <si>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</si>
  <si>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</si>
  <si>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</si>
  <si>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</si>
  <si>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</si>
  <si>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</si>
  <si>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</si>
  <si>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</si>
  <si>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</si>
  <si>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</si>
  <si>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</si>
  <si>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</si>
  <si>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</si>
  <si>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</si>
  <si>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</si>
  <si>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</si>
  <si>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</si>
  <si>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</si>
  <si>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</si>
  <si>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</si>
  <si>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</si>
  <si>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</si>
  <si>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</si>
  <si>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</si>
  <si>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</si>
  <si>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</si>
  <si>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</si>
  <si>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</si>
  <si>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</si>
  <si>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</si>
  <si>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</si>
  <si>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</si>
  <si>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</si>
  <si>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</si>
  <si>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</si>
  <si>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</si>
  <si>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</si>
  <si>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</si>
  <si>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</si>
  <si>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</si>
  <si>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</si>
  <si>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</si>
  <si>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</si>
  <si>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</si>
  <si>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</si>
  <si>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</si>
  <si>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</si>
  <si>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</si>
  <si>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</si>
  <si>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</si>
  <si>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</si>
  <si>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</si>
  <si>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</si>
  <si>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</si>
  <si>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</si>
  <si>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</si>
  <si>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</si>
  <si>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</si>
  <si>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</si>
  <si>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</si>
  <si>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</si>
  <si>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</si>
  <si>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</si>
  <si>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</si>
  <si>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</si>
  <si>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</si>
  <si>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</si>
  <si>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</si>
  <si>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</si>
  <si>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</si>
  <si>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</si>
  <si>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</si>
  <si>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</si>
  <si>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</si>
  <si>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</si>
  <si>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</si>
  <si>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</si>
  <si>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</si>
  <si>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</si>
  <si>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</si>
  <si>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</si>
  <si>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</si>
  <si>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</si>
  <si>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</si>
  <si>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</si>
  <si>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</si>
  <si>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</si>
  <si>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</si>
  <si>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</si>
  <si>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</si>
  <si>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</si>
  <si>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</si>
  <si>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</si>
  <si>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</si>
  <si>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</si>
  <si>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</si>
  <si>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</si>
  <si>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</si>
  <si>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</si>
  <si>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</si>
  <si>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</si>
  <si>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</si>
  <si>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</si>
  <si>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</si>
  <si>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</si>
  <si>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</si>
  <si>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</si>
  <si>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</si>
  <si>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</si>
  <si>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</si>
  <si>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</si>
  <si>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</si>
  <si>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</si>
  <si>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</si>
  <si>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</si>
  <si>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</si>
  <si>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</si>
  <si>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</si>
  <si>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</si>
  <si>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</si>
  <si>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</si>
  <si>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</si>
  <si>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</si>
  <si>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</si>
  <si>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</si>
  <si>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</si>
  <si>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</si>
  <si>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</si>
  <si>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</si>
  <si>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</si>
  <si>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</si>
  <si>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</si>
  <si>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</si>
  <si>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</si>
  <si>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</si>
  <si>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</si>
  <si>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</si>
  <si>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</si>
  <si>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</si>
  <si>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</si>
  <si>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</si>
  <si>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</si>
  <si>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</si>
  <si>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</si>
  <si>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</si>
  <si>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</si>
  <si>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</si>
  <si>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</si>
  <si>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</si>
  <si>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</si>
  <si>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</si>
  <si>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</si>
  <si>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</si>
  <si>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</si>
  <si>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</si>
  <si>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</si>
  <si>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</si>
  <si>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</si>
  <si>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</si>
  <si>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</si>
  <si>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</si>
  <si>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</si>
  <si>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</si>
  <si>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</si>
  <si>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</si>
  <si>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</si>
  <si>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</si>
  <si>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</si>
  <si>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</si>
  <si>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</si>
  <si>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</si>
  <si>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</si>
  <si>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</si>
  <si>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</si>
  <si>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</si>
  <si>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</si>
  <si>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</si>
  <si>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</si>
  <si>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</si>
  <si>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</si>
  <si>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</si>
  <si>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</si>
  <si>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</si>
  <si>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</si>
  <si>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</si>
  <si>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</si>
  <si>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</si>
  <si>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</si>
  <si>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</si>
  <si>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</si>
  <si>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</si>
  <si>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</si>
  <si>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</si>
  <si>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</si>
  <si>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</si>
  <si>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</si>
  <si>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</si>
  <si>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</si>
  <si>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</si>
  <si>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</si>
  <si>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</si>
  <si>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</si>
  <si>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</si>
  <si>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</si>
  <si>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</si>
  <si>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</si>
  <si>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</si>
  <si>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</si>
  <si>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</si>
  <si>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</si>
  <si>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</si>
  <si>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</si>
  <si>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</si>
  <si>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</si>
  <si>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</si>
  <si>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</si>
  <si>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</si>
  <si>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</si>
  <si>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</si>
  <si>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</si>
  <si>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</si>
  <si>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</si>
  <si>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</si>
  <si>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</si>
  <si>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</si>
  <si>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</si>
  <si>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</si>
  <si>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</si>
  <si>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</si>
  <si>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</si>
  <si>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</si>
  <si>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</si>
  <si>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</si>
  <si>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</si>
  <si>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</si>
  <si>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</si>
  <si>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</si>
  <si>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</si>
  <si>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</si>
  <si>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</si>
  <si>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</si>
  <si>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</si>
  <si>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</si>
  <si>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</si>
  <si>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</si>
  <si>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</si>
  <si>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</si>
  <si>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</si>
  <si>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</si>
  <si>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</si>
  <si>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</si>
  <si>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</si>
  <si>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</si>
  <si>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</si>
  <si>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</si>
  <si>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</si>
  <si>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</si>
  <si>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</si>
  <si>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</si>
  <si>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</si>
  <si>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</si>
  <si>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</si>
  <si>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</si>
  <si>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</si>
  <si>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</si>
  <si>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</si>
  <si>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</si>
  <si>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</si>
  <si>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</si>
  <si>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</si>
  <si>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</si>
  <si>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</si>
  <si>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</si>
  <si>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</si>
  <si>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</si>
  <si>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</si>
  <si>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</si>
  <si>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</si>
  <si>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</si>
  <si>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</si>
  <si>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</si>
  <si>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</si>
  <si>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</si>
  <si>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</si>
  <si>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</si>
  <si>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</si>
  <si>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</si>
  <si>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</si>
  <si>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</si>
  <si>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</si>
  <si>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</si>
  <si>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</si>
  <si>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</si>
  <si>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</si>
  <si>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</si>
  <si>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</si>
  <si>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</si>
  <si>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</si>
  <si>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</si>
  <si>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</si>
  <si>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</si>
  <si>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</si>
  <si>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</si>
  <si>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</si>
  <si>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</si>
  <si>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</si>
  <si>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</si>
  <si>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</si>
  <si>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</si>
  <si>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</si>
  <si>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</si>
  <si>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</si>
  <si>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</si>
  <si>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</si>
  <si>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</si>
  <si>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</si>
  <si>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</si>
  <si>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</si>
  <si>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</si>
  <si>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</si>
  <si>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</si>
  <si>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</si>
  <si>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</si>
  <si>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</si>
  <si>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</si>
  <si>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</si>
  <si>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</si>
  <si>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</si>
  <si>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</si>
  <si>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</si>
  <si>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</si>
  <si>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</si>
  <si>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</si>
  <si>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</si>
  <si>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</si>
  <si>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</si>
  <si>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</si>
  <si>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</si>
  <si>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</si>
  <si>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</si>
  <si>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</si>
  <si>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</si>
  <si>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</si>
  <si>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</si>
  <si>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</si>
  <si>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</si>
  <si>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</si>
  <si>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</si>
  <si>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</si>
  <si>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</si>
  <si>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</si>
  <si>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</si>
  <si>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</si>
  <si>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</si>
  <si>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</si>
  <si>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</si>
  <si>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</si>
  <si>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</si>
  <si>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</si>
  <si>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</si>
  <si>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</si>
  <si>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</si>
  <si>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</si>
  <si>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</si>
  <si>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</si>
  <si>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</si>
  <si>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</si>
  <si>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</si>
  <si>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</si>
  <si>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</si>
  <si>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</si>
  <si>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</si>
  <si>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</si>
  <si>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</si>
  <si>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</si>
  <si>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</si>
  <si>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</si>
  <si>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</si>
  <si>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</si>
  <si>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</si>
  <si>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</si>
  <si>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</si>
  <si>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</si>
  <si>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</si>
  <si>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</si>
  <si>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</si>
  <si>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</si>
  <si>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</si>
  <si>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</si>
  <si>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</si>
  <si>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</si>
  <si>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</si>
  <si>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</si>
  <si>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</si>
  <si>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</si>
  <si>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</si>
  <si>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</si>
  <si>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</si>
  <si>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</si>
  <si>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</si>
  <si>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</si>
  <si>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</si>
  <si>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</si>
  <si>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</si>
  <si>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</si>
  <si>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</si>
  <si>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</si>
  <si>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</si>
  <si>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</si>
  <si>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</si>
  <si>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</si>
  <si>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</si>
  <si>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</si>
  <si>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</si>
  <si>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</si>
  <si>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</si>
  <si>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</si>
  <si>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</si>
  <si>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</si>
  <si>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</si>
  <si>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</si>
  <si>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</si>
  <si>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</si>
  <si>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</si>
  <si>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</si>
  <si>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</si>
  <si>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</si>
  <si>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</si>
  <si>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</si>
  <si>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</si>
  <si>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</si>
  <si>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</si>
  <si>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</si>
  <si>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</si>
  <si>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</si>
  <si>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</si>
  <si>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</si>
  <si>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</si>
  <si>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</si>
  <si>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</si>
  <si>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</si>
  <si>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</si>
  <si>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</si>
  <si>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</si>
  <si>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</si>
  <si>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</si>
  <si>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</si>
  <si>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</si>
  <si>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</si>
  <si>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</si>
  <si>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</si>
  <si>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</si>
  <si>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</si>
  <si>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</si>
  <si>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</si>
  <si>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</si>
  <si>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</si>
  <si>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</si>
  <si>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</si>
  <si>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</si>
  <si>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</si>
  <si>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</si>
  <si>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</si>
  <si>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</si>
  <si>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</si>
  <si>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</si>
  <si>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</si>
  <si>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</si>
  <si>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</si>
  <si>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</si>
  <si>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</si>
  <si>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</si>
  <si>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</si>
  <si>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</si>
  <si>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</si>
  <si>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</si>
  <si>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</si>
  <si>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</si>
  <si>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</si>
  <si>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</si>
  <si>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</si>
  <si>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</si>
  <si>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</si>
  <si>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</si>
  <si>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</si>
  <si>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</si>
  <si>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</si>
  <si>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</si>
  <si>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</si>
  <si>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</si>
  <si>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</si>
  <si>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</si>
  <si>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</si>
  <si>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</si>
  <si>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</si>
  <si>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</si>
  <si>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</si>
  <si>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</si>
  <si>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</si>
  <si>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</si>
  <si>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</si>
  <si>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</si>
  <si>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</si>
  <si>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</si>
  <si>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</si>
  <si>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</si>
  <si>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</si>
  <si>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</si>
  <si>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</si>
  <si>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</si>
  <si>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</si>
  <si>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</si>
  <si>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</si>
  <si>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</si>
  <si>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</si>
  <si>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</si>
  <si>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</si>
  <si>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</si>
  <si>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</si>
  <si>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</si>
  <si>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</si>
  <si>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</si>
  <si>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</si>
  <si>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</si>
  <si>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</si>
  <si>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</si>
  <si>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</si>
  <si>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</si>
  <si>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</si>
  <si>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</si>
  <si>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</si>
  <si>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</si>
  <si>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</si>
  <si>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</si>
  <si>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</si>
  <si>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</si>
  <si>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</si>
  <si>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</si>
  <si>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</si>
  <si>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</si>
  <si>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</si>
  <si>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</si>
  <si>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</si>
  <si>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</si>
  <si>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</si>
  <si>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</si>
  <si>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</si>
  <si>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</si>
  <si>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</si>
  <si>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</si>
  <si>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</si>
  <si>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</si>
  <si>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</si>
  <si>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</si>
  <si>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</si>
  <si>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</si>
  <si>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</si>
  <si>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</si>
  <si>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</si>
  <si>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</si>
  <si>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</si>
  <si>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</si>
  <si>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</si>
  <si>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</si>
  <si>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</si>
  <si>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</si>
  <si>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</si>
  <si>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</si>
  <si>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</si>
  <si>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</si>
  <si>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</si>
  <si>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</si>
  <si>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</si>
  <si>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</si>
  <si>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</si>
  <si>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</si>
  <si>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</si>
  <si>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</si>
  <si>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</si>
  <si>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</si>
  <si>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</si>
  <si>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</si>
  <si>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</si>
  <si>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</si>
  <si>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</si>
  <si>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</si>
  <si>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</si>
  <si>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</si>
  <si>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</si>
  <si>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</si>
  <si>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</si>
  <si>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</si>
  <si>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</si>
  <si>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</si>
  <si>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</si>
  <si>
    <t>H000004407</t>
  </si>
  <si>
    <t>H00000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</si>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</sst>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3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23" xfId="79" applyNumberFormat="1" applyFont="1" applyBorder="1" applyAlignment="1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62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62"/>
  <sheetViews>
    <sheetView tabSelected="1" topLeftCell="A1324" workbookViewId="0">
      <selection activeCell="E1366" sqref="E1366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62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25">
      <c r="A1327" s="49">
        <f t="shared" si="21"/>
        <v>1325</v>
      </c>
      <c r="B1327" s="36" t="s">
        <v>3295</v>
      </c>
      <c r="C1327" s="9" t="s">
        <v>6667</v>
      </c>
      <c r="D1327" s="9" t="s">
        <v>6716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25">
      <c r="A1328" s="49">
        <f t="shared" si="21"/>
        <v>1326</v>
      </c>
      <c r="B1328" s="36" t="s">
        <v>3295</v>
      </c>
      <c r="C1328" s="36" t="s">
        <v>6667</v>
      </c>
      <c r="D1328" s="9" t="s">
        <v>6725</v>
      </c>
      <c r="E1328" s="9" t="s">
        <v>6671</v>
      </c>
      <c r="F1328" s="9" t="s">
        <v>6716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25">
      <c r="A1329" s="49">
        <f t="shared" si="21"/>
        <v>1327</v>
      </c>
      <c r="B1329" s="36" t="s">
        <v>3295</v>
      </c>
      <c r="C1329" s="36" t="s">
        <v>6667</v>
      </c>
      <c r="D1329" s="9" t="s">
        <v>6718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25">
      <c r="A1330" s="49">
        <f t="shared" si="21"/>
        <v>1328</v>
      </c>
      <c r="B1330" s="36" t="s">
        <v>3295</v>
      </c>
      <c r="C1330" s="36" t="s">
        <v>6667</v>
      </c>
      <c r="D1330" s="9" t="s">
        <v>6726</v>
      </c>
      <c r="E1330" s="9" t="s">
        <v>6675</v>
      </c>
      <c r="F1330" s="9" t="s">
        <v>6718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25">
      <c r="A1331" s="49">
        <f t="shared" si="21"/>
        <v>1329</v>
      </c>
      <c r="B1331" s="36" t="s">
        <v>3295</v>
      </c>
      <c r="C1331" s="36" t="s">
        <v>6667</v>
      </c>
      <c r="D1331" s="9" t="s">
        <v>6719</v>
      </c>
      <c r="E1331" s="9" t="s">
        <v>6677</v>
      </c>
      <c r="F1331" s="9" t="s">
        <v>6718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25">
      <c r="A1332" s="49">
        <f t="shared" si="21"/>
        <v>1330</v>
      </c>
      <c r="B1332" s="36" t="s">
        <v>3295</v>
      </c>
      <c r="C1332" s="36" t="s">
        <v>6667</v>
      </c>
      <c r="D1332" s="9" t="s">
        <v>6727</v>
      </c>
      <c r="E1332" s="9" t="s">
        <v>6679</v>
      </c>
      <c r="F1332" s="9" t="s">
        <v>6719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25">
      <c r="A1333" s="49">
        <f t="shared" si="21"/>
        <v>1331</v>
      </c>
      <c r="B1333" s="36" t="s">
        <v>3295</v>
      </c>
      <c r="C1333" s="36" t="s">
        <v>6667</v>
      </c>
      <c r="D1333" s="9" t="s">
        <v>6728</v>
      </c>
      <c r="E1333" s="9" t="s">
        <v>6681</v>
      </c>
      <c r="F1333" s="9" t="s">
        <v>6719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25">
      <c r="A1334" s="49">
        <f t="shared" si="21"/>
        <v>1332</v>
      </c>
      <c r="B1334" s="36" t="s">
        <v>3295</v>
      </c>
      <c r="C1334" s="36" t="s">
        <v>6667</v>
      </c>
      <c r="D1334" s="9" t="s">
        <v>6720</v>
      </c>
      <c r="E1334" s="9" t="s">
        <v>6683</v>
      </c>
      <c r="F1334" s="9" t="s">
        <v>6719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25">
      <c r="A1335" s="49">
        <f t="shared" si="21"/>
        <v>1333</v>
      </c>
      <c r="B1335" s="36" t="s">
        <v>3295</v>
      </c>
      <c r="C1335" s="36" t="s">
        <v>6667</v>
      </c>
      <c r="D1335" s="9" t="s">
        <v>6729</v>
      </c>
      <c r="E1335" s="9" t="s">
        <v>6685</v>
      </c>
      <c r="F1335" s="9" t="s">
        <v>6720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25">
      <c r="A1336" s="49">
        <f t="shared" si="21"/>
        <v>1334</v>
      </c>
      <c r="B1336" s="36" t="s">
        <v>3295</v>
      </c>
      <c r="C1336" s="36" t="s">
        <v>6667</v>
      </c>
      <c r="D1336" s="9" t="s">
        <v>6730</v>
      </c>
      <c r="E1336" s="9" t="s">
        <v>6687</v>
      </c>
      <c r="F1336" s="9" t="s">
        <v>6720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25">
      <c r="A1337" s="49">
        <f t="shared" si="21"/>
        <v>1335</v>
      </c>
      <c r="B1337" s="36" t="s">
        <v>3295</v>
      </c>
      <c r="C1337" s="36" t="s">
        <v>6667</v>
      </c>
      <c r="D1337" s="9" t="s">
        <v>6721</v>
      </c>
      <c r="E1337" s="9" t="s">
        <v>6689</v>
      </c>
      <c r="F1337" s="9" t="s">
        <v>6719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25">
      <c r="A1338" s="49">
        <f t="shared" si="21"/>
        <v>1336</v>
      </c>
      <c r="B1338" s="36" t="s">
        <v>3295</v>
      </c>
      <c r="C1338" s="36" t="s">
        <v>6667</v>
      </c>
      <c r="D1338" s="9" t="s">
        <v>6731</v>
      </c>
      <c r="E1338" s="9" t="s">
        <v>6691</v>
      </c>
      <c r="F1338" s="9" t="s">
        <v>6721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25">
      <c r="A1339" s="49">
        <f t="shared" si="21"/>
        <v>1337</v>
      </c>
      <c r="B1339" s="36" t="s">
        <v>3295</v>
      </c>
      <c r="C1339" s="36" t="s">
        <v>6667</v>
      </c>
      <c r="D1339" s="9" t="s">
        <v>6732</v>
      </c>
      <c r="E1339" s="9" t="s">
        <v>6693</v>
      </c>
      <c r="F1339" s="9" t="s">
        <v>6721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25">
      <c r="A1340" s="49">
        <f t="shared" si="21"/>
        <v>1338</v>
      </c>
      <c r="B1340" s="36" t="s">
        <v>3295</v>
      </c>
      <c r="C1340" s="36" t="s">
        <v>6667</v>
      </c>
      <c r="D1340" s="9" t="s">
        <v>6733</v>
      </c>
      <c r="E1340" s="9" t="s">
        <v>6695</v>
      </c>
      <c r="F1340" s="9" t="s">
        <v>6721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25">
      <c r="A1341" s="49">
        <f t="shared" si="21"/>
        <v>1339</v>
      </c>
      <c r="B1341" s="36" t="s">
        <v>3295</v>
      </c>
      <c r="C1341" s="36" t="s">
        <v>6667</v>
      </c>
      <c r="D1341" s="9" t="s">
        <v>6734</v>
      </c>
      <c r="E1341" s="9" t="s">
        <v>6697</v>
      </c>
      <c r="F1341" s="9" t="s">
        <v>6721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25">
      <c r="A1342" s="49">
        <f t="shared" si="21"/>
        <v>1340</v>
      </c>
      <c r="B1342" s="36" t="s">
        <v>3295</v>
      </c>
      <c r="C1342" s="36" t="s">
        <v>6667</v>
      </c>
      <c r="D1342" s="9" t="s">
        <v>6735</v>
      </c>
      <c r="E1342" s="9" t="s">
        <v>6699</v>
      </c>
      <c r="F1342" s="9" t="s">
        <v>6721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25">
      <c r="A1343" s="49">
        <f t="shared" si="21"/>
        <v>1341</v>
      </c>
      <c r="B1343" s="36" t="s">
        <v>3295</v>
      </c>
      <c r="C1343" s="36" t="s">
        <v>6667</v>
      </c>
      <c r="D1343" s="9" t="s">
        <v>6722</v>
      </c>
      <c r="E1343" s="9" t="s">
        <v>6701</v>
      </c>
      <c r="F1343" s="9" t="s">
        <v>6718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25">
      <c r="A1344" s="49">
        <f t="shared" si="21"/>
        <v>1342</v>
      </c>
      <c r="B1344" s="36" t="s">
        <v>3295</v>
      </c>
      <c r="C1344" s="36" t="s">
        <v>6667</v>
      </c>
      <c r="D1344" s="9" t="s">
        <v>6736</v>
      </c>
      <c r="E1344" s="9" t="s">
        <v>6703</v>
      </c>
      <c r="F1344" s="9" t="s">
        <v>6722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25">
      <c r="A1345" s="49">
        <f t="shared" si="21"/>
        <v>1343</v>
      </c>
      <c r="B1345" s="36" t="s">
        <v>3295</v>
      </c>
      <c r="C1345" s="36" t="s">
        <v>6667</v>
      </c>
      <c r="D1345" s="9" t="s">
        <v>6723</v>
      </c>
      <c r="E1345" s="9" t="s">
        <v>6705</v>
      </c>
      <c r="F1345" s="9" t="s">
        <v>6722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25">
      <c r="A1346" s="49">
        <f t="shared" si="21"/>
        <v>1344</v>
      </c>
      <c r="B1346" s="36" t="s">
        <v>3295</v>
      </c>
      <c r="C1346" s="36" t="s">
        <v>6667</v>
      </c>
      <c r="D1346" s="9" t="s">
        <v>6737</v>
      </c>
      <c r="E1346" s="9" t="s">
        <v>6707</v>
      </c>
      <c r="F1346" s="9" t="s">
        <v>6723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25">
      <c r="A1347" s="49">
        <f t="shared" si="21"/>
        <v>1345</v>
      </c>
      <c r="B1347" s="36" t="s">
        <v>3295</v>
      </c>
      <c r="C1347" s="36" t="s">
        <v>6667</v>
      </c>
      <c r="D1347" s="9" t="s">
        <v>6738</v>
      </c>
      <c r="E1347" s="9" t="s">
        <v>6709</v>
      </c>
      <c r="F1347" s="9" t="s">
        <v>6723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25">
      <c r="A1348" s="49">
        <f t="shared" si="21"/>
        <v>1346</v>
      </c>
      <c r="B1348" s="36" t="s">
        <v>3295</v>
      </c>
      <c r="C1348" s="36" t="s">
        <v>6667</v>
      </c>
      <c r="D1348" s="9" t="s">
        <v>6724</v>
      </c>
      <c r="E1348" s="9" t="s">
        <v>6711</v>
      </c>
      <c r="F1348" s="9" t="s">
        <v>6722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25">
      <c r="A1349" s="49">
        <f t="shared" si="21"/>
        <v>1347</v>
      </c>
      <c r="B1349" s="36" t="s">
        <v>3295</v>
      </c>
      <c r="C1349" s="36" t="s">
        <v>6667</v>
      </c>
      <c r="D1349" s="9" t="s">
        <v>6739</v>
      </c>
      <c r="E1349" s="9" t="s">
        <v>6713</v>
      </c>
      <c r="F1349" s="9" t="s">
        <v>6724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25">
      <c r="A1350" s="49">
        <f t="shared" si="21"/>
        <v>1348</v>
      </c>
      <c r="B1350" s="36" t="s">
        <v>3295</v>
      </c>
      <c r="C1350" s="36" t="s">
        <v>6667</v>
      </c>
      <c r="D1350" s="9" t="s">
        <v>6740</v>
      </c>
      <c r="E1350" s="9" t="s">
        <v>6715</v>
      </c>
      <c r="F1350" s="9" t="s">
        <v>6724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  <row r="1351" spans="1:13" x14ac:dyDescent="0.25">
      <c r="A1351" s="49">
        <f t="shared" si="21"/>
        <v>1349</v>
      </c>
      <c r="B1351" s="36" t="s">
        <v>3295</v>
      </c>
      <c r="C1351" s="9" t="s">
        <v>6743</v>
      </c>
      <c r="D1351" s="9" t="s">
        <v>6744</v>
      </c>
      <c r="E1351" s="9" t="s">
        <v>6747</v>
      </c>
      <c r="F1351" s="9" t="s">
        <v>6741</v>
      </c>
      <c r="G1351" s="36" t="s">
        <v>16</v>
      </c>
      <c r="H1351" s="36" t="str">
        <f>IFERROR(VLOOKUP(Table2[[#This Row], [Ticket]],Okey!A:B,2,0),"")</f>
        <v/>
      </c>
      <c r="J1351" s="36" t="str">
        <f>VLOOKUP(Table2[[#This Row], [Author]],People!A:B,2,0)</f>
        <v>MGF</v>
      </c>
      <c r="M1351" s="9" t="s">
        <v>4782</v>
      </c>
    </row>
    <row r="1352" spans="1:13" x14ac:dyDescent="0.25">
      <c r="A1352" s="49">
        <f t="shared" si="21"/>
        <v>1350</v>
      </c>
      <c r="B1352" s="36" t="s">
        <v>3295</v>
      </c>
      <c r="C1352" s="9" t="s">
        <v>6743</v>
      </c>
      <c r="D1352" s="9" t="s">
        <v>6745</v>
      </c>
      <c r="E1352" s="9" t="s">
        <v>6748</v>
      </c>
      <c r="F1352" s="9" t="s">
        <v>6741</v>
      </c>
      <c r="G1352" s="36" t="s">
        <v>16</v>
      </c>
      <c r="H1352" s="36" t="str">
        <f>IFERROR(VLOOKUP(Table2[[#This Row], [Ticket]],Okey!A:B,2,0),"")</f>
        <v/>
      </c>
      <c r="J1352" s="36" t="str">
        <f>VLOOKUP(Table2[[#This Row], [Author]],People!A:B,2,0)</f>
        <v>MGF</v>
      </c>
      <c r="M1352" s="9" t="s">
        <v>4782</v>
      </c>
    </row>
    <row r="1353" spans="1:13" x14ac:dyDescent="0.25">
      <c r="A1353" s="49">
        <f t="shared" si="21"/>
        <v>1351</v>
      </c>
      <c r="B1353" s="36" t="s">
        <v>3295</v>
      </c>
      <c r="C1353" s="9" t="s">
        <v>6743</v>
      </c>
      <c r="D1353" s="9" t="s">
        <v>6746</v>
      </c>
      <c r="E1353" s="9" t="s">
        <v>6749</v>
      </c>
      <c r="F1353" s="9" t="s">
        <v>6742</v>
      </c>
      <c r="G1353" s="36" t="s">
        <v>16</v>
      </c>
      <c r="H1353" s="36" t="str">
        <f>IFERROR(VLOOKUP(Table2[[#This Row], [Ticket]],Okey!A:B,2,0),"")</f>
        <v/>
      </c>
      <c r="J1353" s="36" t="str">
        <f>VLOOKUP(Table2[[#This Row], [Author]],People!A:B,2,0)</f>
        <v>MGF</v>
      </c>
      <c r="M1353" s="9" t="s">
        <v>4782</v>
      </c>
    </row>
    <row r="1354" spans="1:13" x14ac:dyDescent="0.25">
      <c r="A1354" s="49">
        <f t="shared" si="21"/>
        <v>1352</v>
      </c>
      <c r="B1354" s="36" t="s">
        <v>3295</v>
      </c>
      <c r="C1354" s="9" t="s">
        <v>6750</v>
      </c>
      <c r="D1354" s="9" t="s">
        <v>6719</v>
      </c>
      <c r="F1354" s="9" t="s">
        <v>6716</v>
      </c>
      <c r="G1354" s="9" t="s">
        <v>13</v>
      </c>
      <c r="H1354" s="36" t="str">
        <f>IFERROR(VLOOKUP(Table2[[#This Row], [Ticket]],Okey!A:B,2,0),"")</f>
        <v/>
      </c>
      <c r="J1354" s="36" t="str">
        <f>VLOOKUP(Table2[[#This Row], [Author]],People!A:B,2,0)</f>
        <v>HC</v>
      </c>
      <c r="M1354" s="9" t="s">
        <v>1613</v>
      </c>
    </row>
    <row r="1355" spans="1:13" x14ac:dyDescent="0.25">
      <c r="A1355" s="49">
        <f t="shared" si="21"/>
        <v>1353</v>
      </c>
      <c r="B1355" s="36" t="s">
        <v>3295</v>
      </c>
      <c r="C1355" s="9" t="s">
        <v>6758</v>
      </c>
      <c r="D1355" s="55" t="s">
        <v>6759</v>
      </c>
      <c r="E1355" s="9" t="s">
        <v>6751</v>
      </c>
      <c r="F1355" s="9" t="s">
        <v>5278</v>
      </c>
      <c r="G1355" s="9" t="s">
        <v>14</v>
      </c>
      <c r="H1355" s="36" t="str">
        <f>IFERROR(VLOOKUP(Table2[[#This Row], [Ticket]],Okey!A:B,2,0),"")</f>
        <v/>
      </c>
      <c r="J1355" s="36" t="str">
        <f>VLOOKUP(Table2[[#This Row],[Author]],People!A:B,2,0)</f>
        <v>LS</v>
      </c>
      <c r="M1355" s="9" t="s">
        <v>6356</v>
      </c>
    </row>
    <row r="1356" spans="1:13" x14ac:dyDescent="0.25">
      <c r="A1356" s="49">
        <f t="shared" si="21"/>
        <v>1354</v>
      </c>
      <c r="B1356" s="36" t="s">
        <v>3295</v>
      </c>
      <c r="C1356" s="36" t="s">
        <v>6758</v>
      </c>
      <c r="D1356" s="9" t="s">
        <v>6754</v>
      </c>
      <c r="E1356" s="9" t="s">
        <v>6751</v>
      </c>
      <c r="F1356" s="55" t="s">
        <v>6759</v>
      </c>
      <c r="G1356" s="36" t="s">
        <v>14</v>
      </c>
      <c r="H1356" s="36" t="str">
        <f>IFERROR(VLOOKUP(Table2[[#This Row], [Ticket]],Okey!A:B,2,0),"")</f>
        <v/>
      </c>
      <c r="J1356" s="36" t="str">
        <f>VLOOKUP(Table2[[#This Row], [Author]],People!A:B,2,0)</f>
        <v>LS</v>
      </c>
      <c r="M1356" s="36" t="s">
        <v>6356</v>
      </c>
    </row>
    <row r="1357" spans="1:13" x14ac:dyDescent="0.25">
      <c r="A1357" s="49">
        <f t="shared" si="21"/>
        <v>1355</v>
      </c>
      <c r="B1357" s="36" t="s">
        <v>3295</v>
      </c>
      <c r="C1357" s="36" t="s">
        <v>6758</v>
      </c>
      <c r="D1357" s="55" t="s">
        <v>6760</v>
      </c>
      <c r="E1357" s="9" t="s">
        <v>6752</v>
      </c>
      <c r="F1357" s="9" t="s">
        <v>5278</v>
      </c>
      <c r="G1357" s="36" t="s">
        <v>14</v>
      </c>
      <c r="H1357" s="36" t="str">
        <f>IFERROR(VLOOKUP(Table2[[#This Row], [Ticket]],Okey!A:B,2,0),"")</f>
        <v/>
      </c>
      <c r="J1357" s="36" t="str">
        <f>VLOOKUP(Table2[[#This Row], [Author]],People!A:B,2,0)</f>
        <v>LS</v>
      </c>
      <c r="M1357" s="36" t="s">
        <v>6356</v>
      </c>
    </row>
    <row r="1358" spans="1:13" x14ac:dyDescent="0.25">
      <c r="A1358" s="49">
        <f t="shared" si="21"/>
        <v>1356</v>
      </c>
      <c r="B1358" s="36" t="s">
        <v>3295</v>
      </c>
      <c r="C1358" s="36" t="s">
        <v>6758</v>
      </c>
      <c r="D1358" s="9" t="s">
        <v>6755</v>
      </c>
      <c r="E1358" s="9" t="s">
        <v>6752</v>
      </c>
      <c r="F1358" s="55" t="s">
        <v>6760</v>
      </c>
      <c r="G1358" s="36" t="s">
        <v>14</v>
      </c>
      <c r="H1358" s="36" t="str">
        <f>IFERROR(VLOOKUP(Table2[[#This Row], [Ticket]],Okey!A:B,2,0),"")</f>
        <v/>
      </c>
      <c r="J1358" s="36" t="str">
        <f>VLOOKUP(Table2[[#This Row], [Author]],People!A:B,2,0)</f>
        <v>LS</v>
      </c>
      <c r="M1358" s="36" t="s">
        <v>6356</v>
      </c>
    </row>
    <row r="1359" spans="1:13" x14ac:dyDescent="0.25">
      <c r="A1359" s="49">
        <f t="shared" si="21"/>
        <v>1357</v>
      </c>
      <c r="B1359" s="36" t="s">
        <v>3295</v>
      </c>
      <c r="C1359" s="36" t="s">
        <v>6758</v>
      </c>
      <c r="D1359" s="55" t="s">
        <v>6761</v>
      </c>
      <c r="E1359" s="9" t="s">
        <v>6753</v>
      </c>
      <c r="F1359" s="9" t="s">
        <v>5278</v>
      </c>
      <c r="G1359" s="36" t="s">
        <v>14</v>
      </c>
      <c r="H1359" s="36" t="str">
        <f>IFERROR(VLOOKUP(Table2[[#This Row], [Ticket]],Okey!A:B,2,0),"")</f>
        <v/>
      </c>
      <c r="J1359" s="36" t="str">
        <f>VLOOKUP(Table2[[#This Row], [Author]],People!A:B,2,0)</f>
        <v>LS</v>
      </c>
      <c r="M1359" s="36" t="s">
        <v>6356</v>
      </c>
    </row>
    <row r="1360" spans="1:13" x14ac:dyDescent="0.25">
      <c r="A1360" s="49">
        <f t="shared" si="21"/>
        <v>1358</v>
      </c>
      <c r="B1360" s="36" t="s">
        <v>3295</v>
      </c>
      <c r="C1360" s="36" t="s">
        <v>6758</v>
      </c>
      <c r="D1360" s="9" t="s">
        <v>6756</v>
      </c>
      <c r="E1360" s="9" t="s">
        <v>6753</v>
      </c>
      <c r="F1360" s="55" t="s">
        <v>6761</v>
      </c>
      <c r="G1360" s="36" t="s">
        <v>14</v>
      </c>
      <c r="H1360" s="36" t="str">
        <f>IFERROR(VLOOKUP(Table2[[#This Row], [Ticket]],Okey!A:B,2,0),"")</f>
        <v/>
      </c>
      <c r="J1360" s="36" t="str">
        <f>VLOOKUP(Table2[[#This Row], [Author]],People!A:B,2,0)</f>
        <v>LS</v>
      </c>
      <c r="M1360" s="36" t="s">
        <v>6356</v>
      </c>
    </row>
    <row r="1361" spans="1:13" x14ac:dyDescent="0.25">
      <c r="A1361" s="49">
        <f t="shared" si="21"/>
        <v>1359</v>
      </c>
      <c r="B1361" s="36" t="s">
        <v>3295</v>
      </c>
      <c r="C1361" s="36" t="s">
        <v>6758</v>
      </c>
      <c r="D1361" s="9" t="s">
        <v>6655</v>
      </c>
      <c r="E1361" s="9" t="s">
        <v>6757</v>
      </c>
      <c r="G1361" s="9" t="s">
        <v>15</v>
      </c>
      <c r="H1361" s="36" t="str">
        <f>IFERROR(VLOOKUP(Table2[[#This Row], [Ticket]],Okey!A:B,2,0),"")</f>
        <v/>
      </c>
      <c r="J1361" s="36" t="str">
        <f>VLOOKUP(Table2[[#This Row], [Author]],People!A:B,2,0)</f>
        <v>LS</v>
      </c>
      <c r="M1361" s="36" t="s">
        <v>6356</v>
      </c>
    </row>
    <row r="1362" spans="1:13" x14ac:dyDescent="0.25">
      <c r="A1362" s="49">
        <f t="shared" si="21"/>
        <v>1360</v>
      </c>
      <c r="B1362" s="36" t="s">
        <v>3295</v>
      </c>
      <c r="C1362" s="36" t="s">
        <v>6758</v>
      </c>
      <c r="D1362" s="9" t="s">
        <v>6652</v>
      </c>
      <c r="E1362" s="9" t="s">
        <v>6757</v>
      </c>
      <c r="G1362" s="36" t="s">
        <v>15</v>
      </c>
      <c r="H1362" s="36" t="str">
        <f>IFERROR(VLOOKUP(Table2[[#This Row], [Ticket]],Okey!A:B,2,0),"")</f>
        <v/>
      </c>
      <c r="J1362" s="36" t="str">
        <f>VLOOKUP(Table2[[#This Row], [Author]],People!A:B,2,0)</f>
        <v>LS</v>
      </c>
      <c r="M1362" s="36" t="s">
        <v>6356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D19C9-58C0-4783-A9D7-EAD4A5781678}">
  <dimension ref="A1:G25"/>
  <sheetViews>
    <sheetView workbookViewId="0">
      <selection activeCell="V36" sqref="V36"/>
    </sheetView>
  </sheetViews>
  <sheetFormatPr defaultRowHeight="15" x14ac:dyDescent="0.25"/>
  <cols>
    <col min="1" max="1" width="11.28515625" bestFit="1" customWidth="1"/>
    <col min="2" max="2" width="36.5703125" bestFit="1" customWidth="1"/>
  </cols>
  <sheetData>
    <row r="1" spans="1:7" x14ac:dyDescent="0.25">
      <c r="A1" s="55" t="s">
        <v>6759</v>
      </c>
    </row>
    <row r="8" spans="1:7" x14ac:dyDescent="0.25">
      <c r="A8">
        <v>1000</v>
      </c>
    </row>
    <row r="9" spans="1:7" x14ac:dyDescent="0.25">
      <c r="A9" t="s">
        <v>6759</v>
      </c>
      <c r="B9" t="s">
        <v>6751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6754</v>
      </c>
      <c r="B10" t="s">
        <v>6751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6760</v>
      </c>
      <c r="B11" t="s">
        <v>6752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6755</v>
      </c>
      <c r="B12" t="s">
        <v>6752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6761</v>
      </c>
      <c r="B13" t="s">
        <v>6753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6756</v>
      </c>
      <c r="B14" t="s">
        <v>6753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6655</v>
      </c>
      <c r="B15" t="s">
        <v>6757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6652</v>
      </c>
      <c r="B16" t="s">
        <v>6757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9" spans="1:2" x14ac:dyDescent="0.25">
      <c r="A19">
        <v>1000</v>
      </c>
    </row>
    <row r="20" spans="1:2" x14ac:dyDescent="0.25">
      <c r="A20" s="55" t="s">
        <v>5278</v>
      </c>
      <c r="B20" s="55" t="s">
        <v>6759</v>
      </c>
    </row>
    <row r="21" spans="1:2" x14ac:dyDescent="0.25">
      <c r="A21" s="55" t="s">
        <v>6759</v>
      </c>
      <c r="B21" s="55" t="s">
        <v>6754</v>
      </c>
    </row>
    <row r="22" spans="1:2" x14ac:dyDescent="0.25">
      <c r="A22" s="55" t="s">
        <v>5278</v>
      </c>
      <c r="B22" s="55" t="s">
        <v>6760</v>
      </c>
    </row>
    <row r="23" spans="1:2" x14ac:dyDescent="0.25">
      <c r="A23" s="55" t="s">
        <v>6760</v>
      </c>
      <c r="B23" s="55" t="s">
        <v>6755</v>
      </c>
    </row>
    <row r="24" spans="1:2" x14ac:dyDescent="0.25">
      <c r="A24" s="55" t="s">
        <v>5278</v>
      </c>
      <c r="B24" s="55" t="s">
        <v>6761</v>
      </c>
    </row>
    <row r="25" spans="1:2" x14ac:dyDescent="0.25">
      <c r="A25" s="55" t="s">
        <v>6761</v>
      </c>
      <c r="B25" s="55" t="s">
        <v>6756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498-6F40-4BDC-A366-501BDB8269F1}">
  <dimension ref="A1:G54"/>
  <sheetViews>
    <sheetView topLeftCell="A16" workbookViewId="0">
      <selection activeCell="A30" sqref="A30:B54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6716</v>
      </c>
      <c r="B2" t="s">
        <v>6669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6725</v>
      </c>
      <c r="B3" t="s">
        <v>6671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6718</v>
      </c>
      <c r="B4" t="s">
        <v>6673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6726</v>
      </c>
      <c r="B5" t="s">
        <v>6675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6719</v>
      </c>
      <c r="B6" t="s">
        <v>6677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6727</v>
      </c>
      <c r="B7" t="s">
        <v>6679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6728</v>
      </c>
      <c r="B8" t="s">
        <v>6681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6720</v>
      </c>
      <c r="B9" t="s">
        <v>6683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6729</v>
      </c>
      <c r="B10" t="s">
        <v>6685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6730</v>
      </c>
      <c r="B11" t="s">
        <v>6687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6721</v>
      </c>
      <c r="B12" t="s">
        <v>6689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6731</v>
      </c>
      <c r="B13" t="s">
        <v>6691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6732</v>
      </c>
      <c r="B14" t="s">
        <v>6693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6733</v>
      </c>
      <c r="B15" t="s">
        <v>6695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6734</v>
      </c>
      <c r="B16" t="s">
        <v>6697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6735</v>
      </c>
      <c r="B17" t="s">
        <v>6699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6722</v>
      </c>
      <c r="B18" t="s">
        <v>6701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6736</v>
      </c>
      <c r="B19" t="s">
        <v>6703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6723</v>
      </c>
      <c r="B20" t="s">
        <v>6705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6737</v>
      </c>
      <c r="B21" t="s">
        <v>6707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6738</v>
      </c>
      <c r="B22" t="s">
        <v>6709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6724</v>
      </c>
      <c r="B23" t="s">
        <v>6711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6739</v>
      </c>
      <c r="B24" t="s">
        <v>6713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6740</v>
      </c>
      <c r="B25" t="s">
        <v>6715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6744</v>
      </c>
      <c r="B26" t="s">
        <v>6747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6745</v>
      </c>
      <c r="B27" t="s">
        <v>6748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6746</v>
      </c>
      <c r="B28" t="s">
        <v>6749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30" spans="1:7" x14ac:dyDescent="0.25">
      <c r="A30">
        <v>1000</v>
      </c>
    </row>
    <row r="31" spans="1:7" x14ac:dyDescent="0.25">
      <c r="A31" t="s">
        <v>6114</v>
      </c>
      <c r="B31" t="s">
        <v>6716</v>
      </c>
    </row>
    <row r="32" spans="1:7" x14ac:dyDescent="0.25">
      <c r="A32" t="s">
        <v>6716</v>
      </c>
      <c r="B32" t="s">
        <v>6725</v>
      </c>
    </row>
    <row r="33" spans="1:2" x14ac:dyDescent="0.25">
      <c r="A33" t="s">
        <v>6114</v>
      </c>
      <c r="B33" t="s">
        <v>6718</v>
      </c>
    </row>
    <row r="34" spans="1:2" x14ac:dyDescent="0.25">
      <c r="A34" t="s">
        <v>6718</v>
      </c>
      <c r="B34" t="s">
        <v>6726</v>
      </c>
    </row>
    <row r="35" spans="1:2" x14ac:dyDescent="0.25">
      <c r="A35" t="s">
        <v>6718</v>
      </c>
      <c r="B35" t="s">
        <v>6719</v>
      </c>
    </row>
    <row r="36" spans="1:2" x14ac:dyDescent="0.25">
      <c r="A36" t="s">
        <v>6719</v>
      </c>
      <c r="B36" t="s">
        <v>6727</v>
      </c>
    </row>
    <row r="37" spans="1:2" x14ac:dyDescent="0.25">
      <c r="A37" t="s">
        <v>6719</v>
      </c>
      <c r="B37" t="s">
        <v>6728</v>
      </c>
    </row>
    <row r="38" spans="1:2" x14ac:dyDescent="0.25">
      <c r="A38" t="s">
        <v>6719</v>
      </c>
      <c r="B38" t="s">
        <v>6720</v>
      </c>
    </row>
    <row r="39" spans="1:2" x14ac:dyDescent="0.25">
      <c r="A39" t="s">
        <v>6720</v>
      </c>
      <c r="B39" t="s">
        <v>6729</v>
      </c>
    </row>
    <row r="40" spans="1:2" x14ac:dyDescent="0.25">
      <c r="A40" t="s">
        <v>6720</v>
      </c>
      <c r="B40" t="s">
        <v>6730</v>
      </c>
    </row>
    <row r="41" spans="1:2" x14ac:dyDescent="0.25">
      <c r="A41" t="s">
        <v>6719</v>
      </c>
      <c r="B41" t="s">
        <v>6721</v>
      </c>
    </row>
    <row r="42" spans="1:2" x14ac:dyDescent="0.25">
      <c r="A42" t="s">
        <v>6721</v>
      </c>
      <c r="B42" t="s">
        <v>6731</v>
      </c>
    </row>
    <row r="43" spans="1:2" x14ac:dyDescent="0.25">
      <c r="A43" t="s">
        <v>6721</v>
      </c>
      <c r="B43" t="s">
        <v>6732</v>
      </c>
    </row>
    <row r="44" spans="1:2" x14ac:dyDescent="0.25">
      <c r="A44" t="s">
        <v>6721</v>
      </c>
      <c r="B44" t="s">
        <v>6733</v>
      </c>
    </row>
    <row r="45" spans="1:2" x14ac:dyDescent="0.25">
      <c r="A45" t="s">
        <v>6721</v>
      </c>
      <c r="B45" t="s">
        <v>6734</v>
      </c>
    </row>
    <row r="46" spans="1:2" x14ac:dyDescent="0.25">
      <c r="A46" t="s">
        <v>6721</v>
      </c>
      <c r="B46" t="s">
        <v>6735</v>
      </c>
    </row>
    <row r="47" spans="1:2" x14ac:dyDescent="0.25">
      <c r="A47" t="s">
        <v>6718</v>
      </c>
      <c r="B47" t="s">
        <v>6722</v>
      </c>
    </row>
    <row r="48" spans="1:2" x14ac:dyDescent="0.25">
      <c r="A48" t="s">
        <v>6722</v>
      </c>
      <c r="B48" t="s">
        <v>6736</v>
      </c>
    </row>
    <row r="49" spans="1:2" x14ac:dyDescent="0.25">
      <c r="A49" t="s">
        <v>6722</v>
      </c>
      <c r="B49" t="s">
        <v>6723</v>
      </c>
    </row>
    <row r="50" spans="1:2" x14ac:dyDescent="0.25">
      <c r="A50" t="s">
        <v>6723</v>
      </c>
      <c r="B50" t="s">
        <v>6737</v>
      </c>
    </row>
    <row r="51" spans="1:2" x14ac:dyDescent="0.25">
      <c r="A51" t="s">
        <v>6723</v>
      </c>
      <c r="B51" t="s">
        <v>6738</v>
      </c>
    </row>
    <row r="52" spans="1:2" x14ac:dyDescent="0.25">
      <c r="A52" t="s">
        <v>6722</v>
      </c>
      <c r="B52" t="s">
        <v>6724</v>
      </c>
    </row>
    <row r="53" spans="1:2" x14ac:dyDescent="0.25">
      <c r="A53" t="s">
        <v>6724</v>
      </c>
      <c r="B53" t="s">
        <v>6739</v>
      </c>
    </row>
    <row r="54" spans="1:2" x14ac:dyDescent="0.25">
      <c r="A54" t="s">
        <v>6724</v>
      </c>
      <c r="B54" t="s">
        <v>6740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160A-C61C-4D87-A707-E1ED03B2F0DC}">
  <dimension ref="A2:G25"/>
  <sheetViews>
    <sheetView workbookViewId="0">
      <selection activeCell="B2" sqref="B2:D25"/>
    </sheetView>
  </sheetViews>
  <sheetFormatPr defaultRowHeight="15" x14ac:dyDescent="0.25"/>
  <cols>
    <col min="2" max="2" width="11.28515625" bestFit="1" customWidth="1"/>
    <col min="3" max="3" width="38.5703125" bestFit="1" customWidth="1"/>
    <col min="4" max="4" width="11.28515625" bestFit="1" customWidth="1"/>
  </cols>
  <sheetData>
    <row r="2" spans="1:7" x14ac:dyDescent="0.25">
      <c r="A2" t="s">
        <v>6668</v>
      </c>
      <c r="B2" t="s">
        <v>6716</v>
      </c>
      <c r="C2" t="s">
        <v>6669</v>
      </c>
      <c r="D2" t="s">
        <v>6114</v>
      </c>
      <c r="E2" s="62" t="s">
        <v>6717</v>
      </c>
      <c r="F2">
        <v>4407</v>
      </c>
      <c r="G2" t="e">
        <v>#N/A</v>
      </c>
    </row>
    <row r="3" spans="1:7" x14ac:dyDescent="0.25">
      <c r="A3" t="s">
        <v>6670</v>
      </c>
      <c r="B3" t="s">
        <v>6725</v>
      </c>
      <c r="C3" t="s">
        <v>6671</v>
      </c>
      <c r="D3" t="s">
        <v>6716</v>
      </c>
      <c r="E3" s="62" t="s">
        <v>6717</v>
      </c>
      <c r="F3">
        <v>4408</v>
      </c>
      <c r="G3" t="s">
        <v>6716</v>
      </c>
    </row>
    <row r="4" spans="1:7" x14ac:dyDescent="0.25">
      <c r="A4" t="s">
        <v>6672</v>
      </c>
      <c r="B4" t="s">
        <v>6718</v>
      </c>
      <c r="C4" t="s">
        <v>6673</v>
      </c>
      <c r="D4" t="s">
        <v>6114</v>
      </c>
      <c r="E4" s="62" t="s">
        <v>6717</v>
      </c>
      <c r="F4">
        <v>4409</v>
      </c>
      <c r="G4" t="e">
        <v>#N/A</v>
      </c>
    </row>
    <row r="5" spans="1:7" x14ac:dyDescent="0.25">
      <c r="A5" t="s">
        <v>6674</v>
      </c>
      <c r="B5" t="s">
        <v>6726</v>
      </c>
      <c r="C5" t="s">
        <v>6675</v>
      </c>
      <c r="D5" t="s">
        <v>6718</v>
      </c>
      <c r="E5" s="62" t="s">
        <v>6717</v>
      </c>
      <c r="F5">
        <v>4410</v>
      </c>
      <c r="G5" t="s">
        <v>6718</v>
      </c>
    </row>
    <row r="6" spans="1:7" x14ac:dyDescent="0.25">
      <c r="A6" t="s">
        <v>6676</v>
      </c>
      <c r="B6" t="s">
        <v>6719</v>
      </c>
      <c r="C6" t="s">
        <v>6677</v>
      </c>
      <c r="D6" t="s">
        <v>6718</v>
      </c>
      <c r="E6" s="62" t="s">
        <v>6717</v>
      </c>
      <c r="F6">
        <v>4411</v>
      </c>
      <c r="G6" t="s">
        <v>6718</v>
      </c>
    </row>
    <row r="7" spans="1:7" x14ac:dyDescent="0.25">
      <c r="A7" t="s">
        <v>6678</v>
      </c>
      <c r="B7" t="s">
        <v>6727</v>
      </c>
      <c r="C7" t="s">
        <v>6679</v>
      </c>
      <c r="D7" t="s">
        <v>6719</v>
      </c>
      <c r="E7" s="62" t="s">
        <v>6717</v>
      </c>
      <c r="F7">
        <v>4412</v>
      </c>
      <c r="G7" t="s">
        <v>6719</v>
      </c>
    </row>
    <row r="8" spans="1:7" x14ac:dyDescent="0.25">
      <c r="A8" t="s">
        <v>6680</v>
      </c>
      <c r="B8" t="s">
        <v>6728</v>
      </c>
      <c r="C8" t="s">
        <v>6681</v>
      </c>
      <c r="D8" t="s">
        <v>6719</v>
      </c>
      <c r="E8" s="62" t="s">
        <v>6717</v>
      </c>
      <c r="F8">
        <v>4413</v>
      </c>
      <c r="G8" t="s">
        <v>6719</v>
      </c>
    </row>
    <row r="9" spans="1:7" x14ac:dyDescent="0.25">
      <c r="A9" t="s">
        <v>6682</v>
      </c>
      <c r="B9" t="s">
        <v>6720</v>
      </c>
      <c r="C9" t="s">
        <v>6683</v>
      </c>
      <c r="D9" t="s">
        <v>6719</v>
      </c>
      <c r="E9" s="62" t="s">
        <v>6717</v>
      </c>
      <c r="F9">
        <v>4414</v>
      </c>
      <c r="G9" t="s">
        <v>6719</v>
      </c>
    </row>
    <row r="10" spans="1:7" x14ac:dyDescent="0.25">
      <c r="A10" t="s">
        <v>6684</v>
      </c>
      <c r="B10" t="s">
        <v>6729</v>
      </c>
      <c r="C10" t="s">
        <v>6685</v>
      </c>
      <c r="D10" t="s">
        <v>6720</v>
      </c>
      <c r="E10" s="62" t="s">
        <v>6717</v>
      </c>
      <c r="F10">
        <v>4415</v>
      </c>
      <c r="G10" t="s">
        <v>6720</v>
      </c>
    </row>
    <row r="11" spans="1:7" x14ac:dyDescent="0.25">
      <c r="A11" t="s">
        <v>6686</v>
      </c>
      <c r="B11" t="s">
        <v>6730</v>
      </c>
      <c r="C11" t="s">
        <v>6687</v>
      </c>
      <c r="D11" t="s">
        <v>6720</v>
      </c>
      <c r="E11" s="62" t="s">
        <v>6717</v>
      </c>
      <c r="F11">
        <v>4416</v>
      </c>
      <c r="G11" t="s">
        <v>6720</v>
      </c>
    </row>
    <row r="12" spans="1:7" x14ac:dyDescent="0.25">
      <c r="A12" t="s">
        <v>6688</v>
      </c>
      <c r="B12" t="s">
        <v>6721</v>
      </c>
      <c r="C12" t="s">
        <v>6689</v>
      </c>
      <c r="D12" t="s">
        <v>6719</v>
      </c>
      <c r="E12" s="62" t="s">
        <v>6717</v>
      </c>
      <c r="F12">
        <v>4417</v>
      </c>
      <c r="G12" t="s">
        <v>6719</v>
      </c>
    </row>
    <row r="13" spans="1:7" x14ac:dyDescent="0.25">
      <c r="A13" t="s">
        <v>6690</v>
      </c>
      <c r="B13" t="s">
        <v>6731</v>
      </c>
      <c r="C13" t="s">
        <v>6691</v>
      </c>
      <c r="D13" t="s">
        <v>6721</v>
      </c>
      <c r="E13" s="62" t="s">
        <v>6717</v>
      </c>
      <c r="F13">
        <v>4418</v>
      </c>
      <c r="G13" t="s">
        <v>6721</v>
      </c>
    </row>
    <row r="14" spans="1:7" x14ac:dyDescent="0.25">
      <c r="A14" t="s">
        <v>6692</v>
      </c>
      <c r="B14" t="s">
        <v>6732</v>
      </c>
      <c r="C14" t="s">
        <v>6693</v>
      </c>
      <c r="D14" t="s">
        <v>6721</v>
      </c>
      <c r="E14" s="62" t="s">
        <v>6717</v>
      </c>
      <c r="F14">
        <v>4419</v>
      </c>
      <c r="G14" t="s">
        <v>6721</v>
      </c>
    </row>
    <row r="15" spans="1:7" x14ac:dyDescent="0.25">
      <c r="A15" t="s">
        <v>6694</v>
      </c>
      <c r="B15" t="s">
        <v>6733</v>
      </c>
      <c r="C15" t="s">
        <v>6695</v>
      </c>
      <c r="D15" t="s">
        <v>6721</v>
      </c>
      <c r="E15" s="62" t="s">
        <v>6717</v>
      </c>
      <c r="F15">
        <v>4420</v>
      </c>
      <c r="G15" t="s">
        <v>6721</v>
      </c>
    </row>
    <row r="16" spans="1:7" x14ac:dyDescent="0.25">
      <c r="A16" t="s">
        <v>6696</v>
      </c>
      <c r="B16" t="s">
        <v>6734</v>
      </c>
      <c r="C16" t="s">
        <v>6697</v>
      </c>
      <c r="D16" t="s">
        <v>6721</v>
      </c>
      <c r="E16" s="62" t="s">
        <v>6717</v>
      </c>
      <c r="F16">
        <v>4421</v>
      </c>
      <c r="G16" t="s">
        <v>6721</v>
      </c>
    </row>
    <row r="17" spans="1:7" x14ac:dyDescent="0.25">
      <c r="A17" t="s">
        <v>6698</v>
      </c>
      <c r="B17" t="s">
        <v>6735</v>
      </c>
      <c r="C17" t="s">
        <v>6699</v>
      </c>
      <c r="D17" t="s">
        <v>6721</v>
      </c>
      <c r="E17" s="62" t="s">
        <v>6717</v>
      </c>
      <c r="F17">
        <v>4422</v>
      </c>
      <c r="G17" t="s">
        <v>6721</v>
      </c>
    </row>
    <row r="18" spans="1:7" x14ac:dyDescent="0.25">
      <c r="A18" t="s">
        <v>6700</v>
      </c>
      <c r="B18" t="s">
        <v>6722</v>
      </c>
      <c r="C18" t="s">
        <v>6701</v>
      </c>
      <c r="D18" t="s">
        <v>6718</v>
      </c>
      <c r="E18" s="62" t="s">
        <v>6717</v>
      </c>
      <c r="F18">
        <v>4423</v>
      </c>
      <c r="G18" t="s">
        <v>6718</v>
      </c>
    </row>
    <row r="19" spans="1:7" x14ac:dyDescent="0.25">
      <c r="A19" t="s">
        <v>6702</v>
      </c>
      <c r="B19" t="s">
        <v>6736</v>
      </c>
      <c r="C19" t="s">
        <v>6703</v>
      </c>
      <c r="D19" t="s">
        <v>6722</v>
      </c>
      <c r="E19" s="62" t="s">
        <v>6717</v>
      </c>
      <c r="F19">
        <v>4424</v>
      </c>
      <c r="G19" t="s">
        <v>6722</v>
      </c>
    </row>
    <row r="20" spans="1:7" x14ac:dyDescent="0.25">
      <c r="A20" t="s">
        <v>6704</v>
      </c>
      <c r="B20" t="s">
        <v>6723</v>
      </c>
      <c r="C20" t="s">
        <v>6705</v>
      </c>
      <c r="D20" t="s">
        <v>6722</v>
      </c>
      <c r="E20" s="62" t="s">
        <v>6717</v>
      </c>
      <c r="F20">
        <v>4425</v>
      </c>
      <c r="G20" t="s">
        <v>6722</v>
      </c>
    </row>
    <row r="21" spans="1:7" x14ac:dyDescent="0.25">
      <c r="A21" t="s">
        <v>6706</v>
      </c>
      <c r="B21" t="s">
        <v>6737</v>
      </c>
      <c r="C21" t="s">
        <v>6707</v>
      </c>
      <c r="D21" t="s">
        <v>6723</v>
      </c>
      <c r="E21" s="62" t="s">
        <v>6717</v>
      </c>
      <c r="F21">
        <v>4426</v>
      </c>
      <c r="G21" t="s">
        <v>6723</v>
      </c>
    </row>
    <row r="22" spans="1:7" x14ac:dyDescent="0.25">
      <c r="A22" t="s">
        <v>6708</v>
      </c>
      <c r="B22" t="s">
        <v>6738</v>
      </c>
      <c r="C22" t="s">
        <v>6709</v>
      </c>
      <c r="D22" t="s">
        <v>6723</v>
      </c>
      <c r="E22" s="62" t="s">
        <v>6717</v>
      </c>
      <c r="F22">
        <v>4427</v>
      </c>
      <c r="G22" t="s">
        <v>6723</v>
      </c>
    </row>
    <row r="23" spans="1:7" x14ac:dyDescent="0.25">
      <c r="A23" t="s">
        <v>6710</v>
      </c>
      <c r="B23" t="s">
        <v>6724</v>
      </c>
      <c r="C23" t="s">
        <v>6711</v>
      </c>
      <c r="D23" t="s">
        <v>6722</v>
      </c>
      <c r="E23" s="62" t="s">
        <v>6717</v>
      </c>
      <c r="F23">
        <v>4428</v>
      </c>
      <c r="G23" t="s">
        <v>6722</v>
      </c>
    </row>
    <row r="24" spans="1:7" x14ac:dyDescent="0.25">
      <c r="A24" t="s">
        <v>6712</v>
      </c>
      <c r="B24" t="s">
        <v>6739</v>
      </c>
      <c r="C24" t="s">
        <v>6713</v>
      </c>
      <c r="D24" t="s">
        <v>6724</v>
      </c>
      <c r="E24" s="62" t="s">
        <v>6717</v>
      </c>
      <c r="F24">
        <v>4429</v>
      </c>
      <c r="G24" t="s">
        <v>6724</v>
      </c>
    </row>
    <row r="25" spans="1:7" x14ac:dyDescent="0.25">
      <c r="A25" t="s">
        <v>6714</v>
      </c>
      <c r="B25" t="s">
        <v>6740</v>
      </c>
      <c r="C25" t="s">
        <v>6715</v>
      </c>
      <c r="D25" t="s">
        <v>6724</v>
      </c>
      <c r="E25" s="62" t="s">
        <v>6717</v>
      </c>
      <c r="F25">
        <v>4430</v>
      </c>
      <c r="G25" t="s">
        <v>6724</v>
      </c>
    </row>
  </sheetData>
  <autoFilter ref="A1:G1" xr:uid="{7B2A160A-C61C-4D87-A707-E1ED03B2F0DC}">
    <sortState xmlns:xlrd2="http://schemas.microsoft.com/office/spreadsheetml/2017/richdata2" ref="A2:G25">
      <sortCondition ref="B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22" workbookViewId="0">
      <selection activeCell="B38" sqref="B38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MGF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MGF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MGF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LS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LS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LS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LS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LS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LS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LS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LS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</vt:i4>
      </vt:variant>
    </vt:vector>
  </HeadingPairs>
  <TitlesOfParts>
    <vt:vector size="18" baseType="lpstr">
      <vt:lpstr>pvt</vt:lpstr>
      <vt:lpstr>STUCT1</vt:lpstr>
      <vt:lpstr>Sheet6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2025-09-30T13:54:13Z</dcterms:modified>
</cp:coreProperties>
</file>