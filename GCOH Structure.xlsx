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6CDB9AE-D8E3-4E45-B910-AB54F723003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UCT1" sheetId="1" r:id="rId1"/>
    <sheet name="Names" sheetId="5" r:id="rId2"/>
    <sheet name="NEW NODES" sheetId="6" r:id="rId3"/>
    <sheet name="People" sheetId="7" r:id="rId4"/>
    <sheet name="2023" sheetId="8" r:id="rId5"/>
    <sheet name="Sectors" sheetId="9" r:id="rId6"/>
    <sheet name="Okey" sheetId="10" r:id="rId7"/>
    <sheet name="Pvt" sheetId="11" r:id="rId8"/>
    <sheet name="KPI" sheetId="12" r:id="rId9"/>
  </sheets>
  <definedNames>
    <definedName name="_xlnm._FilterDatabase" localSheetId="4">'2023'!$A$1:$M$1</definedName>
    <definedName name="_xlnm._FilterDatabase" localSheetId="1">Names!$A$237:$G$388</definedName>
    <definedName name="_xlnm._FilterDatabase" localSheetId="3">People!$A$1:$B$1</definedName>
    <definedName name="_xlnm._FilterDatabase" localSheetId="7">Pvt!$A$3:$C$36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1294" i="1" l="1"/>
  <c r="J1293" i="1"/>
  <c r="J1292" i="1"/>
  <c r="J1291" i="1"/>
  <c r="J1290" i="1"/>
  <c r="J1289" i="1"/>
  <c r="J1288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77" i="1"/>
  <c r="L1176" i="1"/>
  <c r="L1175" i="1"/>
  <c r="L1174" i="1"/>
  <c r="L1173" i="1"/>
  <c r="L1172" i="1"/>
  <c r="L1171" i="1"/>
  <c r="L1170" i="1"/>
  <c r="L1169" i="1"/>
  <c r="L1168" i="1"/>
  <c r="L1167" i="1"/>
  <c r="L1154" i="1"/>
  <c r="L1153" i="1"/>
  <c r="L1152" i="1"/>
  <c r="L1151" i="1"/>
  <c r="L1150" i="1"/>
  <c r="L1149" i="1"/>
  <c r="L114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934" i="1"/>
  <c r="L930" i="1"/>
  <c r="L931" i="1"/>
  <c r="L933" i="1"/>
  <c r="L1129" i="1"/>
  <c r="L1130" i="1"/>
  <c r="L1131" i="1"/>
  <c r="L1132" i="1"/>
  <c r="L1133" i="1"/>
  <c r="L1134" i="1"/>
  <c r="L1135" i="1"/>
  <c r="L1136" i="1"/>
  <c r="L1137" i="1"/>
  <c r="L1155" i="1"/>
  <c r="L115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140" i="1"/>
  <c r="L1139" i="1"/>
  <c r="L1011" i="1"/>
  <c r="L992" i="1"/>
  <c r="L991" i="1"/>
  <c r="L990" i="1"/>
  <c r="L989" i="1"/>
  <c r="L988" i="1"/>
  <c r="L987" i="1"/>
  <c r="L986" i="1"/>
  <c r="L985" i="1"/>
  <c r="L978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48" i="1"/>
  <c r="L947" i="1"/>
  <c r="L946" i="1"/>
  <c r="L945" i="1"/>
  <c r="L944" i="1"/>
  <c r="L943" i="1"/>
  <c r="L941" i="1"/>
  <c r="L940" i="1"/>
  <c r="L938" i="1"/>
  <c r="L936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H932" i="1" l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</calcChain>
</file>

<file path=xl/sharedStrings.xml><?xml version="1.0" encoding="utf-8"?>
<sst xmlns="http://schemas.openxmlformats.org/spreadsheetml/2006/main" count="36141" uniqueCount="6628">
  <si>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</si>
  <si>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</si>
  <si>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</si>
  <si>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</si>
  <si>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</si>
  <si>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</si>
  <si>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</si>
  <si>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</si>
  <si>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</si>
  <si>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</si>
  <si>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</si>
  <si>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</si>
  <si>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</si>
  <si>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</si>
  <si>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</si>
  <si>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</si>
  <si>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</si>
  <si>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</si>
  <si>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</si>
  <si>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</si>
  <si>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</si>
  <si>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</si>
  <si>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</si>
  <si>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</si>
  <si>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</si>
  <si>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</si>
  <si>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</si>
  <si>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</si>
  <si>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</si>
  <si>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</si>
  <si>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</si>
  <si>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</si>
  <si>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</si>
  <si>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</si>
  <si>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</si>
  <si>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</si>
  <si>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</si>
  <si>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</si>
  <si>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</si>
  <si>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</si>
  <si>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</si>
  <si>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</si>
  <si>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</si>
  <si>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</si>
  <si>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</si>
  <si>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</si>
  <si>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</si>
  <si>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</si>
  <si>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</si>
  <si>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</si>
  <si>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</si>
  <si>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</si>
  <si>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</si>
  <si>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</si>
  <si>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</si>
  <si>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</si>
  <si>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</si>
  <si>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</si>
  <si>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</si>
  <si>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</si>
  <si>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</si>
  <si>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</si>
  <si>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</si>
  <si>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</si>
  <si>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</si>
  <si>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</si>
  <si>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</si>
  <si>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</si>
  <si>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</si>
  <si>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</si>
  <si>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</si>
  <si>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</si>
  <si>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</si>
  <si>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</si>
  <si>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</si>
  <si>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</si>
  <si>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</si>
  <si>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</si>
  <si>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</si>
  <si>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</si>
  <si>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</si>
  <si>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</si>
  <si>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</si>
  <si>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</si>
  <si>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</si>
  <si>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</si>
  <si>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</si>
  <si>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</si>
  <si>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</si>
  <si>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</si>
  <si>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</si>
  <si>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</si>
  <si>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</si>
  <si>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</si>
  <si>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</si>
  <si>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</si>
  <si>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</si>
  <si>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</si>
  <si>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</si>
  <si>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</si>
  <si>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</si>
  <si>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</si>
  <si>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</si>
  <si>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</si>
  <si>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</si>
  <si>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</si>
  <si>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</si>
  <si>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</si>
  <si>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</si>
  <si>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</si>
  <si>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</si>
  <si>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</si>
  <si>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</si>
  <si>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</si>
  <si>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</si>
  <si>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</si>
  <si>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</si>
  <si>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</si>
  <si>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</si>
  <si>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</si>
  <si>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</si>
  <si>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</si>
  <si>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</si>
  <si>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</si>
  <si>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</si>
  <si>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</si>
  <si>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</si>
  <si>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</si>
  <si>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</si>
  <si>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</si>
  <si>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</si>
  <si>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</si>
  <si>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</si>
  <si>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</si>
  <si>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</si>
  <si>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</si>
  <si>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</si>
  <si>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</si>
  <si>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</si>
  <si>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</si>
  <si>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</si>
  <si>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</si>
  <si>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</si>
  <si>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</si>
  <si>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</si>
  <si>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</si>
  <si>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</si>
  <si>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</si>
  <si>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</si>
  <si>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</si>
  <si>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</si>
  <si>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</si>
  <si>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</si>
  <si>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</si>
  <si>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</si>
  <si>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</si>
  <si>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</si>
  <si>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</si>
  <si>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</si>
  <si>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</si>
  <si>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</si>
  <si>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</si>
  <si>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</si>
  <si>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</si>
  <si>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</si>
  <si>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</si>
  <si>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</si>
  <si>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</si>
  <si>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</si>
  <si>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</si>
  <si>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</si>
  <si>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</si>
  <si>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</si>
  <si>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</si>
  <si>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</si>
  <si>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</si>
  <si>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</si>
  <si>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</si>
  <si>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</si>
  <si>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</si>
  <si>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</si>
  <si>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</si>
  <si>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</si>
  <si>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</si>
  <si>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</si>
  <si>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</si>
  <si>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</si>
  <si>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</si>
  <si>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</si>
  <si>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</si>
  <si>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</si>
  <si>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</si>
  <si>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</si>
  <si>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</si>
  <si>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</si>
  <si>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</si>
  <si>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</si>
  <si>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</si>
  <si>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</si>
  <si>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</si>
  <si>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</si>
  <si>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</si>
  <si>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</si>
  <si>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</si>
  <si>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</si>
  <si>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</si>
  <si>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</si>
  <si>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</si>
  <si>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</si>
  <si>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</si>
  <si>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</si>
  <si>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</si>
  <si>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</si>
  <si>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</si>
  <si>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</si>
  <si>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</si>
  <si>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</si>
  <si>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</si>
  <si>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</si>
  <si>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</si>
  <si>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</si>
  <si>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</si>
  <si>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</si>
  <si>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</si>
  <si>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</si>
  <si>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</si>
  <si>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</si>
  <si>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</si>
  <si>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</si>
  <si>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</si>
  <si>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</si>
  <si>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</si>
  <si>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</si>
  <si>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</si>
  <si>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</si>
  <si>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</si>
  <si>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</si>
  <si>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</si>
  <si>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</si>
  <si>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</si>
  <si>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</si>
  <si>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</si>
  <si>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</si>
  <si>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</si>
  <si>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</si>
  <si>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</si>
  <si>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</si>
  <si>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</si>
  <si>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</si>
  <si>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</si>
  <si>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</si>
  <si>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</si>
  <si>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</si>
  <si>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</si>
  <si>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</si>
  <si>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</si>
  <si>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</si>
  <si>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</si>
  <si>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</si>
  <si>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</si>
  <si>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</si>
  <si>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</si>
  <si>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</si>
  <si>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</si>
  <si>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</si>
  <si>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</si>
  <si>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</si>
  <si>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</si>
  <si>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</si>
  <si>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</si>
  <si>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</si>
  <si>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</si>
  <si>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</si>
  <si>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</si>
  <si>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</si>
  <si>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</si>
  <si>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</si>
  <si>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</si>
  <si>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</si>
  <si>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</si>
  <si>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</si>
  <si>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</si>
  <si>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</si>
  <si>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</si>
  <si>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</si>
  <si>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</si>
  <si>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</si>
  <si>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</si>
  <si>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</si>
  <si>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</si>
  <si>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</si>
  <si>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</si>
  <si>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</si>
  <si>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</si>
  <si>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</si>
  <si>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</si>
  <si>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</si>
  <si>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</si>
  <si>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</si>
  <si>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</si>
  <si>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</si>
  <si>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</si>
  <si>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</si>
  <si>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</si>
  <si>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</si>
  <si>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</si>
  <si>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</si>
  <si>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</si>
  <si>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</si>
  <si>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</si>
  <si>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</si>
  <si>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</si>
  <si>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</si>
  <si>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</si>
  <si>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</si>
  <si>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</si>
  <si>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</si>
  <si>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</si>
  <si>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</si>
  <si>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</si>
  <si>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</si>
  <si>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</si>
  <si>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</si>
  <si>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</si>
  <si>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</si>
  <si>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</si>
  <si>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</si>
  <si>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</si>
  <si>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</si>
  <si>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</si>
  <si>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</si>
  <si>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</si>
  <si>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</si>
  <si>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</si>
  <si>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</si>
  <si>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</si>
  <si>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</si>
  <si>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</si>
  <si>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</si>
  <si>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</si>
  <si>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</si>
  <si>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</si>
  <si>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</si>
  <si>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</si>
  <si>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</si>
  <si>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</si>
  <si>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</si>
  <si>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</si>
  <si>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</si>
  <si>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</si>
  <si>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</si>
  <si>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</si>
  <si>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</si>
  <si>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</si>
  <si>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</si>
  <si>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</si>
  <si>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</si>
  <si>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</si>
  <si>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</si>
  <si>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</si>
  <si>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</si>
  <si>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</si>
  <si>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</si>
  <si>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</si>
  <si>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</si>
  <si>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</si>
  <si>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</si>
  <si>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</si>
  <si>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</si>
  <si>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</si>
  <si>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</si>
  <si>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</si>
  <si>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</si>
  <si>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</si>
  <si>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</si>
  <si>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</si>
  <si>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</si>
  <si>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</si>
  <si>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</si>
  <si>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</si>
  <si>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</si>
  <si>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</si>
  <si>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</si>
  <si>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</si>
  <si>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</si>
  <si>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</si>
  <si>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</si>
  <si>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</si>
  <si>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</si>
  <si>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</si>
  <si>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</si>
  <si>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</si>
  <si>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</si>
  <si>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</si>
  <si>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</si>
  <si>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</si>
  <si>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</si>
  <si>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</si>
  <si>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</si>
  <si>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</si>
  <si>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</si>
  <si>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</si>
  <si>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</si>
  <si>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</si>
  <si>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</si>
  <si>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</si>
  <si>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</si>
  <si>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</si>
  <si>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</si>
  <si>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</si>
  <si>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</si>
  <si>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</si>
  <si>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</si>
  <si>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</si>
  <si>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</si>
  <si>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</si>
  <si>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</si>
  <si>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</si>
  <si>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</si>
  <si>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</si>
  <si>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</si>
  <si>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</si>
  <si>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</si>
  <si>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</si>
  <si>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</si>
  <si>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</si>
  <si>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</si>
  <si>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</si>
  <si>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</si>
  <si>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</si>
  <si>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</si>
  <si>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</si>
  <si>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</si>
  <si>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</si>
  <si>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</si>
  <si>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</si>
  <si>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</si>
  <si>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</si>
  <si>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</si>
  <si>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</si>
  <si>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</si>
  <si>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</si>
  <si>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</si>
  <si>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</si>
  <si>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</si>
  <si>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</si>
  <si>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</si>
  <si>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</si>
  <si>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</si>
  <si>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</si>
  <si>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</si>
  <si>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</si>
  <si>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</si>
  <si>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</si>
  <si>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</si>
  <si>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</si>
  <si>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</si>
  <si>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</si>
  <si>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</si>
  <si>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</si>
  <si>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</si>
  <si>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</si>
  <si>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</si>
  <si>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</si>
  <si>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</si>
  <si>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</si>
  <si>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</si>
  <si>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</si>
  <si>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</si>
  <si>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</si>
  <si>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</si>
  <si>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</si>
  <si>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</si>
  <si>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</si>
  <si>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</si>
  <si>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</si>
  <si>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</si>
  <si>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</si>
  <si>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</si>
  <si>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</si>
  <si>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</si>
  <si>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</si>
  <si>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</si>
  <si>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</si>
  <si>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</si>
  <si>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</si>
  <si>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</si>
  <si>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</si>
  <si>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</si>
  <si>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</si>
  <si>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</si>
  <si>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</si>
  <si>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</si>
  <si>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</si>
  <si>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</si>
  <si>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</si>
  <si>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</si>
  <si>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</si>
  <si>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</si>
  <si>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</si>
  <si>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</si>
  <si>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</si>
  <si>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</si>
  <si>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</si>
  <si>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</si>
  <si>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</si>
  <si>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</si>
  <si>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</si>
  <si>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</si>
  <si>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</si>
  <si>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</si>
  <si>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</si>
  <si>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</si>
  <si>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</si>
  <si>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</si>
  <si>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</si>
  <si>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</si>
  <si>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</si>
  <si>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</si>
  <si>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</si>
  <si>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</si>
  <si>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</si>
  <si>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</si>
  <si>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</si>
  <si>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</si>
  <si>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</si>
  <si>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</si>
  <si>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</si>
  <si>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</si>
  <si>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</si>
  <si>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</si>
  <si>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</si>
  <si>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</si>
  <si>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</si>
  <si>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</si>
  <si>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</si>
  <si>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</si>
  <si>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</si>
  <si>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</si>
  <si>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</si>
  <si>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</si>
  <si>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</si>
  <si>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</si>
  <si>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</si>
  <si>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</si>
  <si>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</si>
  <si>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</si>
  <si>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</si>
  <si>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</si>
  <si>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</si>
  <si>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</si>
  <si>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</si>
  <si>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</si>
  <si>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</si>
  <si>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</si>
  <si>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</si>
  <si>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</si>
  <si>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</si>
  <si>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</si>
  <si>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</si>
  <si>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</si>
  <si>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</si>
  <si>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</si>
  <si>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</si>
  <si>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</si>
  <si>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</si>
  <si>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</si>
  <si>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</si>
  <si>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</si>
  <si>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</si>
  <si>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</si>
  <si>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</si>
  <si>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</si>
  <si>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</si>
  <si>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</si>
  <si>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</si>
  <si>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</si>
  <si>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</si>
  <si>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</si>
  <si>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</si>
  <si>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</si>
  <si>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</si>
  <si>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</si>
  <si>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</si>
  <si>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</si>
  <si>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</si>
  <si>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</si>
  <si>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</si>
  <si>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</si>
  <si>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</si>
  <si>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</si>
  <si>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</si>
  <si>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</si>
  <si>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</si>
  <si>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</si>
  <si>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</si>
  <si>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</si>
  <si>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</si>
  <si>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</si>
  <si>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</si>
  <si>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</si>
  <si>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</si>
  <si>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</si>
  <si>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</si>
  <si>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</si>
  <si>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</si>
  <si>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</si>
  <si>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</si>
  <si>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</si>
  <si>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</si>
  <si>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</si>
  <si>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</si>
  <si>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</si>
  <si>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</si>
  <si>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</si>
  <si>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</si>
  <si>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</si>
  <si>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</si>
  <si>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</si>
  <si>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</si>
  <si>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</si>
  <si>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</si>
  <si>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</si>
  <si>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</si>
  <si>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</si>
  <si>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</si>
  <si>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</si>
  <si>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</si>
  <si>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</si>
  <si>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</si>
  <si>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</si>
  <si>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</si>
  <si>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</si>
  <si>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</si>
  <si>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</si>
  <si>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</si>
  <si>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</si>
  <si>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</si>
  <si>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</si>
  <si>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</si>
  <si>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</si>
  <si>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</si>
  <si>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</si>
  <si>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</si>
  <si>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</si>
  <si>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</si>
  <si>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</si>
  <si>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</si>
  <si>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</si>
  <si>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</si>
  <si>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</si>
  <si>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</si>
  <si>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</si>
  <si>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</si>
  <si>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</si>
  <si>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</si>
  <si>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</si>
  <si>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</si>
  <si>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</si>
  <si>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</si>
  <si>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</si>
  <si>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</si>
  <si>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</si>
  <si>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</si>
  <si>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</si>
  <si>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</si>
  <si>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</si>
  <si>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</si>
  <si>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</si>
  <si>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</si>
  <si>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</si>
  <si>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</si>
  <si>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</si>
  <si>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</si>
  <si>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</si>
  <si>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</si>
  <si>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</si>
  <si>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</si>
  <si>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</si>
  <si>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</si>
  <si>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</si>
  <si>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</si>
  <si>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</si>
  <si>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</si>
  <si>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</si>
  <si>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</si>
  <si>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</si>
  <si>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</si>
  <si>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</si>
  <si>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</si>
  <si>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</si>
  <si>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</si>
  <si>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</si>
  <si>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</si>
  <si>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</si>
  <si>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</si>
  <si>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</si>
  <si>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</si>
  <si>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</si>
  <si>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</si>
  <si>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</si>
  <si>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</si>
  <si>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</si>
  <si>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</si>
  <si>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</si>
  <si>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</si>
  <si>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</si>
  <si>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</si>
  <si>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</si>
  <si>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</si>
  <si>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</si>
  <si>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</si>
  <si>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</si>
  <si>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</si>
  <si>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</si>
  <si>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</si>
  <si>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</si>
  <si>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</si>
  <si>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</si>
  <si>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</si>
  <si>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</si>
  <si>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</si>
  <si>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</si>
  <si>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</si>
  <si>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</si>
  <si>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</si>
  <si>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</si>
  <si>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</si>
  <si>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</si>
  <si>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</si>
  <si>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</si>
  <si>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</si>
  <si>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</si>
  <si>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</si>
  <si>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</si>
  <si>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</si>
  <si>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</si>
  <si>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</si>
  <si>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</si>
  <si>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</si>
  <si>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</si>
  <si>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</si>
  <si>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</si>
  <si>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</si>
  <si>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</si>
  <si>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</si>
  <si>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</si>
  <si>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</si>
  <si>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</si>
  <si>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</si>
  <si>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</si>
  <si>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</si>
  <si>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</si>
  <si>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</si>
  <si>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</si>
  <si>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</si>
  <si>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</si>
  <si>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</si>
  <si>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</si>
  <si>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</si>
  <si>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</si>
  <si>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</si>
  <si>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</si>
  <si>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</si>
  <si>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</si>
  <si>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</si>
  <si>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</si>
  <si>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</si>
  <si>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</si>
  <si>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</si>
  <si>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</si>
  <si>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</si>
  <si>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</si>
  <si>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</si>
  <si>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</si>
  <si>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</si>
  <si>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</si>
  <si>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</si>
  <si>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</si>
  <si>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</si>
  <si>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</si>
  <si>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</si>
  <si>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</si>
  <si>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</si>
  <si>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</si>
  <si>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</si>
  <si>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</si>
  <si>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</si>
  <si>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</si>
  <si>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</si>
  <si>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</si>
  <si>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</si>
  <si>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</si>
  <si>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</si>
  <si>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</si>
  <si>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</si>
  <si>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</si>
  <si>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</si>
  <si>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</si>
  <si>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</si>
  <si>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</si>
  <si>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</si>
  <si>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</si>
  <si>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</si>
  <si>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</si>
  <si>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</si>
  <si>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</si>
  <si>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</si>
  <si>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</si>
  <si>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</si>
  <si>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</si>
  <si>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</si>
  <si>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</si>
  <si>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</si>
  <si>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</si>
  <si>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</si>
  <si>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</si>
  <si>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</si>
  <si>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</si>
  <si>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</si>
  <si>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</si>
  <si>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</si>
  <si>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</si>
  <si>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</si>
  <si>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</si>
  <si>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</si>
  <si>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</si>
  <si>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</si>
  <si>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</si>
  <si>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</si>
  <si>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</si>
  <si>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</si>
  <si>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</si>
  <si>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</si>
  <si>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</si>
  <si>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</si>
  <si>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</si>
  <si>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</si>
  <si>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</si>
  <si>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</si>
  <si>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</si>
  <si>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</si>
  <si>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</si>
  <si>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</si>
  <si>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</si>
  <si>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</si>
  <si>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</si>
  <si>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</si>
  <si>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</si>
  <si>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</si>
  <si>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</si>
  <si>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</si>
  <si>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</si>
  <si>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</si>
  <si>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</si>
  <si>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</si>
  <si>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</si>
  <si>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</si>
  <si>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</si>
  <si>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</si>
  <si>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</si>
  <si>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</si>
  <si>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</si>
  <si>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</si>
  <si>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</si>
  <si>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</si>
  <si>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</si>
  <si>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</si>
  <si>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</si>
  <si>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</si>
  <si>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</si>
  <si>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</si>
  <si>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</si>
  <si>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</si>
  <si>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</si>
  <si>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</si>
  <si>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</si>
  <si>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</si>
  <si>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</si>
  <si>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</si>
  <si>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</si>
  <si>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</si>
  <si>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</si>
  <si>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</si>
  <si>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</si>
  <si>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</si>
  <si>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</si>
  <si>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</si>
  <si>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</si>
  <si>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</si>
  <si>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</si>
  <si>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</si>
  <si>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</si>
  <si>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</si>
  <si>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</si>
  <si>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</si>
  <si>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</si>
  <si>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</si>
  <si>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</si>
  <si>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</si>
  <si>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</si>
  <si>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</si>
  <si>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</si>
  <si>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</si>
  <si>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</si>
  <si>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</si>
  <si>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</si>
  <si>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</si>
  <si>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</si>
  <si>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</si>
  <si>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</si>
  <si>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</si>
  <si>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</si>
  <si>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</si>
  <si>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</si>
  <si>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</si>
  <si>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</si>
  <si>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</si>
  <si>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</si>
  <si>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</si>
  <si>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</si>
  <si>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</si>
  <si>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</si>
  <si>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</si>
  <si>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</si>
  <si>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</si>
  <si>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</si>
  <si>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</si>
  <si>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</si>
  <si>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</si>
  <si>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</si>
  <si>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</si>
  <si>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</si>
  <si>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</si>
  <si>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</si>
  <si>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</si>
  <si>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</si>
  <si>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</si>
  <si>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</si>
  <si>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</si>
  <si>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</si>
  <si>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</si>
  <si>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</si>
  <si>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</si>
  <si>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</si>
  <si>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</si>
  <si>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</si>
  <si>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</si>
  <si>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</si>
  <si>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</si>
  <si>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</si>
  <si>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</si>
  <si>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</si>
  <si>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</si>
  <si>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</si>
  <si>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</si>
  <si>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</si>
  <si>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</si>
  <si>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</si>
  <si>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</si>
  <si>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</si>
  <si>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</si>
  <si>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</si>
  <si>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</si>
  <si>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</si>
  <si>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</si>
  <si>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</si>
  <si>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</si>
  <si>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</si>
  <si>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</si>
  <si>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</si>
  <si>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</si>
  <si>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</si>
  <si>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</si>
  <si>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</si>
  <si>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</si>
  <si>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</si>
  <si>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</si>
  <si>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</si>
  <si>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</si>
  <si>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</si>
  <si>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</si>
  <si>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</si>
  <si>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</si>
  <si>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</si>
  <si>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</si>
  <si>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</si>
  <si>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</si>
  <si>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</si>
  <si>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</si>
  <si>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</si>
  <si>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</si>
  <si>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</si>
  <si>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</si>
  <si>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</si>
  <si>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</si>
  <si>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</si>
  <si>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</si>
  <si>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</si>
  <si>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</si>
  <si>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</si>
  <si>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</si>
  <si>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</si>
  <si>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</si>
  <si>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</si>
  <si>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</si>
  <si>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</si>
  <si>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</si>
  <si>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</si>
  <si>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</si>
  <si>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</si>
  <si>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</si>
  <si>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</si>
  <si>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</si>
  <si>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</si>
  <si>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</si>
  <si>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</si>
  <si>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</si>
  <si>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</si>
  <si>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</si>
  <si>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</si>
  <si>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</si>
  <si>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</si>
  <si>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</si>
  <si>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</si>
  <si>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</si>
  <si>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</si>
  <si>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</si>
  <si>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</si>
  <si>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</si>
  <si>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</si>
  <si>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</si>
  <si>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</si>
  <si>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</si>
  <si>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</si>
  <si>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</si>
  <si>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</si>
  <si>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</si>
  <si>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</si>
  <si>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</si>
  <si>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</si>
  <si>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</si>
  <si>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</si>
  <si>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</si>
  <si>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</si>
  <si>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</si>
  <si>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</si>
  <si>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</si>
  <si>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</si>
  <si>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</si>
  <si>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</si>
  <si>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</si>
  <si>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</si>
  <si>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</si>
  <si>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</si>
  <si>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</si>
  <si>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</si>
  <si>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</si>
  <si>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</si>
  <si>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</si>
  <si>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</si>
  <si>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</si>
  <si>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</si>
  <si>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</si>
  <si>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</si>
  <si>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</si>
  <si>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</si>
  <si>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</si>
  <si>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</si>
  <si>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</si>
  <si>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</si>
  <si>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</si>
  <si>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</si>
  <si>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</si>
  <si>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</si>
  <si>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</si>
  <si>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</si>
  <si>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</si>
  <si>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</si>
  <si>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</si>
  <si>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</si>
  <si>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</si>
  <si>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</si>
  <si>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</si>
  <si>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</si>
  <si>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</si>
  <si>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</si>
  <si>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</si>
  <si>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</si>
  <si>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</si>
  <si>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</si>
  <si>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</si>
  <si>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</si>
  <si>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</si>
  <si>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</si>
  <si>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</si>
  <si>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</si>
  <si>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</si>
  <si>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</si>
  <si>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</si>
  <si>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</si>
  <si>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</si>
  <si>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</si>
  <si>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</si>
  <si>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</si>
  <si>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</si>
  <si>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</si>
  <si>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</si>
  <si>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</si>
  <si>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</si>
  <si>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</si>
  <si>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</si>
  <si>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</si>
  <si>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</si>
  <si>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</si>
  <si>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</si>
  <si>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</si>
  <si>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</si>
  <si>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</si>
  <si>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</si>
  <si>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</si>
  <si>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</si>
  <si>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</si>
  <si>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</si>
  <si>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</si>
  <si>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</si>
  <si>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</si>
  <si>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</si>
  <si>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</si>
  <si>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</si>
  <si>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</si>
  <si>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</si>
  <si>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</si>
  <si>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</si>
  <si>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</si>
  <si>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</si>
  <si>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</si>
  <si>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</si>
  <si>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</si>
  <si>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</si>
  <si>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</si>
  <si>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</si>
  <si>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</si>
  <si>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</si>
  <si>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</si>
  <si>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</si>
  <si>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</si>
  <si>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</si>
  <si>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</si>
  <si>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</si>
  <si>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</si>
  <si>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</si>
  <si>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</si>
  <si>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</si>
  <si>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</si>
  <si>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</si>
  <si>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</si>
  <si>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</si>
  <si>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</si>
  <si>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</si>
  <si>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</si>
  <si>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</si>
  <si>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</si>
  <si>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</si>
  <si>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</si>
  <si>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</si>
  <si>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</si>
  <si>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</si>
  <si>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</si>
  <si>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</si>
  <si>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</si>
  <si>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</si>
  <si>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</si>
  <si>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</si>
  <si>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</si>
  <si>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</si>
  <si>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</si>
  <si>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</si>
  <si>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</si>
  <si>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</si>
  <si>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</si>
  <si>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</si>
  <si>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</si>
  <si>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</si>
  <si>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</si>
  <si>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</si>
  <si>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</si>
  <si>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</si>
  <si>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</si>
  <si>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</si>
  <si>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</si>
  <si>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</si>
  <si>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</si>
  <si>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</si>
  <si>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</si>
  <si>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</si>
  <si>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</si>
  <si>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</si>
  <si>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</si>
  <si>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</si>
  <si>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</si>
  <si>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</si>
  <si>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</si>
  <si>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</si>
  <si>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</si>
  <si>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</si>
  <si>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</si>
  <si>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</si>
  <si>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</si>
  <si>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</si>
  <si>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</si>
  <si>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</si>
  <si>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</si>
  <si>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</si>
  <si>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</si>
  <si>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</si>
  <si>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</si>
  <si>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</si>
  <si>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</si>
  <si>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</si>
  <si>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</si>
  <si>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</si>
  <si>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</si>
  <si>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</si>
  <si>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</si>
  <si>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</si>
  <si>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</si>
  <si>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</si>
  <si>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</si>
  <si>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</si>
  <si>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</si>
  <si>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</si>
  <si>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</si>
  <si>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</si>
  <si>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</si>
  <si>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</si>
  <si>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</si>
  <si>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</si>
  <si>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</si>
  <si>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</si>
  <si>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</si>
  <si>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</si>
  <si>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</si>
  <si>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</si>
  <si>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</si>
  <si>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</si>
  <si>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</si>
  <si>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</si>
  <si>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</si>
  <si>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</si>
  <si>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</si>
  <si>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</si>
  <si>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</si>
  <si>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</si>
  <si>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</si>
  <si>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</si>
  <si>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</si>
  <si>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</si>
  <si>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</si>
  <si>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</si>
  <si>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</si>
  <si>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</si>
  <si>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</si>
  <si>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</si>
  <si>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</si>
  <si>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</si>
  <si>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</si>
  <si>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</si>
  <si>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</si>
  <si>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</si>
  <si>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</si>
  <si>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</si>
  <si>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</si>
  <si>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</si>
  <si>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</si>
  <si>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</si>
  <si>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</si>
  <si>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</si>
  <si>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</si>
  <si>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</si>
  <si>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</si>
  <si>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</si>
  <si>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</si>
  <si>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</si>
  <si>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</si>
  <si>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</si>
  <si>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</si>
  <si>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</si>
  <si>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</si>
  <si>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</si>
  <si>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</si>
  <si>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</si>
  <si>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</si>
  <si>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</si>
  <si>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</si>
  <si>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</si>
  <si>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</si>
  <si>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</si>
  <si>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</si>
  <si>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</si>
  <si>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</si>
  <si>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</si>
  <si>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</si>
  <si>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</si>
  <si>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</si>
  <si>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</si>
  <si>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</si>
  <si>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</si>
  <si>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</si>
  <si>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</si>
  <si>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</si>
  <si>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</si>
  <si>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</si>
  <si>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</si>
  <si>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</si>
  <si>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</si>
  <si>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</si>
  <si>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</si>
  <si>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</si>
  <si>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</si>
  <si>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</si>
  <si>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</si>
  <si>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</si>
  <si>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</si>
  <si>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</si>
  <si>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</si>
  <si>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</si>
  <si>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</si>
  <si>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</si>
  <si>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</si>
  <si>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</si>
  <si>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</si>
  <si>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</si>
  <si>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</si>
  <si>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</si>
  <si>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</si>
  <si>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</si>
  <si>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</si>
  <si>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</si>
  <si>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</si>
  <si>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</si>
  <si>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</si>
  <si>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</si>
  <si>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</si>
  <si>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</si>
  <si>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</si>
  <si>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</si>
  <si>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</si>
  <si>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</si>
  <si>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</si>
  <si>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</si>
  <si>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</si>
  <si>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</si>
  <si>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</si>
  <si>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</si>
  <si>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</si>
  <si>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</si>
  <si>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</si>
  <si>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</si>
  <si>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</si>
  <si>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</si>
  <si>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</si>
  <si>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</si>
  <si>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</si>
  <si>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</si>
  <si>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</si>
  <si>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</si>
  <si>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</si>
  <si>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</si>
  <si>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</si>
  <si>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</si>
  <si>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</si>
  <si>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</si>
  <si>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</si>
  <si>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</si>
  <si>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</si>
  <si>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</si>
  <si>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</si>
  <si>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</si>
  <si>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</si>
  <si>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</si>
  <si>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</si>
  <si>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</si>
  <si>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</si>
  <si>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</si>
  <si>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</si>
  <si>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</si>
  <si>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</si>
  <si>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</si>
  <si>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</si>
  <si>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</si>
  <si>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</si>
  <si>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</si>
  <si>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</si>
  <si>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</si>
  <si>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</si>
  <si>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</si>
  <si>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</si>
  <si>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</si>
  <si>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</si>
  <si>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</si>
  <si>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</si>
  <si>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</si>
  <si>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</si>
  <si>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</si>
  <si>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</si>
  <si>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</si>
  <si>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</si>
  <si>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</si>
  <si>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</si>
  <si>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</si>
  <si>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</si>
  <si>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</si>
  <si>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</si>
  <si>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</si>
  <si>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</si>
  <si>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</si>
  <si>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</si>
  <si>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</si>
  <si>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</si>
  <si>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</si>
  <si>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</si>
  <si>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</si>
  <si>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</si>
  <si>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</si>
  <si>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</si>
  <si>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</si>
  <si>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</si>
  <si>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</si>
  <si>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</si>
  <si>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</si>
  <si>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</si>
  <si>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</si>
  <si>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</si>
  <si>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</si>
  <si>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</si>
  <si>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</si>
  <si>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</si>
  <si>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</si>
  <si>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</si>
  <si>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</si>
  <si>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</si>
  <si>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</si>
  <si>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</si>
  <si>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</si>
  <si>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</si>
  <si>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</si>
  <si>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</si>
  <si>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</si>
  <si>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</si>
  <si>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</si>
  <si>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</si>
  <si>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</si>
  <si>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</si>
  <si>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</si>
  <si>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</si>
  <si>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</si>
  <si>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</si>
  <si>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</si>
  <si>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</si>
  <si>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</si>
  <si>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</si>
  <si>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</si>
  <si>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</si>
  <si>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</si>
  <si>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</si>
  <si>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</si>
  <si>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</si>
  <si>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</si>
  <si>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</si>
  <si>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</si>
  <si>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</si>
  <si>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</si>
  <si>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</si>
  <si>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</si>
  <si>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</si>
  <si>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</si>
  <si>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</si>
  <si>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</si>
  <si>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</si>
  <si>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</si>
  <si>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</si>
  <si>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</si>
  <si>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</si>
  <si>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</si>
  <si>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</si>
  <si>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</si>
  <si>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</si>
  <si>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</si>
  <si>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</si>
  <si>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</si>
  <si>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</si>
  <si>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</si>
  <si>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</si>
  <si>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</si>
  <si>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</si>
  <si>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</si>
  <si>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</si>
  <si>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</si>
  <si>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</si>
  <si>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</si>
  <si>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</si>
  <si>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</si>
  <si>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</si>
  <si>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</si>
  <si>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</si>
  <si>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</si>
  <si>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</si>
  <si>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</si>
  <si>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</si>
  <si>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</si>
  <si>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</si>
  <si>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</si>
  <si>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</si>
  <si>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</si>
  <si>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</si>
  <si>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</si>
  <si>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</si>
  <si>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</si>
  <si>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</si>
  <si>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</si>
  <si>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</si>
  <si>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</si>
  <si>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</si>
  <si>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</si>
  <si>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</si>
  <si>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</si>
  <si>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</si>
  <si>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</si>
  <si>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</si>
  <si>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</si>
  <si>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</si>
  <si>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</si>
  <si>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</si>
  <si>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</si>
  <si>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</si>
  <si>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</si>
  <si>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</si>
  <si>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</si>
  <si>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</si>
  <si>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</si>
  <si>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</si>
  <si>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</si>
  <si>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</si>
  <si>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</si>
  <si>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</si>
  <si>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</si>
  <si>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</si>
  <si>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</si>
  <si>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</si>
  <si>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</si>
  <si>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</si>
  <si>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</si>
  <si>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</si>
  <si>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</si>
  <si>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</si>
  <si>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</si>
  <si>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</si>
  <si>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</si>
  <si>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</si>
  <si>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</si>
  <si>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</si>
  <si>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</si>
  <si>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</si>
  <si>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</si>
  <si>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</si>
  <si>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</si>
  <si>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</si>
  <si>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</si>
  <si>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</si>
  <si>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</si>
  <si>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</si>
  <si>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</si>
  <si>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</si>
  <si>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</si>
  <si>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</si>
  <si>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</si>
  <si>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</si>
  <si>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</si>
  <si>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</si>
  <si>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</si>
  <si>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</si>
  <si>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</si>
  <si>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</si>
  <si>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</si>
  <si>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</si>
  <si>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</si>
  <si>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</si>
  <si>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</si>
  <si>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</si>
  <si>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</si>
  <si>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</si>
  <si>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</si>
  <si>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</si>
  <si>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</si>
  <si>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</si>
  <si>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</si>
  <si>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</si>
  <si>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</si>
  <si>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</si>
  <si>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</si>
  <si>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</si>
  <si>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</si>
  <si>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</si>
  <si>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</si>
  <si>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</si>
  <si>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</si>
  <si>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</si>
  <si>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</si>
  <si>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</si>
  <si>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</si>
  <si>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</si>
  <si>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</si>
  <si>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</si>
  <si>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</si>
  <si>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</si>
  <si>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</si>
  <si>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</si>
  <si>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</si>
  <si>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</si>
  <si>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</si>
  <si>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</si>
  <si>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</si>
  <si>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</si>
  <si>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</si>
  <si>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</si>
  <si>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</si>
  <si>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</si>
  <si>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</si>
  <si>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</si>
  <si>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</si>
  <si>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</si>
  <si>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</si>
  <si>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</si>
  <si>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</si>
  <si>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</si>
  <si>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</si>
  <si>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</si>
  <si>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</si>
  <si>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</si>
  <si>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</si>
  <si>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</si>
  <si>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</si>
  <si>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</si>
  <si>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</si>
  <si>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</si>
  <si>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</si>
  <si>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</si>
  <si>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</si>
  <si>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</si>
  <si>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</si>
  <si>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</si>
  <si>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</si>
  <si>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</si>
  <si>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</si>
  <si>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</si>
  <si>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</si>
  <si>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</si>
  <si>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</si>
  <si>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</si>
  <si>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</si>
  <si>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</si>
  <si>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</si>
  <si>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</si>
  <si>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</si>
  <si>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</si>
  <si>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</si>
  <si>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</si>
  <si>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</si>
  <si>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</si>
  <si>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</si>
  <si>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</si>
  <si>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</si>
  <si>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</si>
  <si>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</si>
  <si>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</si>
  <si>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</si>
  <si>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</si>
  <si>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</si>
  <si>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</si>
  <si>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</si>
  <si>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</si>
  <si>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</si>
  <si>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</si>
  <si>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</si>
  <si>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</si>
  <si>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</si>
  <si>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</si>
  <si>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</si>
  <si>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</si>
  <si>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</si>
  <si>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</si>
  <si>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</si>
  <si>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</si>
  <si>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</si>
  <si>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</si>
  <si>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</si>
  <si>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</si>
  <si>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</si>
  <si>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</si>
  <si>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</si>
  <si>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</si>
  <si>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</si>
  <si>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</si>
  <si>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</si>
  <si>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</si>
  <si>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</si>
  <si>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</si>
  <si>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</si>
  <si>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</si>
  <si>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</si>
  <si>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</si>
  <si>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</si>
  <si>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</si>
  <si>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</si>
  <si>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</si>
  <si>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</si>
  <si>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</si>
  <si>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</si>
  <si>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</si>
  <si>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</si>
  <si>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</si>
  <si>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</si>
  <si>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</si>
  <si>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</si>
  <si>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</si>
  <si>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</si>
  <si>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</si>
  <si>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</si>
  <si>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</si>
  <si>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</si>
  <si>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</si>
  <si>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</si>
  <si>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</si>
  <si>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</si>
  <si>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</si>
  <si>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</si>
  <si>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</si>
  <si>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</si>
  <si>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</si>
  <si>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</si>
  <si>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</si>
  <si>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</si>
  <si>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</si>
  <si>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</si>
  <si>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</si>
  <si>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</si>
  <si>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</si>
  <si>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</si>
  <si>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</si>
  <si>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</si>
  <si>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</si>
  <si>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</si>
  <si>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</si>
  <si>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</si>
  <si>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</si>
  <si>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</si>
  <si>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</si>
  <si>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</si>
  <si>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</si>
  <si>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</si>
  <si>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</si>
  <si>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</si>
  <si>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</si>
  <si>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</si>
  <si>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</si>
  <si>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</si>
  <si>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</si>
  <si>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</si>
  <si>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</si>
  <si>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</si>
  <si>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</si>
  <si>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</si>
  <si>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</si>
  <si>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</si>
  <si>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</si>
  <si>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</si>
  <si>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</si>
  <si>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</si>
  <si>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</si>
  <si>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</si>
  <si>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</si>
  <si>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</si>
  <si>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</si>
  <si>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</si>
  <si>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</si>
  <si>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</si>
  <si>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</si>
  <si>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</si>
  <si>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</si>
  <si>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</si>
  <si>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</si>
  <si>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</si>
  <si>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</si>
  <si>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</si>
  <si>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</si>
  <si>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</si>
  <si>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</si>
  <si>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</si>
  <si>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</si>
  <si>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</si>
  <si>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</si>
  <si>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</si>
  <si>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</si>
  <si>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</si>
  <si>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</si>
  <si>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</si>
  <si>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</si>
  <si>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</si>
  <si>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</si>
  <si>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</si>
  <si>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</si>
  <si>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</si>
  <si>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</si>
  <si>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</si>
  <si>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</si>
  <si>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</si>
  <si>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</si>
  <si>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</si>
  <si>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</si>
  <si>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</si>
  <si>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</si>
  <si>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</si>
  <si>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</si>
  <si>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</si>
  <si>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</si>
  <si>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</si>
  <si>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</si>
  <si>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</si>
  <si>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</si>
  <si>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</si>
  <si>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</si>
  <si>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</si>
  <si>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</si>
  <si>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</si>
  <si>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</si>
  <si>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</si>
  <si>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</si>
  <si>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</si>
  <si>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</si>
  <si>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</si>
  <si>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</si>
  <si>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</si>
  <si>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</si>
  <si>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</si>
  <si>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</si>
  <si>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</si>
  <si>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</si>
  <si>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</si>
  <si>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</si>
  <si>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</si>
  <si>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</si>
  <si>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</si>
  <si>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</si>
  <si>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</si>
  <si>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</si>
  <si>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</si>
  <si>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</si>
  <si>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</si>
  <si>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</si>
  <si>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</si>
  <si>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</si>
  <si>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</si>
  <si>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</si>
  <si>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</si>
  <si>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</si>
  <si>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</si>
  <si>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</si>
  <si>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</si>
  <si>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</si>
  <si>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</si>
  <si>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</si>
  <si>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</si>
  <si>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</si>
  <si>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</si>
  <si>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</si>
  <si>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</si>
  <si>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</si>
  <si>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</si>
  <si>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</si>
  <si>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</si>
  <si>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</si>
  <si>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</si>
  <si>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</si>
  <si>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</si>
  <si>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</si>
  <si>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</si>
  <si>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</si>
  <si>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</si>
  <si>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</si>
  <si>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</si>
  <si>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</si>
  <si>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</si>
  <si>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</si>
  <si>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</si>
  <si>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</si>
  <si>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</si>
  <si>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</si>
  <si>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</si>
  <si>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</si>
  <si>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</si>
  <si>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</si>
  <si>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</si>
  <si>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</si>
  <si>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</si>
  <si>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</si>
  <si>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</si>
  <si>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</si>
  <si>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</si>
  <si>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</si>
  <si>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</si>
  <si>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</si>
  <si>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</si>
  <si>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</si>
  <si>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</si>
  <si>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</si>
  <si>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</si>
  <si>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</si>
  <si>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</si>
  <si>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</si>
  <si>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</si>
  <si>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</si>
  <si>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</si>
  <si>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</si>
  <si>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</si>
  <si>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</si>
  <si>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</si>
  <si>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</si>
  <si>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</si>
  <si>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</si>
  <si>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</si>
  <si>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</si>
  <si>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</si>
  <si>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</si>
  <si>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</si>
  <si>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</si>
  <si>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</si>
  <si>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</si>
  <si>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</si>
  <si>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</si>
  <si>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</si>
  <si>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</si>
  <si>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</si>
  <si>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</si>
  <si>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</si>
  <si>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</si>
  <si>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</si>
  <si>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</si>
  <si>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</si>
  <si>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</si>
  <si>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</si>
  <si>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</si>
  <si>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</si>
  <si>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</si>
  <si>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</si>
  <si>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</si>
  <si>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</si>
  <si>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</si>
  <si>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</si>
  <si>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</si>
  <si>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</si>
  <si>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</si>
  <si>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</si>
  <si>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</si>
  <si>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</si>
  <si>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</si>
  <si>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</si>
  <si>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</si>
  <si>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</si>
  <si>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</si>
  <si>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</si>
  <si>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</si>
  <si>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</si>
  <si>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</si>
  <si>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</si>
  <si>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</si>
  <si>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</si>
  <si>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</si>
  <si>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</si>
  <si>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</si>
  <si>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</si>
  <si>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</si>
  <si>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</si>
  <si>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</si>
  <si>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</si>
  <si>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</si>
  <si>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</si>
  <si>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</si>
  <si>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</si>
  <si>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</si>
  <si>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</si>
  <si>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</si>
  <si>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</si>
  <si>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</si>
  <si>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</si>
  <si>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</si>
  <si>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</si>
  <si>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</si>
  <si>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</si>
  <si>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</si>
  <si>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</si>
  <si>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</si>
  <si>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</si>
  <si>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</si>
  <si>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</si>
  <si>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</si>
  <si>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</si>
  <si>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</si>
  <si>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</si>
  <si>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</si>
  <si>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</si>
  <si>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</si>
  <si>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</si>
  <si>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</si>
  <si>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</si>
  <si>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</si>
  <si>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</si>
  <si>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</si>
  <si>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</si>
  <si>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</si>
  <si>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</si>
  <si>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</si>
  <si>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</si>
  <si>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</si>
  <si>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</si>
  <si>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</si>
  <si>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</si>
  <si>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</si>
  <si>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</si>
  <si>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</si>
  <si>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</si>
  <si>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</si>
  <si>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</si>
  <si>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</si>
  <si>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</si>
  <si>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</si>
  <si>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</si>
  <si>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</si>
  <si>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</si>
  <si>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</si>
  <si>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</si>
  <si>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</si>
  <si>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</si>
  <si>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</si>
  <si>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</si>
  <si>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</si>
  <si>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</si>
  <si>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</si>
  <si>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</si>
  <si>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</si>
  <si>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</si>
  <si>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</si>
  <si>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</si>
  <si>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</si>
  <si>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</si>
  <si>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</si>
  <si>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</si>
  <si>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</si>
  <si>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</si>
  <si>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</si>
  <si>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</si>
  <si>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</si>
  <si>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</si>
  <si>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</si>
  <si>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</si>
  <si>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</si>
  <si>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</si>
  <si>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</si>
  <si>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</si>
  <si>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</si>
  <si>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</si>
  <si>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</si>
  <si>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</si>
  <si>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</si>
  <si>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</si>
  <si>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</si>
  <si>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</si>
  <si>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</si>
  <si>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</si>
  <si>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</si>
  <si>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</si>
  <si>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</si>
  <si>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</si>
  <si>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</si>
  <si>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</si>
  <si>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</si>
  <si>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</si>
  <si>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</si>
  <si>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</si>
  <si>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</si>
  <si>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</si>
  <si>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</si>
  <si>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</si>
  <si>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</si>
  <si>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</si>
  <si>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</si>
  <si>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</si>
  <si>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</si>
  <si>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</si>
  <si>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</si>
  <si>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</si>
  <si>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</si>
  <si>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</si>
  <si>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</si>
  <si>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</si>
  <si>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</si>
  <si>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</si>
  <si>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</si>
  <si>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</si>
  <si>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</si>
  <si>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</si>
  <si>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</si>
  <si>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</si>
  <si>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</si>
  <si>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</si>
  <si>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</si>
  <si>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</si>
  <si>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</si>
  <si>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</si>
  <si>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</si>
  <si>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</si>
  <si>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</si>
  <si>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</si>
  <si>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</si>
  <si>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</si>
  <si>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</si>
  <si>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</si>
  <si>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</si>
  <si>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</si>
  <si>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</si>
  <si>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</si>
  <si>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</si>
  <si>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</si>
  <si>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</si>
  <si>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</si>
  <si>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</si>
  <si>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</si>
  <si>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</si>
  <si>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</si>
  <si>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</si>
  <si>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</si>
  <si>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</si>
  <si>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</si>
  <si>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</si>
  <si>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</si>
  <si>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</si>
  <si>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</si>
  <si>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</si>
  <si>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</si>
  <si>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</si>
  <si>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</si>
  <si>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</si>
  <si>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</si>
  <si>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</si>
  <si>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</si>
  <si>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</si>
  <si>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</si>
  <si>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</si>
  <si>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</si>
  <si>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</si>
  <si>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</si>
  <si>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</si>
  <si>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</si>
  <si>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</si>
  <si>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</si>
  <si>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</si>
  <si>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</si>
  <si>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</si>
  <si>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</si>
  <si>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</si>
  <si>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</si>
  <si>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</si>
  <si>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</si>
  <si>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</si>
  <si>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</si>
  <si>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</si>
  <si>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</si>
  <si>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</si>
  <si>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</si>
  <si>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</si>
  <si>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</si>
  <si>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</si>
  <si>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</si>
  <si>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</si>
  <si>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</si>
  <si>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</si>
  <si>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</si>
  <si>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</si>
  <si>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</si>
  <si>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</si>
  <si>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</si>
  <si>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</si>
  <si>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</si>
  <si>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</si>
  <si>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</si>
  <si>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</si>
  <si>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</si>
  <si>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</si>
  <si>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</si>
  <si>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</si>
  <si>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</si>
  <si>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</si>
  <si>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</si>
  <si>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</si>
  <si>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</si>
  <si>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</si>
  <si>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</si>
  <si>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</si>
  <si>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</si>
  <si>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</si>
  <si>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</si>
  <si>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</si>
  <si>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</si>
  <si>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</si>
  <si>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</si>
  <si>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</si>
  <si>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</si>
  <si>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</si>
  <si>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</si>
  <si>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</si>
  <si>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</si>
  <si>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</si>
  <si>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</si>
  <si>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</si>
  <si>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</si>
  <si>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</si>
  <si>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</si>
  <si>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</si>
  <si>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</si>
  <si>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</si>
  <si>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</si>
  <si>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</si>
  <si>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</si>
  <si>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</si>
  <si>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</si>
  <si>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</si>
  <si>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</si>
  <si>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</si>
  <si>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</si>
  <si>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</si>
  <si>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</si>
  <si>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</si>
  <si>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</si>
  <si>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</si>
  <si>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</si>
  <si>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</si>
  <si>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</si>
  <si>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</si>
  <si>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</si>
  <si>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</si>
  <si>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</si>
  <si>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</si>
  <si>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</si>
  <si>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</si>
  <si>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</si>
  <si>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</si>
  <si>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</si>
  <si>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</si>
  <si>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</si>
  <si>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</si>
  <si>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</si>
  <si>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</si>
  <si>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</si>
  <si>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</si>
  <si>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</si>
  <si>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</si>
  <si>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</si>
  <si>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</si>
  <si>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</si>
  <si>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</si>
  <si>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</si>
  <si>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</si>
  <si>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</si>
  <si>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</si>
  <si>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</si>
  <si>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</si>
  <si>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</si>
  <si>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</si>
  <si>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</si>
  <si>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</si>
  <si>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</si>
  <si>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</si>
  <si>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</si>
  <si>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</si>
  <si>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</si>
  <si>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</si>
  <si>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</si>
  <si>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</si>
  <si>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</si>
  <si>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</si>
  <si>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</si>
  <si>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</si>
  <si>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</si>
  <si>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</si>
  <si>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</si>
  <si>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</si>
  <si>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</si>
  <si>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</si>
  <si>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</si>
  <si>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</si>
  <si>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</si>
  <si>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</si>
  <si>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</si>
  <si>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</si>
  <si>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</si>
  <si>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</si>
  <si>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</si>
  <si>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</si>
  <si>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</si>
  <si>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</si>
  <si>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</si>
  <si>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</si>
  <si>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</si>
  <si>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</si>
  <si>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</si>
  <si>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</si>
  <si>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</si>
  <si>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</si>
  <si>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</si>
  <si>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</si>
  <si>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</si>
  <si>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</si>
  <si>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</si>
  <si>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</si>
  <si>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</si>
  <si>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</si>
  <si>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</si>
  <si>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</si>
  <si>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</si>
  <si>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</si>
  <si>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</si>
  <si>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</si>
  <si>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</si>
  <si>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</si>
  <si>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</si>
  <si>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</si>
  <si>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</si>
  <si>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</si>
  <si>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</si>
  <si>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</si>
  <si>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</si>
  <si>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</si>
  <si>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</si>
  <si>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</si>
  <si>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</si>
  <si>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</si>
  <si>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</si>
  <si>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</si>
  <si>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</si>
  <si>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</si>
  <si>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</si>
  <si>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</si>
  <si>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</si>
  <si>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</si>
  <si>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</si>
  <si>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</si>
  <si>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</si>
  <si>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</si>
  <si>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</si>
  <si>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</si>
  <si>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</si>
  <si>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</si>
  <si>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</si>
  <si>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</si>
  <si>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</si>
  <si>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</si>
  <si>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</si>
  <si>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</si>
  <si>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</si>
  <si>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</si>
  <si>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</si>
  <si>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</si>
  <si>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</si>
  <si>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</si>
  <si>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</si>
  <si>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</si>
  <si>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</si>
  <si>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</si>
  <si>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</si>
  <si>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</si>
  <si>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</si>
  <si>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</si>
  <si>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</si>
  <si>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</si>
  <si>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</si>
  <si>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</si>
  <si>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</si>
  <si>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</si>
  <si>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</si>
  <si>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</si>
  <si>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</si>
  <si>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</si>
  <si>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</si>
  <si>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</si>
  <si>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</si>
  <si>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</si>
  <si>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</si>
  <si>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</si>
  <si>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</si>
  <si>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</si>
  <si>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</si>
  <si>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</si>
  <si>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</si>
  <si>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</si>
  <si>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</si>
  <si>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</si>
  <si>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</si>
  <si>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</si>
  <si>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</si>
  <si>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</si>
  <si>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</si>
  <si>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</si>
  <si>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</si>
  <si>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</si>
  <si>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</si>
  <si>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</si>
  <si>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</si>
  <si>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</si>
  <si>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</si>
  <si>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</si>
  <si>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</si>
  <si>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</si>
  <si>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</si>
  <si>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</si>
  <si>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</si>
  <si>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</si>
  <si>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</si>
  <si>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</si>
  <si>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</si>
  <si>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</si>
  <si>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</si>
  <si>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</si>
  <si>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</si>
  <si>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</si>
  <si>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</si>
  <si>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</si>
  <si>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</si>
  <si>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</si>
  <si>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</si>
  <si>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</si>
  <si>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</si>
  <si>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</si>
  <si>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</si>
  <si>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</si>
  <si>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</si>
  <si>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</si>
  <si>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</si>
  <si>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</si>
  <si>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</si>
  <si>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</si>
  <si>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</si>
  <si>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</si>
  <si>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</si>
  <si>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</si>
  <si>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</si>
  <si>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</si>
  <si>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</si>
  <si>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</si>
  <si>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</si>
  <si>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</si>
  <si>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</si>
  <si>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</si>
  <si>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</si>
  <si>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</si>
  <si>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</si>
  <si>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</si>
  <si>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</si>
  <si>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</si>
  <si>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</si>
  <si>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</si>
  <si>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</si>
  <si>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</si>
  <si>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</si>
  <si>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</si>
  <si>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</si>
  <si>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</si>
  <si>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</si>
  <si>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</si>
  <si>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</si>
  <si>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</si>
  <si>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</si>
  <si>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</si>
  <si>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</si>
  <si>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</si>
  <si>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</si>
  <si>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</si>
  <si>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</si>
  <si>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</si>
  <si>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</si>
  <si>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</si>
  <si>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</si>
  <si>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</si>
  <si>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</si>
  <si>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</si>
  <si>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</si>
  <si>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</si>
  <si>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</si>
  <si>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</si>
  <si>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</si>
  <si>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</si>
  <si>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</si>
  <si>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</si>
  <si>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</si>
  <si>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</si>
  <si>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</si>
  <si>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</si>
  <si>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</si>
  <si>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</si>
  <si>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</si>
  <si>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</si>
  <si>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</si>
  <si>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</si>
  <si>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</si>
  <si>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</si>
  <si>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</si>
  <si>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</si>
  <si>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</si>
  <si>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</si>
  <si>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</si>
  <si>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</si>
  <si>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</si>
  <si>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</si>
  <si>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</si>
  <si>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</si>
  <si>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</si>
  <si>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</si>
  <si>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</si>
  <si>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</si>
  <si>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</si>
  <si>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</si>
  <si>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</si>
  <si>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</si>
  <si>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</si>
  <si>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</si>
  <si>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</si>
  <si>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</si>
  <si>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</si>
  <si>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</si>
  <si>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</si>
  <si>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</si>
  <si>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</si>
  <si>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</si>
  <si>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</si>
  <si>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</si>
  <si>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</si>
  <si>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</si>
  <si>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</si>
  <si>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</si>
  <si>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</si>
  <si>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</si>
  <si>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</si>
  <si>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</si>
  <si>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</si>
  <si>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</si>
  <si>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</si>
  <si>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</si>
  <si>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</si>
  <si>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</si>
  <si>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</si>
  <si>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</si>
  <si>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</si>
  <si>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</si>
  <si>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</si>
  <si>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</si>
  <si>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</si>
  <si>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</si>
  <si>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</si>
  <si>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</si>
  <si>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</si>
  <si>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</si>
  <si>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</si>
  <si>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</si>
  <si>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</si>
  <si>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</si>
  <si>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</si>
  <si>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</si>
  <si>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</si>
  <si>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</si>
  <si>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</si>
  <si>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</si>
  <si>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</si>
  <si>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</si>
  <si>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</si>
  <si>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</si>
  <si>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</si>
  <si>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</si>
  <si>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</si>
  <si>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</si>
  <si>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</si>
  <si>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</si>
  <si>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</si>
  <si>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</si>
  <si>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</si>
  <si>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</si>
  <si>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</si>
  <si>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</si>
  <si>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</si>
  <si>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</si>
  <si>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</si>
  <si>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</si>
  <si>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</si>
  <si>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</si>
  <si>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</si>
  <si>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</si>
  <si>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</si>
  <si>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</si>
  <si>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</si>
  <si>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</si>
  <si>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</si>
  <si>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</si>
  <si>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</si>
  <si>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</si>
  <si>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</si>
  <si>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</si>
  <si>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</si>
  <si>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</si>
  <si>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</si>
  <si>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</si>
  <si>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</si>
  <si>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</si>
  <si>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</si>
  <si>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</si>
  <si>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</si>
  <si>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</si>
  <si>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</si>
  <si>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</si>
  <si>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</si>
  <si>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</si>
  <si>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</si>
  <si>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</si>
  <si>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</si>
  <si>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</si>
  <si>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</si>
  <si>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</si>
  <si>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</si>
  <si>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</si>
  <si>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</si>
  <si>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</si>
  <si>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</si>
  <si>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</si>
  <si>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</si>
  <si>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</si>
  <si>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</si>
  <si>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</si>
  <si>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</si>
  <si>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</si>
  <si>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</si>
  <si>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</si>
  <si>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</si>
  <si>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</si>
  <si>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</si>
  <si>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</si>
  <si>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</si>
  <si>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</si>
  <si>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</si>
  <si>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</si>
  <si>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</si>
  <si>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</si>
  <si>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</si>
  <si>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</si>
  <si>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</si>
  <si>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</si>
  <si>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</si>
  <si>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</si>
  <si>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</si>
  <si>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</si>
  <si>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</si>
  <si>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</si>
  <si>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</si>
  <si>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</si>
  <si>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</si>
  <si>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</si>
  <si>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</si>
  <si>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</si>
  <si>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</si>
  <si>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</si>
  <si>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</si>
  <si>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</si>
  <si>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</si>
  <si>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</si>
  <si>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</si>
  <si>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</si>
  <si>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</si>
  <si>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</si>
  <si>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</si>
  <si>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</si>
  <si>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</si>
  <si>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</si>
  <si>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</si>
  <si>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</si>
  <si>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</si>
  <si>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</si>
  <si>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</si>
  <si>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</si>
  <si>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</si>
  <si>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</si>
  <si>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</si>
  <si>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</si>
  <si>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</si>
  <si>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</si>
  <si>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</si>
  <si>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</si>
  <si>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</si>
  <si>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</si>
  <si>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</si>
  <si>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</si>
  <si>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</si>
  <si>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</si>
  <si>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</si>
  <si>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</si>
  <si>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</si>
  <si>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</si>
  <si>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</si>
  <si>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</si>
  <si>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</si>
  <si>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</si>
  <si>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</si>
  <si>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</si>
  <si>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</si>
  <si>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</si>
  <si>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</si>
  <si>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</si>
  <si>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</si>
  <si>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</si>
  <si>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</si>
  <si>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</si>
  <si>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</si>
  <si>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</si>
  <si>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</si>
  <si>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</si>
  <si>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</si>
  <si>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</si>
  <si>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</si>
  <si>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</si>
  <si>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</si>
  <si>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</si>
  <si>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</si>
  <si>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</si>
  <si>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</si>
  <si>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</si>
  <si>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</si>
  <si>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</si>
  <si>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</si>
  <si>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</si>
  <si>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</si>
  <si>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</si>
  <si>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</si>
  <si>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</si>
  <si>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</si>
  <si>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</si>
  <si>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</si>
  <si>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</si>
  <si>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</si>
  <si>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</si>
  <si>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</si>
  <si>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</si>
  <si>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</si>
  <si>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</si>
  <si>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</si>
  <si>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</si>
  <si>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</si>
  <si>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</si>
  <si>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</si>
  <si>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</si>
  <si>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</si>
  <si>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</si>
  <si>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</si>
  <si>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</si>
  <si>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</si>
  <si>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</si>
  <si>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</si>
  <si>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</si>
  <si>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</si>
  <si>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</si>
  <si>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</si>
  <si>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</si>
  <si>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</si>
  <si>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</si>
  <si>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</si>
  <si>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</si>
  <si>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</si>
  <si>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</si>
  <si>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</si>
  <si>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</si>
  <si>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</si>
  <si>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</si>
  <si>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</si>
  <si>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</si>
  <si>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</si>
  <si>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</si>
  <si>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</si>
  <si>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</si>
  <si>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</si>
  <si>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</si>
  <si>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</si>
  <si>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</si>
  <si>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</si>
  <si>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</si>
  <si>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</si>
  <si>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</si>
  <si>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</si>
  <si>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</si>
  <si>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</si>
  <si>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</si>
  <si>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</si>
  <si>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</si>
  <si>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</si>
  <si>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</si>
  <si>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</si>
  <si>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</si>
  <si>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</si>
  <si>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</si>
  <si>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</si>
  <si>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</si>
  <si>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</si>
  <si>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</si>
  <si>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</si>
  <si>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</si>
  <si>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</si>
  <si>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</si>
  <si>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</si>
  <si>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</si>
  <si>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</si>
  <si>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</si>
  <si>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</si>
  <si>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</si>
  <si>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</si>
  <si>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</si>
  <si>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</si>
  <si>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</si>
  <si>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</si>
  <si>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</si>
  <si>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</si>
  <si>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</si>
  <si>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</si>
  <si>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</si>
  <si>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</si>
  <si>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</si>
  <si>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</si>
  <si>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</si>
  <si>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</si>
  <si>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</si>
  <si>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</si>
  <si>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</si>
  <si>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</si>
  <si>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</si>
  <si>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</si>
  <si>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</si>
  <si>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</si>
  <si>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</si>
  <si>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</si>
  <si>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</si>
  <si>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</si>
  <si>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</si>
  <si>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</si>
  <si>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</si>
  <si>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</si>
  <si>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</si>
  <si>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</si>
  <si>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</si>
  <si>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</si>
  <si>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</si>
  <si>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</si>
  <si>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</si>
  <si>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</si>
  <si>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</si>
  <si>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</si>
  <si>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</si>
  <si>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</si>
  <si>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</si>
  <si>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</si>
  <si>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</si>
  <si>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</si>
  <si>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</si>
  <si>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</si>
  <si>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</si>
  <si>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</si>
  <si>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</si>
  <si>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</si>
  <si>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</si>
  <si>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</si>
  <si>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</si>
  <si>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</si>
  <si>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</si>
  <si>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</si>
  <si>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</si>
  <si>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</si>
  <si>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</si>
  <si>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</si>
  <si>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</si>
  <si>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</si>
  <si>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</si>
  <si>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</si>
  <si>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</si>
  <si>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</si>
  <si>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</si>
  <si>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</si>
  <si>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</si>
  <si>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</si>
  <si>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</si>
  <si>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</si>
  <si>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</si>
  <si>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</si>
  <si>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</si>
  <si>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</si>
  <si>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</si>
  <si>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</si>
  <si>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</si>
  <si>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</si>
  <si>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</si>
  <si>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</si>
  <si>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</si>
  <si>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</si>
  <si>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</si>
  <si>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</si>
  <si>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</si>
  <si>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</si>
  <si>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</si>
  <si>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</si>
  <si>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</si>
  <si>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</si>
  <si>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</si>
  <si>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</si>
  <si>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</si>
  <si>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</si>
  <si>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</si>
  <si>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</si>
  <si>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</si>
  <si>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</si>
  <si>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</si>
  <si>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</si>
  <si>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</si>
  <si>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</si>
  <si>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</si>
  <si>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</si>
  <si>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</si>
  <si>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</si>
  <si>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</si>
  <si>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</si>
  <si>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</si>
  <si>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</si>
  <si>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</si>
  <si>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</si>
  <si>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</si>
  <si>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</si>
  <si>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</si>
  <si>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</si>
  <si>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</si>
  <si>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</si>
  <si>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</si>
  <si>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</si>
  <si>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</si>
  <si>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</si>
  <si>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</si>
  <si>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</si>
  <si>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</si>
  <si>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</si>
  <si>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</si>
  <si>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</si>
  <si>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</si>
  <si>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</si>
  <si>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</si>
  <si>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</si>
  <si>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</si>
  <si>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</si>
  <si>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</si>
  <si>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</si>
  <si>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</si>
  <si>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</si>
  <si>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</si>
  <si>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</si>
  <si>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</si>
  <si>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</si>
  <si>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</si>
  <si>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</si>
  <si>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</si>
  <si>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</si>
  <si>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</si>
  <si>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</si>
  <si>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</si>
  <si>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</si>
  <si>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</si>
  <si>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</si>
  <si>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</si>
  <si>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</si>
  <si>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</si>
  <si>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</si>
  <si>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</si>
  <si>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</si>
  <si>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</si>
  <si>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</si>
  <si>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</si>
  <si>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</si>
  <si>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</si>
  <si>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</si>
  <si>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</si>
  <si>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</si>
  <si>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</si>
  <si>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</si>
  <si>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</si>
  <si>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</si>
  <si>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</si>
  <si>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</si>
  <si>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</si>
  <si>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</si>
  <si>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</si>
  <si>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</si>
  <si>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</si>
  <si>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</si>
  <si>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</si>
  <si>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</si>
  <si>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</si>
  <si>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</si>
  <si>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</si>
  <si>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</si>
  <si>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</si>
  <si>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</si>
  <si>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</si>
  <si>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</si>
  <si>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</si>
  <si>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</si>
  <si>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</si>
  <si>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</si>
  <si>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</si>
  <si>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</si>
  <si>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</si>
  <si>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</si>
  <si>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</si>
  <si>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</si>
  <si>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</si>
  <si>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</si>
  <si>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</si>
  <si>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</si>
  <si>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</si>
  <si>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</si>
  <si>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</si>
  <si>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</si>
  <si>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</si>
  <si>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</si>
  <si>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</si>
  <si>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</si>
  <si>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</si>
  <si>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</si>
  <si>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</si>
  <si>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</si>
  <si>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</si>
  <si>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</si>
  <si>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</si>
  <si>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</si>
  <si>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</si>
  <si>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</si>
  <si>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</si>
  <si>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</si>
  <si>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</si>
  <si>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</si>
  <si>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</si>
  <si>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</si>
  <si>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</si>
  <si>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</si>
  <si>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</si>
  <si>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</si>
  <si>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</si>
  <si>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</si>
  <si>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</si>
  <si>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</si>
  <si>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</si>
  <si>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</si>
  <si>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</si>
  <si>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</si>
  <si>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</si>
  <si>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</si>
  <si>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</si>
  <si>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</si>
  <si>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</si>
  <si>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</si>
  <si>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</si>
  <si>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</si>
  <si>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</si>
  <si>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</si>
  <si>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</si>
  <si>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</si>
  <si>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</si>
  <si>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</si>
  <si>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</si>
  <si>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</si>
  <si>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</si>
  <si>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</si>
  <si>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</si>
  <si>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</si>
  <si>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</si>
  <si>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</si>
  <si>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</si>
  <si>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</si>
  <si>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</si>
  <si>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</si>
  <si>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</si>
  <si>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</si>
  <si>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</si>
  <si>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</si>
  <si>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</si>
  <si>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</si>
  <si>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</si>
  <si>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</si>
  <si>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</si>
  <si>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</si>
  <si>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</si>
  <si>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</si>
  <si>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</si>
  <si>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</si>
  <si>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</si>
  <si>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</si>
  <si>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</si>
  <si>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</si>
  <si>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</si>
  <si>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</si>
  <si>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</si>
  <si>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</si>
  <si>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</si>
  <si>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</si>
  <si>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</si>
  <si>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</si>
  <si>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</si>
  <si>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</si>
  <si>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</si>
  <si>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</si>
  <si>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</si>
  <si>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</si>
  <si>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</si>
  <si>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</si>
  <si>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</si>
  <si>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</si>
  <si>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</si>
  <si>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</si>
  <si>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</si>
  <si>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</si>
  <si>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</si>
  <si>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</si>
  <si>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</si>
  <si>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</si>
  <si>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</si>
  <si>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</si>
  <si>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</si>
  <si>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</si>
  <si>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</si>
  <si>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</si>
  <si>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</si>
  <si>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</si>
  <si>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</si>
  <si>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</si>
  <si>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</si>
  <si>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</si>
  <si>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</si>
  <si>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</si>
  <si>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</si>
  <si>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</si>
  <si>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</si>
  <si>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</si>
  <si>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</si>
  <si>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</si>
  <si>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</si>
  <si>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</si>
  <si>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</si>
  <si>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</si>
  <si>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</si>
  <si>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</si>
  <si>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</si>
  <si>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</si>
  <si>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</si>
  <si>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</si>
  <si>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</si>
  <si>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</si>
  <si>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</si>
  <si>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</si>
  <si>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</si>
  <si>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</si>
  <si>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</si>
  <si>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</si>
  <si>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</si>
  <si>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</si>
  <si>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</si>
  <si>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</si>
  <si>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</si>
  <si>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</si>
  <si>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</si>
  <si>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</si>
  <si>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</si>
  <si>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</si>
  <si>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</si>
  <si>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</si>
  <si>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</si>
  <si>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</si>
  <si>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</si>
  <si>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</si>
  <si>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</si>
  <si>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</si>
  <si>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</si>
  <si>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</si>
  <si>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</si>
  <si>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</si>
  <si>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</si>
  <si>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</si>
  <si>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</si>
  <si>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</si>
  <si>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</si>
  <si>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</si>
  <si>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</si>
  <si>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</si>
  <si>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</si>
  <si>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</si>
  <si>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</si>
  <si>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</si>
  <si>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</si>
  <si>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</si>
  <si>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</si>
  <si>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</si>
  <si>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</si>
  <si>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</si>
  <si>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</si>
  <si>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</si>
  <si>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</si>
  <si>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</si>
  <si>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</si>
  <si>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</si>
  <si>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</si>
  <si>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</si>
  <si>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</si>
  <si>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</si>
  <si>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</si>
  <si>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</si>
  <si>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</si>
  <si>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</si>
  <si>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</si>
  <si>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</si>
  <si>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</si>
  <si>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</si>
  <si>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</si>
  <si>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</si>
  <si>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</si>
  <si>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</si>
  <si>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</si>
  <si>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</si>
  <si>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</si>
  <si>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</si>
  <si>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</si>
  <si>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</si>
  <si>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</si>
  <si>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</si>
  <si>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</si>
  <si>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</si>
  <si>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</si>
  <si>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</si>
  <si>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</si>
  <si>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</si>
  <si>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</si>
  <si>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</si>
  <si>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</si>
  <si>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</si>
  <si>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</si>
  <si>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</si>
  <si>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</si>
  <si>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</si>
  <si>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</si>
  <si>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</si>
  <si>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</si>
  <si>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</si>
  <si>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</si>
  <si>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</si>
  <si>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</si>
  <si>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</si>
  <si>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</si>
  <si>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</si>
  <si>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</si>
  <si>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</si>
  <si>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</si>
  <si>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</si>
  <si>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</si>
  <si>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</si>
  <si>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</si>
  <si>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</si>
  <si>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</si>
  <si>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</si>
  <si>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</si>
  <si>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</si>
  <si>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</si>
  <si>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</si>
  <si>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</si>
  <si>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</si>
  <si>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</si>
  <si>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</si>
  <si>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</si>
  <si>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</si>
  <si>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</si>
  <si>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</si>
  <si>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</si>
  <si>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</si>
  <si>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</si>
  <si>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</si>
  <si>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</si>
  <si>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</si>
  <si>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</si>
  <si>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</si>
  <si>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</si>
  <si>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</si>
  <si>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</si>
  <si>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</si>
  <si>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</si>
  <si>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</si>
  <si>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</si>
  <si>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</si>
  <si>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</si>
  <si>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</si>
  <si>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</si>
  <si>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</si>
  <si>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</si>
  <si>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</si>
  <si>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</si>
  <si>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</si>
  <si>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</si>
  <si>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</si>
  <si>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</si>
  <si>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</si>
  <si>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</si>
  <si>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</si>
  <si>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</si>
  <si>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</si>
  <si>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</si>
  <si>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</si>
  <si>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</si>
  <si>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</si>
  <si>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</si>
  <si>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</si>
  <si>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</si>
  <si>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</si>
  <si>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</si>
  <si>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</si>
  <si>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</si>
  <si>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</si>
  <si>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</si>
  <si>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</si>
  <si>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</si>
  <si>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</si>
  <si>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</si>
  <si>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</si>
  <si>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</si>
  <si>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</si>
  <si>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</si>
  <si>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</si>
  <si>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</si>
  <si>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</si>
  <si>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</si>
  <si>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</si>
  <si>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</si>
  <si>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</si>
  <si>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</si>
  <si>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</si>
  <si>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</si>
  <si>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</si>
  <si>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</si>
  <si>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</si>
  <si>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</si>
  <si>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</si>
  <si>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</si>
  <si>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</si>
  <si>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</si>
  <si>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</si>
  <si>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</si>
  <si>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</si>
  <si>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</si>
  <si>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</si>
  <si>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</si>
  <si>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</si>
  <si>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</si>
  <si>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</si>
  <si>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</si>
  <si>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</si>
  <si>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</si>
  <si>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</si>
  <si>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</si>
  <si>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</si>
  <si>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</si>
  <si>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</si>
  <si>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</si>
  <si>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</si>
  <si>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</si>
  <si>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</si>
  <si>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</si>
  <si>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</si>
  <si>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</si>
  <si>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</si>
  <si>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</si>
  <si>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</si>
  <si>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</si>
  <si>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</si>
  <si>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</si>
  <si>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</si>
  <si>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</si>
  <si>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</si>
  <si>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</si>
  <si>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</si>
  <si>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</si>
  <si>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</si>
  <si>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</si>
  <si>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</si>
  <si>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</si>
  <si>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</si>
  <si>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</si>
  <si>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</si>
  <si>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</si>
  <si>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</si>
  <si>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</si>
  <si>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</si>
  <si>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</si>
  <si>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</si>
  <si>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</si>
  <si>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</si>
  <si>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</si>
  <si>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</si>
  <si>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</si>
  <si>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</si>
  <si>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</si>
  <si>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</si>
  <si>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</si>
  <si>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</si>
  <si>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</si>
  <si>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</si>
  <si>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</si>
  <si>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</si>
  <si>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</si>
  <si>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</si>
  <si>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</si>
  <si>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</si>
  <si>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</si>
  <si>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</si>
  <si>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</si>
  <si>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</si>
  <si>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</si>
  <si>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</si>
  <si>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</si>
  <si>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</si>
  <si>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</si>
  <si>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</si>
  <si>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</si>
  <si>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</si>
  <si>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</si>
  <si>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</si>
  <si>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</si>
  <si>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</si>
  <si>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</si>
  <si>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</si>
  <si>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</si>
  <si>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</si>
  <si>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</si>
  <si>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</si>
  <si>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</si>
  <si>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</si>
  <si>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</si>
  <si>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</si>
  <si>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</si>
  <si>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</si>
  <si>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</si>
  <si>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</si>
  <si>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</si>
  <si>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</si>
  <si>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</si>
  <si>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</si>
  <si>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</si>
  <si>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</si>
  <si>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</si>
  <si>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</si>
  <si>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</si>
  <si>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</si>
  <si>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</si>
  <si>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</si>
  <si>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</si>
  <si>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</si>
  <si>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</si>
  <si>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</si>
  <si>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</si>
  <si>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</si>
  <si>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</si>
  <si>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</si>
  <si>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</si>
  <si>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</si>
  <si>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</si>
  <si>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</si>
  <si>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</si>
  <si>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</si>
  <si>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</si>
  <si>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</si>
  <si>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</si>
  <si>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</si>
  <si>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</si>
  <si>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</si>
  <si>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</si>
  <si>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</si>
  <si>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</si>
  <si>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</si>
  <si>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</si>
  <si>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</si>
  <si>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</si>
  <si>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</si>
  <si>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</si>
  <si>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</si>
  <si>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</si>
  <si>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</si>
  <si>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</si>
  <si>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</si>
  <si>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</si>
  <si>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</si>
  <si>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</si>
  <si>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</si>
  <si>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</si>
  <si>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</si>
  <si>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</si>
  <si>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</si>
  <si>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</si>
  <si>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</si>
  <si>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</si>
  <si>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</si>
  <si>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</si>
  <si>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</si>
  <si>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</si>
  <si>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</si>
  <si>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</si>
  <si>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</si>
  <si>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</si>
  <si>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</si>
  <si>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</si>
  <si>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</si>
  <si>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</si>
  <si>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</si>
  <si>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</si>
  <si>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</si>
  <si>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</si>
  <si>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</si>
  <si>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</si>
  <si>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</si>
  <si>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</si>
  <si>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</si>
  <si>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</si>
  <si>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</si>
  <si>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</si>
  <si>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</si>
  <si>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</si>
  <si>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</si>
  <si>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</si>
  <si>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</si>
  <si>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</si>
  <si>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</si>
  <si>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</si>
  <si>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</si>
  <si>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</si>
  <si>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</si>
  <si>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</si>
  <si>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</si>
  <si>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</si>
  <si>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</si>
  <si>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</si>
  <si>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</si>
  <si>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</si>
  <si>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</si>
  <si>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</si>
  <si>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</si>
  <si>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</si>
  <si>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</si>
  <si>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</si>
  <si>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</si>
  <si>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</si>
  <si>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</si>
  <si>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</si>
  <si>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</si>
  <si>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</si>
  <si>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</si>
  <si>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</si>
  <si>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</si>
  <si>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</si>
  <si>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</si>
  <si>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</si>
  <si>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</si>
  <si>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</si>
  <si>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</si>
  <si>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</si>
  <si>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</si>
  <si>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</si>
  <si>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</si>
  <si>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</si>
  <si>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</si>
  <si>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</si>
  <si>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</si>
  <si>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</si>
  <si>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</si>
  <si>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</si>
  <si>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</si>
  <si>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</si>
  <si>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</si>
  <si>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</si>
  <si>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</si>
  <si>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</si>
  <si>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</si>
  <si>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</si>
  <si>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</si>
  <si>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</si>
  <si>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</si>
  <si>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</si>
  <si>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</si>
  <si>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</si>
  <si>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</si>
  <si>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</si>
  <si>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</si>
  <si>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</si>
  <si>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</si>
  <si>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</si>
  <si>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</si>
  <si>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</si>
  <si>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</si>
  <si>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</si>
  <si>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</si>
  <si>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</si>
  <si>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</si>
  <si>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</si>
  <si>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</si>
  <si>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</si>
  <si>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</si>
  <si>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</si>
  <si>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</si>
  <si>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</si>
  <si>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</si>
  <si>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</si>
  <si>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</si>
  <si>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</si>
  <si>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</si>
  <si>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</si>
  <si>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</si>
  <si>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</si>
  <si>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</si>
  <si>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</si>
  <si>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</si>
  <si>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</si>
  <si>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</si>
  <si>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</si>
  <si>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</si>
  <si>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</si>
  <si>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</si>
  <si>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</si>
  <si>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</si>
  <si>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</si>
  <si>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</si>
  <si>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</si>
  <si>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</si>
  <si>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</si>
  <si>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</si>
  <si>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</si>
  <si>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</si>
  <si>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</si>
  <si>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</si>
  <si>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</si>
  <si>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</si>
  <si>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</si>
  <si>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</si>
  <si>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</si>
  <si>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</si>
  <si>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</si>
  <si>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</si>
  <si>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</si>
  <si>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</si>
  <si>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</si>
  <si>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</si>
  <si>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</si>
  <si>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</si>
  <si>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</si>
  <si>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</si>
  <si>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</si>
  <si>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</si>
  <si>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</si>
  <si>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</si>
  <si>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</si>
  <si>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</si>
  <si>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</si>
  <si>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</si>
  <si>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</si>
  <si>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</si>
  <si>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</si>
  <si>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</si>
  <si>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</si>
  <si>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</si>
  <si>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</si>
  <si>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</si>
  <si>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</si>
  <si>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</si>
  <si>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</si>
  <si>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</si>
  <si>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</si>
  <si>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</si>
  <si>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</si>
  <si>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</si>
  <si>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</si>
  <si>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</si>
  <si>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</si>
  <si>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</si>
  <si>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</si>
  <si>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</si>
  <si>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</si>
  <si>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</si>
  <si>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</si>
  <si>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</si>
  <si>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</si>
  <si>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</si>
  <si>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</si>
  <si>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</si>
  <si>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</si>
  <si>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</si>
  <si>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</si>
  <si>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</si>
  <si>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</si>
  <si>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</si>
  <si>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</si>
  <si>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</si>
  <si>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</si>
  <si>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</si>
  <si>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</si>
  <si>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</si>
  <si>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</si>
  <si>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</si>
  <si>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</si>
  <si>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</si>
  <si>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</si>
  <si>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</si>
  <si>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</si>
  <si>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</si>
  <si>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</si>
  <si>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</si>
  <si>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</si>
  <si>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</si>
  <si>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</si>
  <si>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</si>
  <si>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</si>
  <si>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</si>
  <si>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</si>
  <si>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</si>
  <si>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</si>
  <si>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</si>
  <si>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</si>
  <si>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</si>
  <si>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</si>
  <si>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</si>
  <si>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</si>
  <si>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</si>
  <si>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</si>
  <si>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</si>
  <si>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</si>
  <si>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</si>
  <si>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</si>
  <si>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</si>
  <si>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</si>
  <si>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</si>
  <si>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</si>
  <si>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</si>
  <si>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</si>
  <si>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</si>
  <si>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</si>
  <si>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</si>
  <si>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</si>
  <si>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</si>
  <si>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</si>
  <si>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</si>
  <si>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</si>
  <si>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</si>
  <si>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</si>
  <si>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</si>
  <si>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</si>
  <si>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</si>
  <si>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</si>
  <si>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</si>
  <si>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</si>
  <si>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</si>
  <si>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</si>
  <si>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</si>
  <si>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</si>
  <si>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</si>
  <si>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</si>
  <si>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</si>
  <si>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</si>
  <si>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</si>
  <si>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</si>
  <si>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</si>
  <si>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</si>
  <si>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</si>
  <si>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</si>
  <si>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</si>
  <si>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</si>
  <si>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</si>
  <si>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</si>
  <si>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</si>
  <si>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</si>
  <si>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</si>
  <si>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</si>
  <si>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</si>
  <si>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</si>
  <si>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</si>
  <si>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</si>
  <si>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</si>
  <si>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</si>
  <si>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</si>
  <si>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</si>
  <si>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</si>
  <si>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</si>
  <si>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</si>
  <si>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</si>
  <si>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</si>
  <si>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</si>
  <si>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</si>
  <si>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</si>
  <si>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</si>
  <si>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</si>
  <si>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</si>
  <si>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</si>
  <si>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</si>
  <si>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</si>
  <si>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</si>
  <si>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</si>
  <si>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</si>
  <si>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</si>
  <si>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</si>
  <si>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</si>
  <si>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</si>
  <si>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</si>
  <si>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</si>
  <si>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</si>
  <si>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</si>
  <si>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</si>
  <si>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</si>
  <si>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</si>
  <si>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</si>
  <si>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</si>
  <si>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</si>
  <si>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</si>
  <si>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</si>
  <si>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</si>
  <si>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</si>
  <si>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</si>
  <si>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</si>
  <si>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</si>
  <si>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</si>
  <si>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</si>
  <si>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</si>
  <si>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</si>
  <si>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</si>
  <si>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</si>
  <si>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</si>
  <si>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</si>
  <si>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</si>
  <si>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</si>
  <si>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</si>
  <si>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</si>
  <si>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</si>
  <si>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</si>
  <si>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</si>
  <si>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</si>
  <si>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</si>
  <si>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</si>
  <si>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</si>
  <si>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</si>
  <si>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</si>
  <si>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</si>
  <si>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</si>
  <si>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</si>
  <si>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</si>
  <si>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</si>
  <si>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</si>
  <si>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</si>
  <si>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</si>
  <si>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</si>
  <si>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</si>
  <si>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</si>
  <si>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</si>
  <si>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</si>
  <si>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</si>
  <si>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</si>
  <si>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</si>
  <si>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</si>
  <si>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</si>
  <si>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</si>
  <si>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</si>
  <si>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</si>
  <si>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</si>
  <si>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</si>
  <si>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</si>
  <si>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</si>
  <si>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</si>
  <si>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</si>
  <si>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</si>
  <si>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</si>
  <si>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</si>
  <si>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</si>
  <si>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</si>
  <si>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</si>
  <si>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</si>
  <si>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</si>
  <si>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</si>
  <si>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</si>
  <si>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</si>
  <si>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</si>
  <si>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</si>
  <si>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</si>
  <si>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</si>
  <si>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</si>
  <si>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</si>
  <si>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</si>
  <si>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</si>
  <si>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</si>
  <si>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</si>
  <si>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</si>
  <si>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</si>
  <si>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</si>
  <si>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</si>
  <si>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</si>
  <si>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</si>
  <si>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</si>
  <si>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</si>
  <si>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</si>
  <si>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</si>
  <si>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</si>
  <si>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</si>
  <si>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</si>
  <si>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</si>
  <si>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</si>
  <si>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</si>
  <si>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</si>
  <si>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</si>
  <si>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</si>
  <si>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</si>
  <si>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</si>
  <si>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</si>
  <si>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</si>
  <si>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</si>
  <si>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</si>
  <si>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</si>
  <si>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</si>
  <si>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</si>
  <si>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</si>
  <si>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</si>
  <si>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</si>
  <si>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</si>
  <si>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</si>
  <si>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</si>
  <si>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</si>
  <si>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</si>
  <si>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</si>
  <si>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</si>
  <si>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</si>
  <si>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</si>
  <si>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</si>
  <si>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</si>
  <si>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</si>
  <si>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</si>
  <si>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</si>
  <si>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</si>
  <si>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</si>
  <si>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</si>
  <si>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</si>
  <si>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</si>
  <si>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</si>
  <si>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</si>
  <si>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</si>
  <si>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</si>
  <si>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</si>
  <si>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</si>
  <si>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</si>
  <si>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</si>
  <si>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</si>
  <si>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</si>
  <si>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</si>
  <si>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</si>
  <si>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</si>
  <si>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</si>
  <si>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</si>
  <si>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</si>
  <si>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</si>
  <si>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</si>
  <si>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</si>
  <si>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</si>
  <si>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</si>
  <si>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</si>
  <si>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</si>
  <si>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</si>
  <si>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</si>
  <si>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</si>
  <si>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</si>
  <si>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</si>
  <si>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</si>
  <si>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</si>
  <si>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</si>
  <si>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</si>
  <si>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</si>
  <si>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</si>
  <si>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</si>
  <si>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</si>
  <si>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</si>
  <si>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</si>
  <si>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</si>
  <si>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</si>
  <si>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</si>
  <si>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</si>
  <si>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</si>
  <si>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</si>
  <si>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</si>
  <si>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</si>
  <si>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</si>
  <si>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</si>
  <si>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</si>
  <si>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</si>
  <si>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</si>
  <si>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</si>
  <si>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</si>
  <si>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</si>
  <si>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</si>
  <si>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</si>
  <si>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</si>
  <si>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</si>
  <si>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</si>
  <si>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</si>
  <si>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</si>
  <si>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</si>
  <si>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</si>
  <si>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</si>
  <si>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</si>
  <si>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</si>
  <si>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</si>
  <si>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</si>
  <si>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</si>
  <si>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</si>
  <si>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</si>
  <si>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</si>
  <si>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</si>
  <si>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</si>
  <si>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</si>
  <si>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</si>
  <si>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</si>
  <si>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</si>
  <si>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</si>
  <si>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</si>
  <si>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</si>
  <si>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</si>
  <si>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</si>
  <si>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</si>
  <si>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</si>
  <si>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</si>
  <si>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</si>
  <si>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</si>
  <si>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</si>
  <si>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</si>
  <si>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</si>
  <si>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</si>
  <si>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</si>
  <si>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</si>
  <si>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</si>
  <si>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</si>
  <si>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</si>
  <si>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</si>
  <si>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</si>
  <si>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</si>
  <si>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</si>
  <si>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</si>
  <si>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</si>
  <si>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</si>
  <si>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</si>
  <si>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</si>
  <si>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</si>
  <si>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</si>
  <si>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</si>
  <si>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</si>
  <si>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</si>
  <si>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</si>
  <si>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</si>
  <si>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</si>
  <si>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</si>
  <si>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</si>
  <si>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</si>
  <si>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</si>
  <si>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</si>
  <si>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</si>
  <si>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</si>
  <si>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</si>
  <si>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</si>
  <si>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</si>
  <si>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</si>
  <si>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</si>
  <si>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</si>
  <si>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</si>
  <si>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</si>
  <si>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</si>
  <si>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</si>
  <si>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</si>
  <si>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</si>
  <si>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</si>
  <si>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</si>
  <si>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</si>
  <si>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</si>
  <si>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</si>
  <si>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</si>
  <si>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</si>
  <si>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</si>
  <si>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</si>
  <si>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</si>
  <si>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</si>
  <si>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</si>
  <si>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</si>
  <si>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</si>
  <si>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</si>
  <si>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</si>
  <si>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</si>
  <si>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</si>
  <si>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</si>
  <si>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</si>
  <si>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</si>
  <si>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</si>
  <si>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</si>
  <si>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</si>
  <si>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</si>
  <si>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</si>
  <si>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</si>
  <si>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</si>
  <si>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</si>
  <si>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</si>
  <si>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</si>
  <si>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</si>
  <si>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</si>
  <si>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</si>
  <si>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</si>
  <si>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</si>
  <si>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</si>
  <si>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</si>
  <si>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</si>
  <si>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</si>
  <si>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</si>
  <si>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</si>
  <si>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</si>
  <si>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</si>
  <si>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</si>
  <si>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</si>
  <si>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</si>
  <si>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</si>
  <si>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</si>
  <si>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</si>
  <si>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</si>
  <si>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</si>
  <si>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</si>
  <si>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</si>
  <si>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</si>
  <si>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</si>
  <si>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</si>
  <si>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</si>
  <si>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</si>
  <si>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</si>
  <si>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</si>
  <si>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</si>
  <si>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</si>
  <si>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</si>
  <si>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</si>
  <si>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</si>
  <si>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</si>
  <si>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</si>
  <si>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</si>
  <si>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</si>
  <si>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</si>
  <si>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</si>
  <si>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</si>
  <si>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</si>
  <si>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</si>
  <si>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</si>
  <si>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</si>
  <si>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</si>
  <si>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</si>
  <si>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</si>
  <si>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</si>
  <si>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</si>
  <si>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</si>
  <si>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</si>
  <si>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</si>
  <si>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</si>
  <si>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</si>
  <si>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</si>
  <si>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</si>
  <si>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</si>
  <si>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</si>
  <si>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</si>
  <si>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</si>
  <si>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</si>
  <si>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</si>
  <si>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</si>
  <si>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</si>
  <si>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</si>
  <si>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</si>
  <si>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</si>
  <si>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</si>
  <si>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</si>
  <si>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</si>
  <si>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</si>
  <si>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</si>
  <si>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</si>
  <si>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</si>
  <si>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</si>
  <si>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</si>
  <si>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</si>
  <si>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</si>
  <si>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</si>
  <si>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</si>
  <si>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</si>
  <si>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</si>
  <si>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</si>
  <si>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</si>
  <si>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</si>
  <si>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</si>
  <si>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</si>
  <si>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</si>
  <si>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</si>
  <si>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</si>
  <si>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</si>
  <si>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</si>
  <si>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</si>
  <si>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</si>
  <si>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</si>
  <si>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</si>
  <si>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</si>
  <si>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</si>
  <si>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</si>
  <si>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</si>
  <si>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</si>
  <si>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</si>
  <si>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</si>
  <si>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</si>
  <si>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</si>
  <si>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</si>
  <si>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</si>
  <si>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</si>
  <si>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</si>
  <si>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</si>
  <si>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</si>
  <si>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</si>
  <si>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</si>
  <si>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</si>
  <si>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</si>
  <si>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</si>
  <si>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</si>
  <si>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</si>
  <si>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</si>
  <si>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</si>
  <si>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</si>
  <si>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</si>
  <si>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</si>
  <si>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</si>
  <si>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</si>
  <si>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</si>
  <si>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</si>
  <si>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</si>
  <si>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</si>
  <si>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</si>
  <si>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</si>
  <si>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</si>
  <si>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</si>
  <si>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</si>
  <si>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</si>
  <si>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</si>
  <si>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</si>
  <si>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</si>
  <si>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</si>
  <si>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</si>
  <si>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</si>
  <si>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</si>
  <si>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</si>
  <si>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</si>
  <si>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</si>
  <si>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</si>
  <si>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</si>
  <si>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</si>
  <si>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</si>
  <si>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</si>
  <si>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</si>
  <si>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</si>
  <si>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</si>
  <si>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</si>
  <si>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</si>
  <si>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</si>
  <si>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</si>
  <si>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</si>
  <si>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</si>
  <si>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</si>
  <si>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</si>
  <si>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</si>
  <si>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</si>
  <si>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</si>
  <si>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</si>
  <si>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</si>
  <si>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</si>
  <si>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</si>
  <si>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</si>
  <si>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</si>
  <si>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</si>
  <si>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</si>
  <si>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</si>
  <si>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</si>
  <si>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</si>
  <si>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</si>
  <si>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</si>
  <si>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</si>
  <si>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</si>
  <si>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</si>
  <si>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</si>
  <si>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</si>
  <si>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</si>
  <si>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</si>
  <si>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</si>
  <si>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</si>
  <si>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</si>
  <si>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</si>
  <si>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</si>
  <si>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</si>
  <si>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</si>
  <si>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</si>
  <si>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</si>
  <si>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</si>
  <si>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</si>
  <si>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</si>
  <si>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</si>
  <si>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</si>
  <si>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</si>
  <si>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</si>
  <si>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</si>
  <si>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</si>
  <si>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</si>
  <si>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</si>
  <si>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</si>
  <si>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</si>
  <si>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</si>
  <si>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</si>
  <si>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</si>
  <si>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</si>
  <si>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</si>
  <si>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</si>
  <si>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</si>
  <si>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</si>
  <si>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</si>
  <si>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</si>
  <si>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</si>
  <si>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</si>
  <si>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</si>
  <si>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</si>
  <si>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</si>
  <si>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</si>
  <si>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</si>
  <si>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</si>
  <si>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</si>
  <si>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</si>
  <si>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</si>
  <si>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</si>
  <si>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</si>
  <si>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</si>
  <si>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</si>
  <si>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</si>
  <si>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</si>
  <si>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</si>
  <si>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</si>
  <si>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</si>
  <si>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</si>
  <si>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</si>
  <si>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</si>
  <si>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</si>
  <si>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</si>
  <si>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</si>
  <si>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</si>
  <si>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</si>
  <si>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</si>
  <si>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</si>
  <si>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</si>
  <si>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</si>
  <si>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</si>
  <si>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</si>
  <si>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</si>
  <si>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</si>
  <si>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</si>
  <si>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</si>
  <si>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</si>
  <si>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</si>
  <si>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</si>
  <si>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</si>
  <si>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</si>
  <si>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</si>
  <si>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</si>
  <si>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</si>
  <si>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</si>
  <si>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</si>
  <si>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</si>
  <si>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</si>
  <si>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</si>
  <si>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</si>
  <si>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</si>
  <si>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</si>
  <si>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</si>
  <si>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</si>
  <si>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</si>
  <si>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</si>
  <si>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</si>
  <si>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</si>
  <si>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</si>
  <si>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</si>
  <si>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</si>
  <si>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</si>
  <si>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</si>
  <si>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</si>
  <si>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</si>
  <si>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</si>
  <si>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</si>
  <si>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</si>
  <si>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</si>
  <si>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</si>
  <si>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</si>
  <si>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</si>
  <si>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</si>
  <si>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</si>
  <si>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</si>
  <si>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</si>
  <si>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</si>
  <si>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</si>
  <si>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</si>
  <si>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</si>
  <si>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</si>
  <si>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</si>
  <si>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</si>
  <si>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</si>
  <si>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</si>
  <si>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</si>
  <si>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</si>
  <si>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</si>
  <si>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</si>
  <si>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</si>
  <si>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</si>
  <si>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</si>
  <si>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</si>
  <si>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</si>
  <si>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</si>
  <si>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</si>
  <si>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</si>
  <si>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</si>
  <si>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</si>
  <si>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</si>
  <si>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</si>
  <si>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</si>
  <si>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</si>
  <si>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</si>
  <si>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</si>
  <si>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</si>
  <si>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</si>
  <si>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</si>
  <si>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</si>
  <si>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</si>
  <si>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</si>
  <si>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</si>
  <si>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</si>
  <si>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</si>
  <si>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</si>
  <si>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</si>
  <si>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</si>
  <si>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</si>
  <si>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</si>
  <si>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</si>
  <si>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</si>
  <si>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</si>
  <si>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</si>
  <si>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</si>
  <si>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</si>
  <si>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</si>
  <si>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</si>
  <si>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</si>
  <si>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</si>
  <si>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</si>
  <si>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</si>
  <si>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</si>
  <si>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</si>
  <si>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</si>
  <si>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</si>
  <si>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</si>
  <si>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</si>
  <si>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</si>
  <si>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</si>
  <si>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</si>
  <si>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</si>
  <si>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</si>
  <si>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</si>
  <si>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</si>
  <si>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</si>
  <si>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</si>
  <si>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</si>
  <si>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</si>
  <si>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</si>
  <si>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</si>
  <si>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</si>
  <si>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</si>
  <si>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</si>
  <si>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</si>
  <si>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</si>
  <si>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</si>
  <si>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</si>
  <si>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</si>
  <si>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</si>
  <si>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</si>
  <si>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</si>
  <si>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</si>
  <si>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</si>
  <si>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</si>
  <si>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</si>
  <si>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</si>
  <si>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</si>
  <si>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</si>
  <si>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</si>
  <si>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</si>
  <si>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</si>
  <si>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</si>
  <si>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</si>
  <si>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</si>
  <si>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</si>
  <si>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</si>
  <si>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</si>
  <si>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</si>
  <si>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</si>
  <si>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</si>
  <si>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</si>
  <si>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</si>
  <si>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</si>
  <si>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</si>
  <si>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</si>
  <si>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</si>
  <si>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</si>
  <si>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</si>
  <si>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</si>
  <si>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</si>
  <si>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</si>
  <si>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</si>
  <si>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</si>
  <si>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</si>
  <si>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</si>
  <si>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</si>
  <si>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</si>
  <si>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</si>
  <si>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</si>
  <si>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</si>
  <si>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</si>
  <si>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</si>
  <si>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</si>
  <si>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</si>
  <si>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</si>
  <si>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</si>
  <si>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</si>
  <si>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</si>
  <si>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</si>
  <si>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</si>
  <si>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</si>
  <si>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</si>
  <si>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</si>
  <si>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</si>
  <si>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</si>
  <si>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</si>
  <si>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</si>
  <si>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</si>
  <si>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</si>
  <si>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</si>
  <si>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</si>
  <si>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</si>
  <si>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</si>
  <si>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</si>
  <si>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</si>
  <si>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</si>
  <si>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</si>
  <si>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</si>
  <si>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</si>
  <si>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</si>
  <si>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</si>
  <si>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</si>
  <si>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</si>
  <si>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</si>
  <si>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</si>
  <si>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</si>
  <si>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</si>
  <si>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</si>
  <si>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</si>
  <si>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</si>
  <si>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</si>
  <si>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</si>
  <si>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</si>
  <si>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</si>
  <si>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</si>
  <si>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</si>
  <si>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</si>
  <si>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</si>
  <si>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</si>
  <si>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</si>
  <si>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</si>
  <si>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</si>
  <si>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</si>
  <si>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</si>
  <si>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</si>
  <si>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</si>
  <si>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</si>
  <si>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</si>
  <si>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</si>
  <si>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</si>
  <si>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</si>
  <si>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</si>
  <si>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</si>
  <si>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</si>
  <si>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</si>
  <si>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</si>
  <si>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</si>
  <si>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</si>
  <si>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</si>
  <si>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</si>
  <si>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</si>
  <si>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</si>
  <si>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</si>
  <si>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</si>
  <si>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</si>
  <si>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</si>
  <si>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</si>
  <si>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</si>
  <si>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</si>
  <si>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</si>
  <si>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</si>
  <si>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</si>
  <si>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</si>
  <si>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</si>
  <si>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</si>
  <si>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</si>
  <si>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</si>
  <si>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</si>
  <si>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</si>
  <si>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</si>
  <si>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</si>
  <si>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</si>
  <si>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</si>
  <si>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</si>
  <si>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</si>
  <si>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</si>
  <si>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</si>
  <si>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</si>
  <si>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</si>
  <si>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</si>
  <si>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</si>
  <si>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</si>
  <si>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</si>
  <si>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</si>
  <si>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</si>
  <si>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</si>
  <si>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</si>
  <si>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</si>
  <si>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</si>
  <si>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</si>
  <si>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</si>
  <si>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</si>
  <si>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</si>
  <si>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</si>
  <si>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</si>
  <si>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</si>
  <si>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</si>
  <si>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</si>
  <si>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</si>
  <si>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</si>
  <si>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</si>
  <si>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</si>
  <si>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</si>
  <si>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</si>
  <si>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</si>
  <si>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</si>
  <si>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</si>
  <si>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</si>
  <si>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</si>
  <si>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</si>
  <si>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</si>
  <si>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</si>
  <si>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</si>
  <si>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</si>
  <si>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</si>
  <si>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</si>
  <si>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</si>
  <si>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</si>
  <si>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</si>
  <si>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</si>
  <si>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</si>
  <si>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</si>
  <si>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</si>
  <si>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</si>
  <si>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</si>
  <si>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</si>
  <si>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</si>
  <si>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</si>
  <si>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</si>
  <si>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</si>
  <si>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</si>
  <si>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</si>
  <si>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</si>
  <si>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</si>
  <si>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</si>
  <si>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</si>
  <si>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</si>
  <si>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</si>
  <si>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</si>
  <si>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</si>
  <si>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</si>
  <si>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</si>
  <si>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</si>
  <si>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</si>
  <si>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</si>
  <si>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</si>
  <si>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</si>
  <si>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</si>
  <si>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</si>
  <si>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</si>
  <si>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</si>
  <si>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</si>
  <si>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</si>
  <si>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</si>
  <si>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</si>
  <si>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</si>
  <si>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</si>
  <si>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</si>
  <si>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</si>
  <si>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</si>
  <si>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</si>
  <si>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</si>
  <si>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</si>
  <si>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</si>
  <si>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</si>
  <si>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</si>
  <si>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</si>
  <si>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</si>
  <si>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</si>
  <si>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</si>
  <si>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</si>
  <si>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</si>
  <si>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</si>
  <si>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</si>
  <si>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</si>
  <si>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</si>
  <si>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</si>
  <si>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</si>
  <si>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</si>
  <si>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</si>
  <si>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</si>
  <si>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</si>
  <si>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</si>
  <si>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</si>
  <si>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</si>
  <si>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</si>
  <si>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</si>
  <si>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</si>
  <si>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</si>
  <si>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</si>
  <si>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</si>
  <si>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</si>
  <si>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</si>
  <si>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</si>
  <si>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</si>
  <si>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</si>
  <si>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</si>
  <si>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</si>
  <si>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</si>
  <si>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</si>
  <si>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</si>
  <si>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</si>
  <si>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</si>
  <si>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</si>
  <si>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</si>
  <si>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</si>
  <si>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</si>
  <si>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</si>
  <si>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</si>
  <si>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</si>
  <si>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</si>
  <si>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</si>
  <si>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</si>
  <si>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</si>
  <si>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</si>
  <si>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</si>
  <si>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</si>
  <si>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</si>
  <si>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</si>
  <si>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</si>
  <si>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</si>
  <si>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</si>
  <si>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</si>
  <si>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</si>
  <si>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</si>
  <si>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</si>
  <si>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</si>
  <si>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</si>
  <si>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</si>
  <si>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</si>
  <si>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</si>
  <si>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</si>
  <si>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</si>
  <si>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</si>
  <si>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</si>
  <si>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</si>
  <si>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</si>
  <si>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</si>
  <si>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</si>
  <si>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</si>
  <si>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</si>
  <si>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</si>
  <si>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</si>
  <si>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</si>
  <si>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</si>
  <si>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</si>
  <si>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</si>
  <si>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</si>
  <si>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</si>
  <si>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</si>
  <si>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</si>
  <si>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</si>
  <si>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</si>
  <si>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</si>
  <si>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</si>
  <si>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</si>
  <si>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</si>
  <si>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</si>
  <si>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</si>
  <si>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</si>
  <si>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</si>
  <si>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</si>
  <si>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</si>
  <si>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</si>
  <si>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</si>
  <si>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</si>
  <si>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</si>
  <si>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</si>
  <si>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</si>
  <si>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</si>
  <si>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</si>
  <si>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</si>
  <si>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</si>
  <si>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</si>
  <si>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</si>
  <si>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</si>
  <si>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</si>
  <si>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</si>
  <si>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</si>
  <si>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</si>
  <si>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</si>
  <si>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</si>
  <si>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</si>
  <si>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</si>
  <si>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</si>
  <si>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</si>
  <si>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</si>
  <si>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</si>
  <si>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</si>
  <si>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</si>
  <si>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</si>
  <si>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</si>
  <si>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</si>
  <si>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</si>
  <si>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</si>
  <si>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</si>
  <si>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</si>
  <si>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</si>
  <si>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</si>
  <si>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</si>
  <si>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</si>
  <si>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</si>
  <si>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</si>
  <si>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</si>
  <si>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</si>
  <si>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</si>
  <si>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</si>
  <si>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</si>
  <si>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</si>
  <si>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</si>
  <si>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</si>
  <si>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</si>
  <si>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</si>
  <si>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</si>
  <si>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</si>
  <si>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</si>
  <si>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</si>
  <si>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</si>
  <si>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</si>
  <si>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</si>
  <si>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</si>
  <si>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</si>
  <si>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</si>
  <si>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</si>
  <si>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</si>
  <si>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</si>
  <si>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</si>
  <si>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</si>
  <si>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</si>
  <si>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</si>
  <si>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</si>
  <si>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</si>
  <si>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</si>
  <si>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</si>
  <si>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</si>
  <si>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</si>
  <si>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</si>
  <si>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</si>
  <si>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</si>
  <si>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</si>
  <si>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</si>
  <si>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</si>
  <si>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</si>
  <si>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</si>
  <si>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</si>
  <si>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</si>
  <si>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</si>
  <si>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</si>
  <si>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</si>
  <si>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</si>
  <si>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</si>
  <si>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</si>
  <si>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</si>
  <si>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</si>
  <si>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</si>
  <si>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</si>
  <si>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</si>
  <si>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</si>
  <si>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</si>
  <si>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</si>
  <si>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</si>
  <si>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</si>
  <si>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</si>
  <si>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</si>
  <si>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</si>
  <si>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</si>
  <si>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</si>
  <si>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</si>
  <si>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</si>
  <si>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</si>
  <si>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</si>
  <si>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</si>
  <si>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</si>
  <si>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</si>
  <si>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</si>
  <si>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</si>
  <si>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</si>
  <si>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</si>
  <si>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</si>
  <si>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</si>
  <si>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</si>
  <si>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</si>
  <si>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</si>
  <si>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</si>
  <si>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</si>
  <si>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</si>
  <si>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</si>
  <si>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</si>
  <si>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</si>
  <si>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</si>
  <si>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</si>
  <si>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</si>
  <si>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</si>
  <si>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</si>
  <si>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</si>
  <si>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</si>
  <si>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</si>
  <si>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</si>
  <si>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</si>
  <si>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</si>
  <si>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</si>
  <si>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</si>
  <si>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</si>
  <si>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</si>
  <si>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</si>
  <si>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</si>
  <si>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</si>
  <si>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</si>
  <si>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</si>
  <si>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</si>
  <si>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</si>
  <si>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</si>
  <si>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</si>
  <si>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</si>
  <si>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</si>
  <si>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</si>
  <si>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</si>
  <si>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</si>
  <si>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</si>
  <si>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</si>
  <si>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</si>
  <si>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</si>
  <si>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</si>
  <si>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</si>
  <si>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</si>
  <si>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</si>
  <si>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</si>
  <si>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</si>
  <si>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</si>
  <si>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</si>
  <si>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</si>
  <si>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</si>
  <si>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</si>
  <si>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</si>
  <si>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</si>
  <si>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</si>
  <si>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</si>
  <si>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</si>
  <si>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</si>
  <si>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</si>
  <si>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</si>
  <si>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</si>
  <si>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</si>
  <si>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</si>
  <si>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</si>
  <si>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</si>
  <si>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</si>
  <si>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</si>
  <si>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</si>
  <si>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</si>
  <si>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</si>
  <si>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</si>
  <si>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</si>
  <si>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</si>
  <si>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</si>
  <si>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</si>
  <si>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</si>
  <si>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</si>
  <si>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</si>
  <si>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</si>
  <si>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</si>
  <si>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</si>
  <si>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</si>
  <si>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</si>
  <si>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</si>
  <si>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</si>
  <si>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</si>
  <si>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</si>
  <si>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</si>
  <si>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</si>
  <si>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</si>
  <si>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</si>
  <si>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</si>
  <si>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</si>
  <si>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</si>
  <si>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</si>
  <si>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</si>
  <si>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</si>
  <si>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</si>
  <si>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</si>
  <si>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</si>
  <si>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</si>
  <si>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</si>
  <si>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</si>
  <si>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</si>
  <si>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</si>
  <si>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</si>
  <si>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</si>
  <si>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</si>
  <si>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</si>
  <si>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</si>
  <si>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</si>
  <si>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</si>
  <si>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</si>
  <si>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</si>
  <si>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</si>
  <si>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</si>
  <si>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</si>
  <si>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</si>
  <si>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</si>
  <si>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</si>
  <si>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</si>
  <si>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</si>
  <si>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</si>
  <si>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</si>
  <si>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</si>
  <si>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</si>
  <si>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</si>
  <si>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</si>
  <si>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</si>
  <si>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</si>
  <si>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</si>
  <si>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</si>
  <si>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</si>
  <si>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</si>
  <si>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</si>
  <si>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</si>
  <si>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</si>
  <si>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</si>
  <si>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</si>
  <si>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</si>
  <si>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</si>
  <si>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</si>
  <si>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</si>
  <si>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</si>
  <si>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</si>
  <si>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</si>
  <si>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</si>
  <si>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</si>
  <si>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</si>
  <si>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</si>
  <si>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</si>
  <si>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</si>
  <si>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</si>
  <si>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</si>
  <si>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</si>
  <si>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</si>
  <si>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</si>
  <si>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</si>
  <si>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</si>
  <si>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</si>
  <si>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</si>
  <si>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</si>
  <si>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</si>
  <si>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</si>
  <si>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</si>
  <si>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</si>
  <si>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</si>
  <si>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</si>
  <si>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</si>
  <si>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</si>
  <si>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</si>
  <si>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</si>
  <si>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</si>
  <si>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</si>
  <si>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</si>
  <si>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</si>
  <si>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</si>
  <si>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</si>
  <si>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</si>
  <si>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</si>
  <si>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</si>
  <si>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</si>
  <si>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</si>
  <si>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</si>
  <si>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</si>
  <si>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</si>
  <si>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</si>
  <si>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</si>
  <si>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</si>
  <si>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</si>
  <si>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</si>
  <si>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</si>
  <si>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</si>
  <si>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</si>
  <si>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</si>
  <si>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</si>
  <si>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</si>
  <si>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</si>
  <si>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</si>
  <si>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</si>
  <si>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</si>
  <si>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</si>
  <si>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</si>
  <si>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</si>
  <si>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</si>
  <si>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</si>
  <si>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</si>
  <si>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</si>
  <si>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</si>
  <si>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</si>
  <si>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</si>
  <si>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</si>
  <si>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</si>
  <si>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</si>
  <si>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</si>
  <si>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</si>
  <si>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</si>
  <si>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</si>
  <si>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</si>
  <si>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</si>
  <si>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</si>
  <si>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</si>
  <si>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</si>
  <si>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</si>
  <si>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</si>
  <si>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</si>
  <si>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</si>
  <si>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</si>
  <si>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</si>
  <si>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</si>
  <si>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</si>
  <si>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</si>
  <si>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</si>
  <si>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</si>
  <si>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</si>
  <si>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</si>
  <si>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</si>
  <si>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</si>
  <si>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</si>
  <si>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</si>
  <si>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</si>
  <si>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</si>
  <si>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</si>
  <si>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</si>
  <si>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</si>
  <si>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</si>
  <si>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</si>
  <si>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</si>
  <si>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</si>
  <si>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</si>
  <si>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</si>
  <si>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</si>
  <si>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</si>
  <si>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</si>
  <si>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</si>
  <si>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</si>
  <si>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</si>
  <si>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</si>
  <si>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</si>
  <si>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</si>
  <si>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</si>
  <si>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</si>
  <si>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</si>
  <si>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</si>
  <si>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</si>
  <si>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</si>
  <si>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</si>
  <si>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</si>
  <si>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</si>
  <si>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</si>
  <si>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</si>
  <si>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</si>
  <si>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</si>
  <si>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</si>
  <si>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</si>
  <si>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</si>
  <si>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</si>
  <si>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</si>
  <si>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</si>
  <si>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</si>
  <si>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</si>
  <si>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</si>
  <si>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</si>
  <si>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</si>
  <si>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</si>
  <si>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</si>
  <si>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</si>
  <si>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</si>
  <si>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</si>
  <si>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</si>
  <si>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</si>
  <si>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</si>
  <si>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</si>
  <si>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</si>
  <si>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</si>
  <si>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</si>
  <si>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</si>
  <si>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</si>
  <si>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</si>
  <si>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</si>
  <si>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</si>
  <si>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</si>
  <si>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</si>
  <si>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</si>
  <si>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</si>
  <si>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</si>
  <si>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</si>
  <si>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</si>
  <si>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</si>
  <si>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</si>
  <si>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</si>
  <si>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</si>
  <si>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</si>
  <si>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</si>
  <si>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</si>
  <si>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</si>
  <si>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</si>
  <si>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</si>
  <si>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</si>
  <si>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</si>
  <si>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</si>
  <si>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</si>
  <si>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</si>
  <si>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</si>
  <si>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</si>
  <si>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</si>
  <si>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</si>
  <si>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</si>
  <si>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</si>
  <si>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</si>
  <si>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</si>
  <si>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</si>
  <si>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</si>
  <si>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</si>
  <si>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</si>
  <si>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</si>
  <si>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</si>
  <si>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</si>
  <si>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</si>
  <si>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</si>
  <si>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</si>
  <si>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</si>
  <si>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</si>
  <si>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</si>
  <si>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</si>
  <si>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</si>
  <si>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</si>
  <si>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</si>
  <si>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</si>
  <si>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</si>
  <si>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</si>
  <si>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</si>
  <si>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</si>
  <si>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</si>
  <si>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</si>
  <si>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</si>
  <si>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</si>
  <si>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</si>
  <si>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</si>
  <si>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</si>
  <si>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</si>
  <si>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</si>
  <si>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</si>
  <si>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</si>
  <si>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</si>
  <si>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</si>
  <si>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</si>
  <si>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</si>
  <si>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</si>
  <si>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</si>
  <si>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</si>
  <si>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</si>
  <si>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</si>
  <si>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</si>
  <si>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</si>
  <si>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</si>
  <si>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</si>
  <si>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</si>
  <si>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</si>
  <si>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</si>
  <si>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</si>
  <si>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</si>
  <si>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</si>
  <si>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</si>
  <si>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</si>
  <si>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</si>
  <si>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</si>
  <si>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</si>
  <si>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</si>
  <si>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</si>
  <si>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</si>
  <si>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</si>
  <si>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</si>
  <si>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</si>
  <si>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</si>
  <si>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</si>
  <si>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</si>
  <si>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</si>
  <si>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</si>
  <si>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</si>
  <si>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</si>
  <si>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</si>
  <si>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</si>
  <si>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</si>
  <si>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</si>
  <si>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</si>
  <si>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</si>
  <si>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</si>
  <si>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</si>
  <si>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</si>
  <si>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</si>
  <si>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</si>
  <si>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</si>
  <si>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</si>
  <si>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</si>
  <si>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</si>
  <si>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</si>
  <si>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</si>
  <si>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</si>
  <si>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</si>
  <si>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</si>
  <si>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</si>
  <si>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</si>
  <si>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</si>
  <si>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</si>
  <si>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</si>
  <si>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</si>
  <si>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</si>
  <si>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</si>
  <si>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</si>
  <si>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</si>
  <si>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</si>
  <si>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</si>
  <si>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</si>
  <si>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</si>
  <si>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</si>
  <si>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</si>
  <si>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</si>
  <si>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</si>
  <si>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</si>
  <si>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</si>
  <si>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</si>
  <si>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</si>
  <si>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</si>
  <si>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</si>
  <si>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</si>
  <si>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</si>
  <si>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</si>
  <si>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</si>
  <si>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</si>
  <si>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</si>
  <si>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</si>
  <si>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</si>
  <si>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</si>
  <si>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</si>
  <si>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</si>
  <si>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</si>
  <si>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</si>
  <si>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</si>
  <si>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</si>
  <si>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</si>
  <si>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</si>
  <si>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</si>
  <si>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</si>
  <si>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</si>
  <si>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</si>
  <si>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</si>
  <si>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</si>
  <si>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</si>
  <si>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</si>
  <si>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</si>
  <si>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</si>
  <si>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</si>
  <si>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</si>
  <si>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</si>
  <si>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</si>
  <si>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</si>
  <si>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</si>
  <si>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</si>
  <si>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</si>
  <si>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</si>
  <si>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</si>
  <si>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</si>
  <si>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</si>
  <si>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</si>
  <si>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</si>
  <si>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</si>
  <si>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</si>
  <si>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</si>
  <si>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</si>
  <si>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</si>
  <si>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</si>
  <si>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</si>
  <si>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</si>
  <si>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</si>
  <si>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</si>
  <si>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</si>
  <si>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</si>
  <si>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</si>
  <si>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</si>
  <si>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</si>
  <si>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</si>
  <si>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</si>
  <si>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</si>
  <si>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</si>
  <si>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</si>
  <si>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</si>
  <si>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</si>
  <si>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</si>
  <si>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</si>
  <si>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</si>
  <si>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</si>
  <si>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</si>
  <si>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</si>
  <si>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</si>
  <si>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</si>
  <si>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</si>
  <si>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</si>
  <si>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</si>
  <si>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</si>
  <si>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</si>
  <si>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</si>
  <si>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</si>
  <si>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</si>
  <si>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</si>
  <si>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</si>
  <si>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</si>
  <si>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</si>
  <si>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</si>
  <si>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</si>
  <si>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</si>
  <si>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</si>
  <si>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</si>
  <si>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</si>
  <si>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</si>
  <si>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</si>
  <si>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</si>
  <si>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</si>
  <si>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</si>
  <si>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</si>
  <si>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</si>
  <si>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</si>
  <si>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</si>
  <si>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</si>
  <si>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</si>
  <si>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</si>
  <si>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</si>
  <si>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</si>
  <si>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</si>
  <si>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</si>
  <si>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</si>
  <si>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</si>
  <si>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</si>
  <si>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</si>
  <si>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</si>
  <si>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</si>
  <si>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</si>
  <si>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</si>
  <si>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</si>
  <si>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</si>
  <si>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</si>
  <si>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</si>
  <si>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</si>
  <si>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</si>
  <si>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</si>
  <si>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</si>
  <si>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</si>
  <si>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</si>
  <si>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</si>
  <si>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</si>
  <si>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</si>
  <si>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</si>
  <si>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</si>
  <si>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</si>
  <si>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</si>
  <si>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</si>
  <si>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</si>
  <si>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</si>
  <si>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</si>
  <si>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</si>
  <si>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</si>
  <si>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</si>
  <si>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</si>
  <si>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</si>
  <si>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</si>
  <si>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</si>
  <si>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</si>
  <si>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</si>
  <si>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</si>
  <si>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</si>
  <si>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</si>
  <si>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</si>
  <si>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</si>
  <si>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</si>
  <si>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</si>
  <si>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</si>
  <si>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</si>
  <si>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</si>
  <si>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</si>
  <si>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</si>
  <si>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</si>
  <si>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</si>
  <si>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</si>
  <si>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</si>
  <si>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</si>
  <si>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</si>
  <si>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</si>
  <si>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</si>
  <si>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</si>
  <si>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</si>
  <si>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</si>
  <si>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</si>
  <si>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</si>
  <si>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</si>
  <si>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</si>
  <si>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</si>
  <si>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</si>
  <si>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</si>
  <si>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</si>
  <si>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</si>
  <si>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</si>
  <si>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</si>
  <si>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</si>
  <si>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</si>
  <si>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</si>
  <si>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</si>
  <si>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</si>
  <si>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</si>
  <si>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</si>
  <si>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</si>
  <si>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</si>
  <si>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</si>
  <si>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</si>
  <si>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</si>
  <si>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</si>
  <si>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</si>
  <si>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</si>
  <si>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</si>
  <si>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</si>
  <si>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</si>
  <si>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</si>
  <si>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</si>
  <si>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</si>
  <si>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</si>
  <si>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</si>
  <si>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</si>
  <si>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</si>
  <si>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</si>
  <si>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</si>
  <si>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</si>
  <si>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</si>
  <si>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</si>
  <si>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</si>
  <si>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</si>
  <si>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</si>
  <si>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</si>
  <si>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</si>
  <si>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</si>
  <si>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</si>
  <si>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</si>
  <si>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</si>
  <si>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</si>
  <si>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</si>
  <si>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</si>
  <si>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</si>
  <si>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</si>
  <si>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</si>
  <si>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</si>
  <si>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</si>
  <si>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</si>
  <si>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</si>
  <si>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</si>
  <si>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</si>
  <si>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</si>
  <si>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</si>
  <si>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</si>
  <si>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</si>
  <si>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</si>
  <si>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</si>
  <si>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</si>
  <si>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</si>
  <si>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</si>
  <si>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</si>
  <si>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</si>
  <si>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</si>
  <si>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</si>
  <si>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</si>
  <si>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</si>
  <si>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</si>
  <si>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</si>
  <si>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</si>
  <si>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</si>
  <si>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</si>
  <si>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</si>
  <si>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</si>
  <si>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</si>
  <si>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</si>
  <si>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</si>
  <si>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</si>
  <si>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</si>
  <si>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</si>
  <si>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</si>
  <si>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</si>
  <si>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</si>
  <si>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</si>
  <si>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</si>
  <si>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</si>
  <si>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</si>
  <si>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</si>
  <si>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</si>
  <si>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</si>
  <si>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</si>
  <si>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</si>
  <si>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</si>
  <si>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</si>
  <si>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</si>
  <si>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</si>
  <si>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</si>
  <si>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</si>
  <si>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</si>
  <si>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</si>
  <si>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</si>
  <si>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</si>
  <si>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</si>
  <si>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</si>
  <si>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</si>
  <si>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</si>
  <si>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</si>
  <si>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</si>
  <si>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</si>
  <si>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</si>
  <si>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</si>
  <si>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</si>
  <si>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</si>
  <si>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</si>
  <si>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</si>
  <si>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</si>
  <si>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</si>
  <si>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</si>
  <si>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</si>
  <si>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</si>
  <si>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</si>
  <si>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</si>
  <si>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</si>
  <si>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</si>
  <si>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</si>
  <si>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</si>
  <si>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</si>
  <si>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</si>
  <si>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</si>
  <si>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</si>
  <si>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</si>
  <si>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</si>
  <si>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</si>
  <si>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</si>
  <si>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</si>
  <si>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</si>
  <si>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</si>
  <si>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</si>
  <si>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</si>
  <si>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</si>
  <si>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</si>
  <si>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</si>
  <si>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</si>
  <si>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</si>
  <si>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</si>
  <si>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</si>
  <si>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</si>
  <si>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</si>
  <si>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</si>
  <si>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</si>
  <si>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</si>
  <si>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</si>
  <si>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</si>
  <si>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</si>
  <si>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</si>
  <si>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</si>
  <si>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</si>
  <si>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</si>
  <si>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</si>
  <si>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</si>
  <si>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</si>
  <si>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</si>
  <si>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</si>
  <si>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</si>
  <si>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</si>
  <si>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</si>
  <si>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</si>
  <si>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</si>
  <si>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</si>
  <si>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</si>
  <si>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</si>
  <si>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</si>
  <si>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</si>
  <si>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</si>
  <si>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</si>
  <si>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</si>
  <si>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</si>
  <si>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</si>
  <si>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</si>
  <si>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</si>
  <si>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</si>
  <si>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</si>
  <si>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</si>
  <si>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</si>
  <si>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</si>
  <si>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</si>
  <si>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</si>
  <si>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</si>
  <si>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</si>
  <si>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</si>
  <si>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</si>
  <si>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</si>
  <si>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</si>
  <si>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</si>
  <si>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</si>
  <si>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</si>
  <si>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</si>
  <si>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</si>
  <si>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</si>
  <si>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</si>
  <si>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</si>
  <si>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</si>
  <si>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</si>
  <si>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</si>
  <si>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</si>
  <si>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</si>
  <si>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</si>
  <si>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</si>
  <si>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</si>
  <si>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</si>
  <si>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</si>
  <si>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</si>
  <si>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</si>
  <si>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</si>
  <si>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</si>
  <si>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</si>
  <si>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</si>
  <si>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</si>
  <si>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</si>
  <si>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</si>
  <si>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</si>
  <si>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</si>
  <si>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</si>
  <si>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</si>
  <si>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</si>
  <si>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</si>
  <si>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</si>
  <si>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</si>
  <si>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</si>
  <si>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</si>
  <si>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</si>
  <si>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</si>
  <si>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</si>
  <si>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</si>
  <si>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</si>
  <si>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</si>
  <si>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</si>
  <si>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</si>
  <si>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</si>
  <si>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</si>
  <si>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</si>
  <si>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</si>
  <si>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</si>
  <si>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</si>
  <si>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</si>
  <si>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</si>
  <si>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</si>
  <si>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</si>
  <si>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</si>
  <si>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</si>
  <si>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</si>
  <si>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</si>
  <si>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</si>
  <si>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</si>
  <si>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</si>
  <si>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</si>
  <si>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</si>
  <si>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</si>
  <si>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</si>
  <si>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</si>
  <si>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</si>
  <si>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</si>
  <si>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</si>
  <si>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</si>
  <si>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</si>
  <si>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</si>
  <si>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</si>
  <si>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</si>
  <si>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</si>
  <si>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</si>
  <si>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</si>
  <si>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</si>
  <si>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</si>
  <si>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</si>
  <si>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</si>
  <si>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</si>
  <si>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</si>
  <si>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</si>
  <si>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</si>
  <si>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</si>
  <si>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</si>
  <si>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</si>
  <si>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</si>
  <si>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</si>
  <si>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</si>
  <si>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</si>
  <si>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</si>
  <si>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</si>
  <si>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</si>
  <si>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</si>
  <si>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</si>
  <si>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</si>
  <si>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</si>
  <si>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</si>
  <si>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</si>
  <si>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</si>
  <si>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</si>
  <si>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</si>
  <si>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</si>
  <si>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</si>
  <si>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</si>
  <si>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</si>
  <si>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</si>
  <si>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</si>
  <si>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</si>
  <si>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</si>
  <si>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</si>
  <si>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</si>
  <si>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</si>
  <si>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</si>
  <si>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</si>
  <si>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</si>
  <si>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</si>
  <si>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</si>
  <si>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</si>
  <si>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</si>
  <si>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</si>
  <si>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</si>
  <si>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</si>
  <si>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</si>
  <si>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</si>
  <si>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</si>
  <si>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</si>
  <si>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</si>
  <si>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</si>
  <si>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</si>
  <si>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</si>
  <si>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</si>
  <si>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</si>
  <si>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</si>
  <si>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</si>
  <si>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</si>
  <si>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</si>
  <si>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</si>
  <si>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</si>
  <si>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</si>
  <si>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</si>
  <si>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</si>
  <si>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</si>
  <si>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</si>
  <si>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</si>
  <si>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</si>
  <si>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</si>
  <si>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</si>
  <si>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</si>
  <si>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</si>
  <si>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</si>
  <si>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</si>
  <si>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</si>
  <si>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</si>
  <si>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</si>
  <si>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</si>
  <si>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</si>
  <si>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</si>
  <si>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</si>
  <si>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</si>
  <si>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</si>
  <si>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</si>
  <si>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</si>
  <si>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</si>
  <si>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</si>
  <si>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</si>
  <si>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</si>
  <si>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</si>
  <si>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</si>
  <si>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</si>
  <si>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</si>
  <si>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</si>
  <si>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</si>
  <si>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</si>
  <si>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</si>
  <si>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</si>
  <si>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</si>
  <si>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</si>
  <si>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</si>
  <si>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</si>
  <si>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</si>
  <si>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</si>
  <si>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</si>
  <si>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</si>
  <si>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</si>
  <si>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</si>
  <si>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</si>
  <si>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</si>
  <si>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</si>
  <si>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</si>
  <si>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</si>
  <si>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</si>
  <si>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</si>
  <si>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</si>
  <si>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</si>
  <si>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</si>
  <si>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</si>
  <si>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</si>
  <si>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</si>
  <si>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</si>
  <si>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</si>
  <si>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</si>
  <si>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</si>
  <si>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</si>
  <si>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</si>
  <si>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</si>
  <si>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</si>
  <si>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</si>
  <si>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</si>
  <si>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</si>
  <si>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</si>
  <si>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</si>
  <si>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</si>
  <si>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</si>
  <si>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</si>
  <si>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</si>
  <si>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</si>
  <si>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</si>
  <si>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</si>
  <si>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</si>
  <si>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</si>
  <si>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</si>
  <si>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</si>
  <si>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</si>
  <si>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</si>
  <si>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</si>
  <si>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</si>
  <si>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</si>
  <si>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</si>
  <si>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</si>
  <si>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</si>
  <si>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</si>
  <si>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</si>
  <si>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</si>
  <si>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</si>
  <si>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</si>
  <si>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</si>
  <si>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</si>
  <si>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</si>
  <si>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</si>
  <si>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</si>
  <si>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</si>
  <si>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</si>
  <si>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</si>
  <si>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</si>
  <si>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</si>
  <si>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</si>
  <si>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</si>
  <si>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</si>
  <si>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</si>
  <si>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</si>
  <si>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</si>
  <si>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</si>
  <si>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</si>
  <si>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</si>
  <si>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</si>
  <si>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</si>
  <si>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</si>
  <si>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</si>
  <si>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</si>
  <si>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</si>
  <si>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</si>
  <si>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</si>
  <si>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</si>
  <si>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</si>
  <si>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</si>
  <si>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</si>
  <si>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</si>
  <si>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</si>
  <si>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</si>
  <si>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</si>
  <si>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</si>
  <si>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</si>
  <si>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</si>
  <si>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</si>
  <si>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</si>
  <si>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</si>
  <si>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</si>
  <si>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</si>
  <si>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</si>
  <si>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</si>
  <si>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</si>
  <si>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</si>
  <si>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</si>
  <si>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</si>
  <si>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</si>
  <si>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</si>
  <si>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</si>
  <si>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</si>
  <si>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</si>
  <si>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</si>
  <si>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</si>
  <si>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</si>
  <si>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</si>
  <si>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</si>
  <si>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</si>
  <si>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</si>
  <si>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</si>
  <si>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</si>
  <si>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</si>
  <si>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</si>
  <si>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</si>
  <si>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</si>
  <si>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</si>
  <si>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</si>
  <si>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</si>
  <si>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</si>
  <si>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</si>
  <si>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</si>
  <si>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</si>
  <si>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</si>
  <si>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</si>
  <si>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</si>
  <si>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</si>
  <si>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</si>
  <si>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</si>
  <si>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</si>
  <si>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</si>
  <si>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</si>
  <si>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</si>
  <si>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</si>
  <si>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</si>
  <si>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</si>
  <si>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</si>
  <si>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</si>
  <si>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</si>
  <si>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</si>
  <si>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</si>
  <si>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</si>
  <si>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</si>
  <si>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</si>
  <si>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</si>
  <si>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</si>
  <si>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</si>
  <si>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</si>
  <si>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</si>
  <si>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</si>
  <si>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</si>
  <si>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</si>
  <si>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</si>
  <si>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</si>
  <si>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</si>
  <si>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</si>
  <si>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</si>
  <si>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</si>
  <si>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</si>
  <si>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</si>
  <si>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</si>
  <si>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</si>
  <si>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</si>
  <si>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</si>
  <si>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</si>
  <si>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</si>
  <si>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</si>
  <si>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</si>
  <si>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</si>
  <si>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</si>
  <si>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</si>
  <si>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</si>
  <si>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</si>
  <si>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</si>
  <si>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</si>
  <si>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</si>
  <si>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</si>
  <si>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</si>
  <si>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</si>
  <si>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</si>
  <si>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</si>
  <si>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</si>
  <si>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</si>
  <si>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</si>
  <si>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</si>
  <si>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</si>
  <si>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</si>
  <si>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</si>
  <si>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</si>
  <si>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</si>
  <si>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</si>
  <si>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</si>
  <si>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</si>
  <si>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</si>
  <si>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</si>
  <si>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</si>
  <si>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</si>
  <si>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</si>
  <si>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</si>
  <si>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</si>
  <si>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</si>
  <si>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</si>
  <si>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</si>
  <si>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</si>
  <si>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</si>
  <si>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</si>
  <si>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</si>
  <si>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</si>
  <si>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</si>
  <si>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</si>
  <si>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</si>
  <si>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</si>
  <si>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</si>
  <si>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</si>
  <si>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</si>
  <si>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</si>
  <si>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</si>
  <si>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</si>
  <si>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</si>
  <si>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</si>
  <si>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</si>
  <si>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</si>
  <si>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</si>
  <si>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</si>
  <si>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</si>
  <si>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</si>
  <si>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</si>
  <si>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</si>
  <si>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</si>
  <si>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</si>
  <si>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</si>
  <si>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</si>
  <si>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</si>
  <si>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</si>
  <si>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</si>
  <si>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</si>
  <si>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</si>
  <si>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</si>
  <si>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</si>
  <si>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</si>
  <si>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</si>
  <si>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</si>
  <si>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</si>
  <si>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</si>
  <si>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</si>
  <si>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</si>
  <si>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</si>
  <si>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</si>
  <si>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</si>
  <si>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</si>
  <si>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</si>
  <si>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</si>
  <si>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</si>
  <si>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</si>
  <si>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</si>
  <si>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</si>
  <si>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</si>
  <si>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</si>
  <si>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</si>
  <si>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</si>
  <si>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</si>
  <si>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</si>
  <si>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</si>
  <si>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</si>
  <si>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</si>
  <si>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</si>
  <si>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</si>
  <si>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</si>
  <si>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</si>
  <si>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</si>
  <si>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</si>
  <si>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</si>
  <si>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</si>
  <si>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</si>
  <si>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</si>
  <si>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</si>
  <si>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</si>
  <si>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</si>
  <si>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</si>
  <si>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</si>
  <si>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</si>
  <si>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</si>
  <si>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</si>
  <si>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</si>
  <si>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</si>
  <si>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</si>
  <si>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</si>
  <si>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</si>
  <si>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</si>
  <si>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</si>
  <si>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</si>
  <si>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</si>
  <si>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</si>
  <si>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</si>
  <si>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</si>
  <si>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</si>
  <si>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</si>
  <si>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</si>
  <si>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</si>
  <si>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</si>
  <si>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</si>
  <si>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</si>
  <si>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</si>
  <si>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</si>
  <si>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</si>
  <si>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</si>
  <si>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</si>
  <si>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</si>
  <si>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</si>
  <si>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</si>
  <si>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</si>
  <si>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</si>
  <si>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</si>
  <si>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</si>
  <si>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</si>
  <si>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</si>
  <si>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</si>
  <si>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</si>
  <si>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</si>
  <si>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</si>
  <si>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</si>
  <si>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</si>
  <si>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</si>
  <si>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</si>
  <si>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</si>
  <si>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</si>
  <si>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</si>
  <si>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</si>
  <si>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</si>
  <si>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</si>
  <si>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</si>
  <si>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</si>
  <si>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</si>
  <si>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</si>
  <si>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</si>
  <si>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</si>
  <si>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</si>
  <si>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</si>
  <si>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</si>
  <si>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</si>
  <si>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</si>
  <si>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</si>
  <si>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</si>
  <si>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</si>
  <si>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</si>
  <si>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</si>
  <si>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</si>
  <si>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</si>
  <si>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</si>
  <si>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</si>
  <si>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</si>
  <si>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</si>
  <si>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</si>
  <si>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</si>
  <si>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</si>
  <si>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</si>
  <si>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</si>
  <si>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</si>
  <si>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</si>
  <si>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</si>
  <si>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</si>
  <si>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</si>
  <si>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</si>
  <si>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</si>
  <si>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</si>
  <si>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</si>
  <si>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</si>
  <si>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</si>
  <si>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</si>
  <si>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</si>
  <si>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</si>
  <si>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</si>
  <si>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</si>
  <si>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</si>
  <si>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</si>
  <si>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</si>
  <si>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</si>
  <si>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</si>
  <si>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</si>
  <si>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</si>
  <si>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</si>
  <si>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</si>
  <si>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</si>
  <si>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</si>
  <si>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</si>
  <si>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</si>
  <si>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</si>
  <si>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</si>
  <si>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</si>
  <si>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</si>
  <si>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</si>
  <si>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</si>
  <si>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</si>
  <si>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</si>
  <si>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</si>
  <si>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</si>
  <si>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</si>
  <si>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</si>
  <si>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</si>
  <si>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</si>
  <si>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</si>
  <si>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</si>
  <si>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</si>
  <si>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</si>
  <si>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 xml:space="preserve">G000001375 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</si>
  <si>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</si>
  <si>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</si>
  <si>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</si>
  <si>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</si>
  <si>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</si>
  <si>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</si>
  <si>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</si>
  <si>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</si>
  <si>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</si>
  <si>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</si>
  <si>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</si>
  <si>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</si>
  <si>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</si>
  <si>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</si>
  <si>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</si>
  <si>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</si>
  <si>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</si>
  <si>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</si>
  <si>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</si>
  <si>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</si>
  <si>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</si>
  <si>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</si>
  <si>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</si>
  <si>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</si>
  <si>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</si>
  <si>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</si>
  <si>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</si>
  <si>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</si>
  <si>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</si>
  <si>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</si>
  <si>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</si>
  <si>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</si>
  <si>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</si>
  <si>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</si>
  <si>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</si>
  <si>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</si>
  <si>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</si>
  <si>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</si>
  <si>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</si>
  <si>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</si>
  <si>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</si>
  <si>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</si>
  <si>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</si>
  <si>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</si>
  <si>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</si>
  <si>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</si>
  <si>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</si>
  <si>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</si>
  <si>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</si>
  <si>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</si>
  <si>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</si>
  <si>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EF-DS-TXT F12 ERP Compliance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</si>
  <si>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</si>
  <si>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</si>
  <si>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</si>
  <si>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</si>
  <si>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</si>
  <si>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</si>
  <si>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</si>
  <si>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</si>
  <si>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</si>
  <si>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</si>
  <si>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</si>
  <si>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</si>
  <si>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</si>
  <si>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</si>
  <si>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</si>
  <si>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</si>
  <si>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</si>
  <si>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</si>
  <si>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</si>
  <si>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</si>
  <si>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</si>
  <si>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</si>
  <si>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</si>
  <si>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</si>
  <si>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</si>
  <si>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</si>
  <si>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</si>
  <si>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</si>
  <si>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</si>
  <si>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</si>
  <si>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</si>
  <si>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</si>
  <si>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</si>
  <si>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</si>
  <si>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</si>
  <si>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</si>
  <si>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</si>
  <si>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</si>
  <si>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</si>
  <si>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</si>
  <si>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</si>
  <si>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</si>
  <si>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</si>
  <si>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</si>
  <si>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</si>
  <si>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</si>
  <si>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</si>
  <si>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</si>
  <si>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</si>
  <si>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</si>
  <si>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</si>
  <si>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</si>
  <si>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</si>
  <si>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</si>
  <si>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</si>
  <si>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</si>
  <si>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</si>
  <si>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</si>
  <si>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</si>
  <si>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</si>
  <si>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</si>
  <si>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</si>
  <si>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</si>
  <si>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</si>
  <si>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</si>
  <si>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 xml:space="preserve">Regional management_US West 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</si>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</sst>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94" totalsRowShown="0">
  <autoFilter ref="A1:M1294" xr:uid="{00000000-000C-0000-FFFF-FFFF00000000}">
    <filterColumn colId="7">
      <filters blank="1"/>
    </filterColumn>
    <filterColumn colId="8">
      <filters blank="1"/>
    </filterColumn>
    <filterColumn colId="10">
      <filters blank="1">
        <filter val="renamed"/>
      </filters>
    </filterColumn>
  </autoFilter>
  <tableColumns count="13">
    <tableColumn id="1" xr3:uid="{00000000-0010-0000-0000-000001000000}" name="No." dataDxfId="0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94"/>
  <sheetViews>
    <sheetView tabSelected="1" topLeftCell="C1" workbookViewId="0">
      <selection activeCell="L1298" sqref="L1298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9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">
        <v>17</v>
      </c>
      <c r="K2" s="7"/>
      <c r="L2" s="7"/>
      <c r="M2" s="7" t="s">
        <v>1233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">
        <v>17</v>
      </c>
      <c r="K3" s="7"/>
      <c r="L3" s="7"/>
      <c r="M3" s="7" t="s">
        <v>1233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">
        <v>17</v>
      </c>
      <c r="K4" s="7"/>
      <c r="L4" s="7"/>
      <c r="M4" s="7" t="s">
        <v>1233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">
        <v>17</v>
      </c>
      <c r="K5" s="7"/>
      <c r="L5" s="7"/>
      <c r="M5" s="7" t="s">
        <v>4787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">
        <v>17</v>
      </c>
      <c r="K6" s="7"/>
      <c r="L6" s="7"/>
      <c r="M6" s="7" t="s">
        <v>4787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">
        <v>17</v>
      </c>
      <c r="K7" s="7"/>
      <c r="L7" s="7"/>
      <c r="M7" s="7" t="s">
        <v>4787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">
        <v>17</v>
      </c>
      <c r="K8" s="7"/>
      <c r="L8" s="7"/>
      <c r="M8" s="7" t="s">
        <v>4787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">
        <v>17</v>
      </c>
      <c r="K9" s="7"/>
      <c r="L9" s="7"/>
      <c r="M9" s="7" t="s">
        <v>4787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">
        <v>17</v>
      </c>
      <c r="K10" s="7"/>
      <c r="L10" s="7"/>
      <c r="M10" s="7" t="s">
        <v>4787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">
        <v>17</v>
      </c>
      <c r="K11" s="7"/>
      <c r="L11" s="7"/>
      <c r="M11" s="7" t="s">
        <v>4787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">
        <v>17</v>
      </c>
      <c r="K12" s="7"/>
      <c r="L12" s="7"/>
      <c r="M12" s="7" t="s">
        <v>4787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">
        <v>17</v>
      </c>
      <c r="K13" s="7"/>
      <c r="L13" s="7"/>
      <c r="M13" s="7" t="s">
        <v>4787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">
        <v>17</v>
      </c>
      <c r="K14" s="7"/>
      <c r="L14" s="7"/>
      <c r="M14" s="7" t="s">
        <v>4787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">
        <v>17</v>
      </c>
      <c r="K15" s="7"/>
      <c r="L15" s="7"/>
      <c r="M15" s="7" t="s">
        <v>4787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">
        <v>17</v>
      </c>
      <c r="K16" s="7"/>
      <c r="L16" s="7"/>
      <c r="M16" s="7" t="s">
        <v>4787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">
        <v>17</v>
      </c>
      <c r="K17" s="7"/>
      <c r="L17" s="7"/>
      <c r="M17" s="7" t="s">
        <v>4787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">
        <v>17</v>
      </c>
      <c r="K18" s="7"/>
      <c r="L18" s="7"/>
      <c r="M18" s="7" t="s">
        <v>4787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">
        <v>17</v>
      </c>
      <c r="K19" s="7"/>
      <c r="L19" s="7"/>
      <c r="M19" s="7" t="s">
        <v>4787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">
        <v>17</v>
      </c>
      <c r="K20" s="7"/>
      <c r="L20" s="7"/>
      <c r="M20" s="7" t="s">
        <v>4787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">
        <v>17</v>
      </c>
      <c r="K21" s="7"/>
      <c r="L21" s="7"/>
      <c r="M21" s="7" t="s">
        <v>4787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">
        <v>17</v>
      </c>
      <c r="K22" s="7"/>
      <c r="L22" s="7"/>
      <c r="M22" s="7" t="s">
        <v>4787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">
        <v>17</v>
      </c>
      <c r="K23" s="7"/>
      <c r="L23" s="7"/>
      <c r="M23" s="7" t="s">
        <v>4787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">
        <v>17</v>
      </c>
      <c r="K24" s="7"/>
      <c r="L24" s="7"/>
      <c r="M24" s="7" t="s">
        <v>4787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">
        <v>17</v>
      </c>
      <c r="K25" s="7"/>
      <c r="L25" s="7"/>
      <c r="M25" s="7" t="s">
        <v>4787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">
        <v>17</v>
      </c>
      <c r="K26" s="7"/>
      <c r="L26" s="7"/>
      <c r="M26" s="7" t="s">
        <v>4787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">
        <v>17</v>
      </c>
      <c r="K27" s="7"/>
      <c r="L27" s="7"/>
      <c r="M27" s="7" t="s">
        <v>4787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">
        <v>17</v>
      </c>
      <c r="K28" s="7"/>
      <c r="L28" s="7"/>
      <c r="M28" s="7" t="s">
        <v>4787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">
        <v>19</v>
      </c>
      <c r="K29" s="7"/>
      <c r="L29" s="7"/>
      <c r="M29" s="7" t="s">
        <v>4788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">
        <v>20</v>
      </c>
      <c r="K30" s="7"/>
      <c r="L30" s="7"/>
      <c r="M30" s="7" t="s">
        <v>4797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">
        <v>20</v>
      </c>
      <c r="K31" s="7"/>
      <c r="L31" s="7"/>
      <c r="M31" s="7" t="s">
        <v>4797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">
        <v>20</v>
      </c>
      <c r="K32" s="7"/>
      <c r="L32" s="7"/>
      <c r="M32" s="7" t="s">
        <v>4797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">
        <v>20</v>
      </c>
      <c r="K33" s="7"/>
      <c r="L33" s="7"/>
      <c r="M33" s="7" t="s">
        <v>4797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">
        <v>20</v>
      </c>
      <c r="K34" s="7"/>
      <c r="L34" s="7"/>
      <c r="M34" s="7" t="s">
        <v>4797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">
        <v>20</v>
      </c>
      <c r="K35" s="7"/>
      <c r="L35" s="7"/>
      <c r="M35" s="7" t="s">
        <v>4797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">
        <v>20</v>
      </c>
      <c r="K36" s="7"/>
      <c r="L36" s="7"/>
      <c r="M36" s="7" t="s">
        <v>4797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">
        <v>20</v>
      </c>
      <c r="K37" s="7"/>
      <c r="L37" s="7"/>
      <c r="M37" s="7" t="s">
        <v>4797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">
        <v>20</v>
      </c>
      <c r="K38" s="7"/>
      <c r="L38" s="7"/>
      <c r="M38" s="7" t="s">
        <v>4797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">
        <v>20</v>
      </c>
      <c r="K39" s="7"/>
      <c r="L39" s="7"/>
      <c r="M39" s="7" t="s">
        <v>4797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">
        <v>20</v>
      </c>
      <c r="K40" s="7"/>
      <c r="L40" s="7"/>
      <c r="M40" s="7" t="s">
        <v>4797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">
        <v>20</v>
      </c>
      <c r="K41" s="7"/>
      <c r="L41" s="7"/>
      <c r="M41" s="7" t="s">
        <v>4797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">
        <v>20</v>
      </c>
      <c r="K42" s="7"/>
      <c r="L42" s="7"/>
      <c r="M42" s="7" t="s">
        <v>4797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">
        <v>20</v>
      </c>
      <c r="K43" s="7"/>
      <c r="L43" s="7"/>
      <c r="M43" s="7" t="s">
        <v>4797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">
        <v>20</v>
      </c>
      <c r="K44" s="7"/>
      <c r="L44" s="7"/>
      <c r="M44" s="7" t="s">
        <v>4797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">
        <v>20</v>
      </c>
      <c r="K45" s="7"/>
      <c r="L45" s="7"/>
      <c r="M45" s="7" t="s">
        <v>4797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">
        <v>20</v>
      </c>
      <c r="K46" s="7"/>
      <c r="L46" s="7"/>
      <c r="M46" s="7" t="s">
        <v>4797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">
        <v>20</v>
      </c>
      <c r="K47" s="7"/>
      <c r="L47" s="7"/>
      <c r="M47" s="7" t="s">
        <v>4797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">
        <v>20</v>
      </c>
      <c r="K48" s="7"/>
      <c r="L48" s="7"/>
      <c r="M48" s="7" t="s">
        <v>4797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">
        <v>20</v>
      </c>
      <c r="K49" s="7"/>
      <c r="L49" s="7"/>
      <c r="M49" s="7" t="s">
        <v>4797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">
        <v>20</v>
      </c>
      <c r="K50" s="7"/>
      <c r="L50" s="7"/>
      <c r="M50" s="7" t="s">
        <v>4797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">
        <v>20</v>
      </c>
      <c r="K51" s="7"/>
      <c r="L51" s="7"/>
      <c r="M51" s="7" t="s">
        <v>4797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">
        <v>20</v>
      </c>
      <c r="K52" s="7"/>
      <c r="L52" s="7"/>
      <c r="M52" s="7" t="s">
        <v>4797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">
        <v>20</v>
      </c>
      <c r="K53" s="7"/>
      <c r="L53" s="7"/>
      <c r="M53" s="7" t="s">
        <v>4797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">
        <v>20</v>
      </c>
      <c r="K54" s="7"/>
      <c r="L54" s="7"/>
      <c r="M54" s="7" t="s">
        <v>4797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">
        <v>20</v>
      </c>
      <c r="K55" s="7"/>
      <c r="L55" s="7"/>
      <c r="M55" s="7" t="s">
        <v>4797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">
        <v>20</v>
      </c>
      <c r="K56" s="7"/>
      <c r="L56" s="7"/>
      <c r="M56" s="7" t="s">
        <v>4797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">
        <v>20</v>
      </c>
      <c r="K57" s="7"/>
      <c r="L57" s="7"/>
      <c r="M57" s="7" t="s">
        <v>4797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">
        <v>20</v>
      </c>
      <c r="K58" s="7"/>
      <c r="L58" s="7"/>
      <c r="M58" s="7" t="s">
        <v>4797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">
        <v>20</v>
      </c>
      <c r="K59" s="7"/>
      <c r="L59" s="7"/>
      <c r="M59" s="7" t="s">
        <v>4797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">
        <v>20</v>
      </c>
      <c r="K60" s="7"/>
      <c r="L60" s="7"/>
      <c r="M60" s="7" t="s">
        <v>4797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">
        <v>20</v>
      </c>
      <c r="K61" s="7"/>
      <c r="L61" s="7"/>
      <c r="M61" s="7" t="s">
        <v>4797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">
        <v>20</v>
      </c>
      <c r="K62" s="7"/>
      <c r="L62" s="7"/>
      <c r="M62" s="7" t="s">
        <v>4797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">
        <v>20</v>
      </c>
      <c r="K63" s="7"/>
      <c r="L63" s="7"/>
      <c r="M63" s="7" t="s">
        <v>4797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">
        <v>20</v>
      </c>
      <c r="K64" s="7"/>
      <c r="L64" s="7"/>
      <c r="M64" s="7" t="s">
        <v>4797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">
        <v>20</v>
      </c>
      <c r="K65" s="7"/>
      <c r="L65" s="7"/>
      <c r="M65" s="7" t="s">
        <v>4797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">
        <v>20</v>
      </c>
      <c r="K66" s="7"/>
      <c r="L66" s="7"/>
      <c r="M66" s="7" t="s">
        <v>4797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">
        <v>20</v>
      </c>
      <c r="K67" s="7"/>
      <c r="L67" s="7"/>
      <c r="M67" s="7" t="s">
        <v>4797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">
        <v>20</v>
      </c>
      <c r="K68" s="7"/>
      <c r="L68" s="7"/>
      <c r="M68" s="7" t="s">
        <v>4797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">
        <v>20</v>
      </c>
      <c r="K69" s="7"/>
      <c r="L69" s="7"/>
      <c r="M69" s="7" t="s">
        <v>4797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">
        <v>20</v>
      </c>
      <c r="K70" s="7"/>
      <c r="L70" s="7"/>
      <c r="M70" s="7" t="s">
        <v>4797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">
        <v>20</v>
      </c>
      <c r="K71" s="7"/>
      <c r="L71" s="7"/>
      <c r="M71" s="7" t="s">
        <v>4797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">
        <v>20</v>
      </c>
      <c r="K72" s="7"/>
      <c r="L72" s="7"/>
      <c r="M72" s="7" t="s">
        <v>4797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">
        <v>20</v>
      </c>
      <c r="K73" s="7"/>
      <c r="L73" s="7"/>
      <c r="M73" s="7" t="s">
        <v>4797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">
        <v>20</v>
      </c>
      <c r="K74" s="7"/>
      <c r="L74" s="7"/>
      <c r="M74" s="7" t="s">
        <v>4797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">
        <v>20</v>
      </c>
      <c r="K75" s="7"/>
      <c r="L75" s="7"/>
      <c r="M75" s="7" t="s">
        <v>4797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">
        <v>20</v>
      </c>
      <c r="K76" s="7"/>
      <c r="L76" s="7"/>
      <c r="M76" s="7" t="s">
        <v>4797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">
        <v>20</v>
      </c>
      <c r="K77" s="7"/>
      <c r="L77" s="7"/>
      <c r="M77" s="7" t="s">
        <v>4797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">
        <v>20</v>
      </c>
      <c r="K78" s="7"/>
      <c r="L78" s="7"/>
      <c r="M78" s="7" t="s">
        <v>4797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">
        <v>20</v>
      </c>
      <c r="K79" s="7"/>
      <c r="L79" s="7"/>
      <c r="M79" s="7" t="s">
        <v>4797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">
        <v>20</v>
      </c>
      <c r="K80" s="7"/>
      <c r="L80" s="7"/>
      <c r="M80" s="7" t="s">
        <v>4797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">
        <v>20</v>
      </c>
      <c r="K81" s="7"/>
      <c r="L81" s="7"/>
      <c r="M81" s="7" t="s">
        <v>4797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">
        <v>20</v>
      </c>
      <c r="K82" s="7"/>
      <c r="L82" s="7"/>
      <c r="M82" s="7" t="s">
        <v>4797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">
        <v>20</v>
      </c>
      <c r="K83" s="7"/>
      <c r="L83" s="7"/>
      <c r="M83" s="7" t="s">
        <v>4797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">
        <v>20</v>
      </c>
      <c r="K84" s="7"/>
      <c r="L84" s="7"/>
      <c r="M84" s="7" t="s">
        <v>4797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">
        <v>19</v>
      </c>
      <c r="K85" s="7"/>
      <c r="L85" s="7"/>
      <c r="M85" s="7" t="s">
        <v>4791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">
        <v>19</v>
      </c>
      <c r="K86" s="7"/>
      <c r="L86" s="7"/>
      <c r="M86" s="7" t="s">
        <v>4791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">
        <v>19</v>
      </c>
      <c r="K87" s="7"/>
      <c r="L87" s="7"/>
      <c r="M87" s="7" t="s">
        <v>4791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">
        <v>19</v>
      </c>
      <c r="K88" s="7"/>
      <c r="L88" s="7"/>
      <c r="M88" s="7" t="s">
        <v>4791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">
        <v>19</v>
      </c>
      <c r="K89" s="7"/>
      <c r="L89" s="7"/>
      <c r="M89" s="7" t="s">
        <v>4791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">
        <v>19</v>
      </c>
      <c r="K90" s="7"/>
      <c r="L90" s="7"/>
      <c r="M90" s="7" t="s">
        <v>1616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">
        <v>19</v>
      </c>
      <c r="K91" s="7"/>
      <c r="L91" s="7"/>
      <c r="M91" s="7" t="s">
        <v>1616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">
        <v>19</v>
      </c>
      <c r="K92" s="7"/>
      <c r="L92" s="7"/>
      <c r="M92" s="7" t="s">
        <v>1616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">
        <v>19</v>
      </c>
      <c r="K93" s="7"/>
      <c r="L93" s="7"/>
      <c r="M93" s="7" t="s">
        <v>1616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">
        <v>19</v>
      </c>
      <c r="K94" s="7"/>
      <c r="L94" s="7"/>
      <c r="M94" s="7" t="s">
        <v>4789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">
        <v>19</v>
      </c>
      <c r="K95" s="7"/>
      <c r="L95" s="7"/>
      <c r="M95" s="7" t="s">
        <v>4789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">
        <v>19</v>
      </c>
      <c r="K96" s="7"/>
      <c r="L96" s="7"/>
      <c r="M96" s="7" t="s">
        <v>4789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">
        <v>19</v>
      </c>
      <c r="K97" s="7"/>
      <c r="L97" s="7"/>
      <c r="M97" s="7" t="s">
        <v>4789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">
        <v>19</v>
      </c>
      <c r="K98" s="7"/>
      <c r="L98" s="7"/>
      <c r="M98" s="7" t="s">
        <v>4789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">
        <v>19</v>
      </c>
      <c r="K99" s="7"/>
      <c r="L99" s="7"/>
      <c r="M99" s="7" t="s">
        <v>4789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">
        <v>19</v>
      </c>
      <c r="K100" s="7"/>
      <c r="L100" s="7"/>
      <c r="M100" s="7" t="s">
        <v>4789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">
        <v>19</v>
      </c>
      <c r="K101" s="7"/>
      <c r="L101" s="7"/>
      <c r="M101" s="7" t="s">
        <v>4789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">
        <v>17</v>
      </c>
      <c r="K102" s="7"/>
      <c r="L102" s="7"/>
      <c r="M102" s="7" t="s">
        <v>1233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">
        <v>17</v>
      </c>
      <c r="K103" s="7"/>
      <c r="L103" s="7"/>
      <c r="M103" s="7" t="s">
        <v>1233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">
        <v>17</v>
      </c>
      <c r="K104" s="7"/>
      <c r="L104" s="7"/>
      <c r="M104" s="7" t="s">
        <v>1233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">
        <v>17</v>
      </c>
      <c r="K105" s="7"/>
      <c r="L105" s="7"/>
      <c r="M105" s="7" t="s">
        <v>1233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">
        <v>17</v>
      </c>
      <c r="K106" s="7"/>
      <c r="L106" s="7"/>
      <c r="M106" s="7" t="s">
        <v>4781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">
        <v>17</v>
      </c>
      <c r="K107" s="7"/>
      <c r="L107" s="7"/>
      <c r="M107" s="7" t="s">
        <v>4781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">
        <v>17</v>
      </c>
      <c r="K108" s="7"/>
      <c r="L108" s="7"/>
      <c r="M108" s="7" t="s">
        <v>4781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">
        <v>17</v>
      </c>
      <c r="K109" s="7"/>
      <c r="L109" s="7"/>
      <c r="M109" s="7" t="s">
        <v>4781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">
        <v>17</v>
      </c>
      <c r="K110" s="7"/>
      <c r="L110" s="7"/>
      <c r="M110" s="7" t="s">
        <v>4781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">
        <v>17</v>
      </c>
      <c r="K111" s="7"/>
      <c r="L111" s="7"/>
      <c r="M111" s="7" t="s">
        <v>4781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">
        <v>17</v>
      </c>
      <c r="K112" s="7"/>
      <c r="L112" s="7"/>
      <c r="M112" s="7" t="s">
        <v>4781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">
        <v>17</v>
      </c>
      <c r="K113" s="7"/>
      <c r="L113" s="7"/>
      <c r="M113" s="7" t="s">
        <v>4781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">
        <v>17</v>
      </c>
      <c r="K114" s="7"/>
      <c r="L114" s="7"/>
      <c r="M114" s="7" t="s">
        <v>4781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">
        <v>17</v>
      </c>
      <c r="K115" s="7"/>
      <c r="L115" s="7"/>
      <c r="M115" s="7" t="s">
        <v>4781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">
        <v>18</v>
      </c>
      <c r="K116" s="7"/>
      <c r="L116" s="7"/>
      <c r="M116" s="7" t="s">
        <v>4793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">
        <v>18</v>
      </c>
      <c r="K117" s="7"/>
      <c r="L117" s="7"/>
      <c r="M117" s="7" t="s">
        <v>4793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">
        <v>18</v>
      </c>
      <c r="K118" s="7"/>
      <c r="L118" s="7"/>
      <c r="M118" s="7" t="s">
        <v>4793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">
        <v>18</v>
      </c>
      <c r="K119" s="7"/>
      <c r="L119" s="7"/>
      <c r="M119" s="7" t="s">
        <v>4793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">
        <v>18</v>
      </c>
      <c r="K120" s="7"/>
      <c r="L120" s="7"/>
      <c r="M120" s="7" t="s">
        <v>4793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">
        <v>18</v>
      </c>
      <c r="K121" s="7"/>
      <c r="L121" s="7"/>
      <c r="M121" s="7" t="s">
        <v>4793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">
        <v>18</v>
      </c>
      <c r="K122" s="7"/>
      <c r="L122" s="7"/>
      <c r="M122" s="7" t="s">
        <v>4793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">
        <v>18</v>
      </c>
      <c r="K123" s="7"/>
      <c r="L123" s="7"/>
      <c r="M123" s="7" t="s">
        <v>4793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">
        <v>18</v>
      </c>
      <c r="K124" s="7"/>
      <c r="L124" s="7"/>
      <c r="M124" s="7" t="s">
        <v>4793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">
        <v>18</v>
      </c>
      <c r="K125" s="7"/>
      <c r="L125" s="7"/>
      <c r="M125" s="7" t="s">
        <v>4793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">
        <v>18</v>
      </c>
      <c r="K126" s="7"/>
      <c r="L126" s="7"/>
      <c r="M126" s="7" t="s">
        <v>4793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">
        <v>18</v>
      </c>
      <c r="K127" s="7"/>
      <c r="L127" s="7"/>
      <c r="M127" s="7" t="s">
        <v>4793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">
        <v>18</v>
      </c>
      <c r="K128" s="7"/>
      <c r="L128" s="7"/>
      <c r="M128" s="7" t="s">
        <v>4793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">
        <v>18</v>
      </c>
      <c r="K129" s="7"/>
      <c r="L129" s="7"/>
      <c r="M129" s="7" t="s">
        <v>4793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">
        <v>18</v>
      </c>
      <c r="K130" s="7"/>
      <c r="L130" s="7"/>
      <c r="M130" s="7" t="s">
        <v>4793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">
        <v>18</v>
      </c>
      <c r="K131" s="7"/>
      <c r="L131" s="7"/>
      <c r="M131" s="7" t="s">
        <v>4793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">
        <v>18</v>
      </c>
      <c r="K132" s="7"/>
      <c r="L132" s="7"/>
      <c r="M132" s="7" t="s">
        <v>4793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">
        <v>18</v>
      </c>
      <c r="K133" s="7"/>
      <c r="L133" s="7"/>
      <c r="M133" s="7" t="s">
        <v>4793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">
        <v>18</v>
      </c>
      <c r="K134" s="7"/>
      <c r="L134" s="7"/>
      <c r="M134" s="7" t="s">
        <v>4793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">
        <v>18</v>
      </c>
      <c r="K135" s="7"/>
      <c r="L135" s="7"/>
      <c r="M135" s="7" t="s">
        <v>4793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">
        <v>18</v>
      </c>
      <c r="K136" s="7"/>
      <c r="L136" s="7"/>
      <c r="M136" s="7" t="s">
        <v>4793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">
        <v>18</v>
      </c>
      <c r="K137" s="7"/>
      <c r="L137" s="7"/>
      <c r="M137" s="7" t="s">
        <v>4793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">
        <v>18</v>
      </c>
      <c r="K138" s="7"/>
      <c r="L138" s="7"/>
      <c r="M138" s="7" t="s">
        <v>4793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">
        <v>18</v>
      </c>
      <c r="K139" s="7"/>
      <c r="L139" s="7"/>
      <c r="M139" s="7" t="s">
        <v>4793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">
        <v>18</v>
      </c>
      <c r="K140" s="7"/>
      <c r="L140" s="7"/>
      <c r="M140" s="7" t="s">
        <v>4793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">
        <v>18</v>
      </c>
      <c r="K141" s="7"/>
      <c r="L141" s="7"/>
      <c r="M141" s="7" t="s">
        <v>4793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">
        <v>18</v>
      </c>
      <c r="K142" s="7"/>
      <c r="L142" s="7"/>
      <c r="M142" s="7" t="s">
        <v>4793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">
        <v>18</v>
      </c>
      <c r="K143" s="7"/>
      <c r="L143" s="7"/>
      <c r="M143" s="7" t="s">
        <v>4793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">
        <v>18</v>
      </c>
      <c r="K144" s="7"/>
      <c r="L144" s="7"/>
      <c r="M144" s="7" t="s">
        <v>4793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">
        <v>18</v>
      </c>
      <c r="K145" s="7"/>
      <c r="L145" s="7"/>
      <c r="M145" s="7" t="s">
        <v>4793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">
        <v>18</v>
      </c>
      <c r="K146" s="7"/>
      <c r="L146" s="7"/>
      <c r="M146" s="7" t="s">
        <v>4793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">
        <v>18</v>
      </c>
      <c r="K147" s="7"/>
      <c r="L147" s="7"/>
      <c r="M147" s="7" t="s">
        <v>4793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">
        <v>18</v>
      </c>
      <c r="K148" s="7"/>
      <c r="L148" s="7"/>
      <c r="M148" s="7" t="s">
        <v>4793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">
        <v>18</v>
      </c>
      <c r="K149" s="7"/>
      <c r="L149" s="7"/>
      <c r="M149" s="7" t="s">
        <v>4793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">
        <v>18</v>
      </c>
      <c r="K150" s="7"/>
      <c r="L150" s="7"/>
      <c r="M150" s="7" t="s">
        <v>4793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">
        <v>18</v>
      </c>
      <c r="K151" s="7"/>
      <c r="L151" s="7"/>
      <c r="M151" s="7" t="s">
        <v>4793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">
        <v>18</v>
      </c>
      <c r="K152" s="7"/>
      <c r="L152" s="7"/>
      <c r="M152" s="7" t="s">
        <v>4793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">
        <v>18</v>
      </c>
      <c r="K153" s="7"/>
      <c r="L153" s="7"/>
      <c r="M153" s="7" t="s">
        <v>4793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">
        <v>18</v>
      </c>
      <c r="K154" s="7"/>
      <c r="L154" s="7"/>
      <c r="M154" s="7" t="s">
        <v>4793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">
        <v>18</v>
      </c>
      <c r="K155" s="7"/>
      <c r="L155" s="7"/>
      <c r="M155" s="7" t="s">
        <v>4793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">
        <v>18</v>
      </c>
      <c r="K156" s="7"/>
      <c r="L156" s="7"/>
      <c r="M156" s="7" t="s">
        <v>4793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">
        <v>18</v>
      </c>
      <c r="K157" s="7"/>
      <c r="L157" s="7"/>
      <c r="M157" s="7" t="s">
        <v>4793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">
        <v>18</v>
      </c>
      <c r="K158" s="7"/>
      <c r="L158" s="7"/>
      <c r="M158" s="7" t="s">
        <v>4793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">
        <v>18</v>
      </c>
      <c r="K159" s="7"/>
      <c r="L159" s="7"/>
      <c r="M159" s="7" t="s">
        <v>4793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">
        <v>18</v>
      </c>
      <c r="K160" s="7"/>
      <c r="L160" s="7"/>
      <c r="M160" s="7" t="s">
        <v>4793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">
        <v>18</v>
      </c>
      <c r="K161" s="7"/>
      <c r="L161" s="7"/>
      <c r="M161" s="7" t="s">
        <v>4793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">
        <v>18</v>
      </c>
      <c r="K162" s="7"/>
      <c r="L162" s="7"/>
      <c r="M162" s="7" t="s">
        <v>4793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">
        <v>18</v>
      </c>
      <c r="K163" s="7"/>
      <c r="L163" s="7"/>
      <c r="M163" s="7" t="s">
        <v>4793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">
        <v>18</v>
      </c>
      <c r="K164" s="7"/>
      <c r="L164" s="7"/>
      <c r="M164" s="7" t="s">
        <v>4793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">
        <v>18</v>
      </c>
      <c r="K165" s="7"/>
      <c r="L165" s="7"/>
      <c r="M165" s="7" t="s">
        <v>4793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">
        <v>18</v>
      </c>
      <c r="K166" s="7"/>
      <c r="L166" s="7"/>
      <c r="M166" s="7" t="s">
        <v>4793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">
        <v>18</v>
      </c>
      <c r="K167" s="7"/>
      <c r="L167" s="7"/>
      <c r="M167" s="7" t="s">
        <v>4793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">
        <v>18</v>
      </c>
      <c r="K168" s="7"/>
      <c r="L168" s="7"/>
      <c r="M168" s="7" t="s">
        <v>4793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">
        <v>18</v>
      </c>
      <c r="K169" s="7"/>
      <c r="L169" s="7"/>
      <c r="M169" s="7" t="s">
        <v>4793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">
        <v>18</v>
      </c>
      <c r="K170" s="7"/>
      <c r="L170" s="7"/>
      <c r="M170" s="7" t="s">
        <v>4793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">
        <v>18</v>
      </c>
      <c r="K171" s="7"/>
      <c r="L171" s="7"/>
      <c r="M171" s="7" t="s">
        <v>4793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">
        <v>18</v>
      </c>
      <c r="K172" s="7"/>
      <c r="L172" s="7"/>
      <c r="M172" s="7" t="s">
        <v>4793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">
        <v>18</v>
      </c>
      <c r="K173" s="7"/>
      <c r="L173" s="7"/>
      <c r="M173" s="7" t="s">
        <v>4793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">
        <v>18</v>
      </c>
      <c r="K174" s="7"/>
      <c r="L174" s="7"/>
      <c r="M174" s="7" t="s">
        <v>4793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">
        <v>18</v>
      </c>
      <c r="K175" s="7"/>
      <c r="L175" s="7"/>
      <c r="M175" s="7" t="s">
        <v>4793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">
        <v>18</v>
      </c>
      <c r="K176" s="7"/>
      <c r="L176" s="7"/>
      <c r="M176" s="7" t="s">
        <v>4793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">
        <v>18</v>
      </c>
      <c r="K177" s="7"/>
      <c r="L177" s="7"/>
      <c r="M177" s="7" t="s">
        <v>4793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">
        <v>18</v>
      </c>
      <c r="K178" s="7"/>
      <c r="L178" s="7"/>
      <c r="M178" s="7" t="s">
        <v>4793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">
        <v>18</v>
      </c>
      <c r="K179" s="7"/>
      <c r="L179" s="7"/>
      <c r="M179" s="7" t="s">
        <v>4793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">
        <v>18</v>
      </c>
      <c r="K180" s="7"/>
      <c r="L180" s="7"/>
      <c r="M180" s="7" t="s">
        <v>4793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">
        <v>18</v>
      </c>
      <c r="K181" s="7"/>
      <c r="L181" s="7"/>
      <c r="M181" s="7" t="s">
        <v>4793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">
        <v>18</v>
      </c>
      <c r="K182" s="7"/>
      <c r="L182" s="7"/>
      <c r="M182" s="7" t="s">
        <v>4793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">
        <v>18</v>
      </c>
      <c r="K183" s="7"/>
      <c r="L183" s="7"/>
      <c r="M183" s="7" t="s">
        <v>4793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">
        <v>18</v>
      </c>
      <c r="K184" s="7"/>
      <c r="L184" s="7"/>
      <c r="M184" s="7" t="s">
        <v>4793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">
        <v>18</v>
      </c>
      <c r="K185" s="7"/>
      <c r="L185" s="7"/>
      <c r="M185" s="7" t="s">
        <v>4793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">
        <v>18</v>
      </c>
      <c r="K186" s="7"/>
      <c r="L186" s="7"/>
      <c r="M186" s="7" t="s">
        <v>4793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">
        <v>18</v>
      </c>
      <c r="K187" s="7"/>
      <c r="L187" s="7"/>
      <c r="M187" s="7" t="s">
        <v>4793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">
        <v>18</v>
      </c>
      <c r="K188" s="7"/>
      <c r="L188" s="7"/>
      <c r="M188" s="7" t="s">
        <v>4793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">
        <v>18</v>
      </c>
      <c r="K189" s="7"/>
      <c r="L189" s="7"/>
      <c r="M189" s="7" t="s">
        <v>4793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">
        <v>18</v>
      </c>
      <c r="K190" s="7"/>
      <c r="L190" s="7"/>
      <c r="M190" s="7" t="s">
        <v>4793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">
        <v>18</v>
      </c>
      <c r="K191" s="7"/>
      <c r="L191" s="7"/>
      <c r="M191" s="7" t="s">
        <v>4793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">
        <v>18</v>
      </c>
      <c r="K192" s="7"/>
      <c r="L192" s="7"/>
      <c r="M192" s="7" t="s">
        <v>4793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">
        <v>18</v>
      </c>
      <c r="K193" s="7"/>
      <c r="L193" s="7"/>
      <c r="M193" s="7" t="s">
        <v>4793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">
        <v>18</v>
      </c>
      <c r="K194" s="7"/>
      <c r="L194" s="7"/>
      <c r="M194" s="7" t="s">
        <v>4793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">
        <v>18</v>
      </c>
      <c r="K195" s="7"/>
      <c r="L195" s="7"/>
      <c r="M195" s="7" t="s">
        <v>4793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">
        <v>18</v>
      </c>
      <c r="K196" s="7"/>
      <c r="L196" s="7"/>
      <c r="M196" s="7" t="s">
        <v>4793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">
        <v>18</v>
      </c>
      <c r="K197" s="7"/>
      <c r="L197" s="7"/>
      <c r="M197" s="7" t="s">
        <v>4793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">
        <v>17</v>
      </c>
      <c r="K198" s="7"/>
      <c r="L198" s="7"/>
      <c r="M198" s="7" t="s">
        <v>4787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">
        <v>17</v>
      </c>
      <c r="K199" s="7"/>
      <c r="L199" s="7"/>
      <c r="M199" s="7" t="s">
        <v>4798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">
        <v>17</v>
      </c>
      <c r="K200" s="7"/>
      <c r="L200" s="7"/>
      <c r="M200" s="7" t="s">
        <v>4798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">
        <v>17</v>
      </c>
      <c r="K201" s="7"/>
      <c r="L201" s="7"/>
      <c r="M201" s="7" t="s">
        <v>4798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">
        <v>17</v>
      </c>
      <c r="K202" s="7"/>
      <c r="L202" s="7"/>
      <c r="M202" s="7" t="s">
        <v>4798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">
        <v>17</v>
      </c>
      <c r="K203" s="7"/>
      <c r="L203" s="7"/>
      <c r="M203" s="7" t="s">
        <v>4798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">
        <v>17</v>
      </c>
      <c r="K204" s="7"/>
      <c r="L204" s="7"/>
      <c r="M204" s="7" t="s">
        <v>4798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">
        <v>17</v>
      </c>
      <c r="K205" s="7"/>
      <c r="L205" s="7"/>
      <c r="M205" s="7" t="s">
        <v>4798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">
        <v>17</v>
      </c>
      <c r="K206" s="7"/>
      <c r="L206" s="7"/>
      <c r="M206" s="7" t="s">
        <v>4798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">
        <v>17</v>
      </c>
      <c r="K207" s="7"/>
      <c r="L207" s="7"/>
      <c r="M207" s="7" t="s">
        <v>4798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">
        <v>17</v>
      </c>
      <c r="K208" s="7"/>
      <c r="L208" s="7"/>
      <c r="M208" s="7" t="s">
        <v>4798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">
        <v>17</v>
      </c>
      <c r="K209" s="7"/>
      <c r="L209" s="7"/>
      <c r="M209" s="7" t="s">
        <v>4798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">
        <v>17</v>
      </c>
      <c r="K210" s="7"/>
      <c r="L210" s="7"/>
      <c r="M210" s="7" t="s">
        <v>4798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">
        <v>17</v>
      </c>
      <c r="K211" s="7"/>
      <c r="L211" s="7"/>
      <c r="M211" s="7" t="s">
        <v>4798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">
        <v>17</v>
      </c>
      <c r="K212" s="7"/>
      <c r="L212" s="7"/>
      <c r="M212" s="7" t="s">
        <v>4798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">
        <v>17</v>
      </c>
      <c r="K213" s="7"/>
      <c r="L213" s="7"/>
      <c r="M213" s="7" t="s">
        <v>4798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">
        <v>17</v>
      </c>
      <c r="K214" s="7"/>
      <c r="L214" s="7"/>
      <c r="M214" s="7" t="s">
        <v>4798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">
        <v>17</v>
      </c>
      <c r="K215" s="7"/>
      <c r="L215" s="7"/>
      <c r="M215" s="7" t="s">
        <v>4798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">
        <v>17</v>
      </c>
      <c r="K216" s="7"/>
      <c r="L216" s="7"/>
      <c r="M216" s="7" t="s">
        <v>4798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">
        <v>17</v>
      </c>
      <c r="K217" s="7"/>
      <c r="L217" s="7"/>
      <c r="M217" s="7" t="s">
        <v>4798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">
        <v>17</v>
      </c>
      <c r="K218" s="7"/>
      <c r="L218" s="7"/>
      <c r="M218" s="7" t="s">
        <v>4798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">
        <v>17</v>
      </c>
      <c r="K219" s="7"/>
      <c r="L219" s="7"/>
      <c r="M219" s="7" t="s">
        <v>4798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">
        <v>17</v>
      </c>
      <c r="K220" s="7"/>
      <c r="L220" s="7"/>
      <c r="M220" s="7" t="s">
        <v>4798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">
        <v>17</v>
      </c>
      <c r="K221" s="7"/>
      <c r="L221" s="7"/>
      <c r="M221" s="7" t="s">
        <v>4798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">
        <v>17</v>
      </c>
      <c r="K222" s="7"/>
      <c r="L222" s="7"/>
      <c r="M222" s="7" t="s">
        <v>4798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">
        <v>17</v>
      </c>
      <c r="K223" s="7"/>
      <c r="L223" s="7"/>
      <c r="M223" s="7" t="s">
        <v>4798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">
        <v>17</v>
      </c>
      <c r="K224" s="7"/>
      <c r="L224" s="7"/>
      <c r="M224" s="7" t="s">
        <v>4798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">
        <v>17</v>
      </c>
      <c r="K225" s="7"/>
      <c r="L225" s="7"/>
      <c r="M225" s="7" t="s">
        <v>4798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">
        <v>17</v>
      </c>
      <c r="K226" s="7"/>
      <c r="L226" s="7"/>
      <c r="M226" s="7" t="s">
        <v>4798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">
        <v>17</v>
      </c>
      <c r="K227" s="7"/>
      <c r="L227" s="7"/>
      <c r="M227" s="7" t="s">
        <v>4798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">
        <v>17</v>
      </c>
      <c r="K228" s="7"/>
      <c r="L228" s="7"/>
      <c r="M228" s="7" t="s">
        <v>4798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">
        <v>17</v>
      </c>
      <c r="K229" s="7"/>
      <c r="L229" s="7"/>
      <c r="M229" s="7" t="s">
        <v>4798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">
        <v>17</v>
      </c>
      <c r="K230" s="7"/>
      <c r="L230" s="7"/>
      <c r="M230" s="7" t="s">
        <v>4798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">
        <v>17</v>
      </c>
      <c r="K231" s="7"/>
      <c r="L231" s="7"/>
      <c r="M231" s="7" t="s">
        <v>4798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">
        <v>17</v>
      </c>
      <c r="K232" s="7"/>
      <c r="L232" s="7"/>
      <c r="M232" s="7" t="s">
        <v>4798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">
        <v>17</v>
      </c>
      <c r="K233" s="7"/>
      <c r="L233" s="7"/>
      <c r="M233" s="7" t="s">
        <v>4798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">
        <v>17</v>
      </c>
      <c r="K234" s="7"/>
      <c r="L234" s="7"/>
      <c r="M234" s="7" t="s">
        <v>4798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">
        <v>17</v>
      </c>
      <c r="K235" s="7"/>
      <c r="L235" s="7"/>
      <c r="M235" s="7" t="s">
        <v>4798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">
        <v>17</v>
      </c>
      <c r="K236" s="7"/>
      <c r="L236" s="7"/>
      <c r="M236" s="7" t="s">
        <v>4798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">
        <v>17</v>
      </c>
      <c r="K237" s="7"/>
      <c r="L237" s="7"/>
      <c r="M237" s="7" t="s">
        <v>4798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">
        <v>17</v>
      </c>
      <c r="K238" s="7"/>
      <c r="L238" s="7"/>
      <c r="M238" s="7" t="s">
        <v>4798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">
        <v>17</v>
      </c>
      <c r="K239" s="7"/>
      <c r="L239" s="7"/>
      <c r="M239" s="7" t="s">
        <v>4798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">
        <v>17</v>
      </c>
      <c r="K240" s="7"/>
      <c r="L240" s="7"/>
      <c r="M240" s="7" t="s">
        <v>4798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">
        <v>17</v>
      </c>
      <c r="K241" s="7"/>
      <c r="L241" s="7"/>
      <c r="M241" s="7" t="s">
        <v>4798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">
        <v>17</v>
      </c>
      <c r="K242" s="7"/>
      <c r="L242" s="7"/>
      <c r="M242" s="7" t="s">
        <v>4798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">
        <v>17</v>
      </c>
      <c r="K243" s="7"/>
      <c r="L243" s="7"/>
      <c r="M243" s="7" t="s">
        <v>4798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">
        <v>17</v>
      </c>
      <c r="K244" s="7"/>
      <c r="L244" s="7"/>
      <c r="M244" s="7" t="s">
        <v>4798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">
        <v>17</v>
      </c>
      <c r="K245" s="7"/>
      <c r="L245" s="7"/>
      <c r="M245" s="7" t="s">
        <v>4798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">
        <v>17</v>
      </c>
      <c r="K246" s="7"/>
      <c r="L246" s="7"/>
      <c r="M246" s="7" t="s">
        <v>4798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">
        <v>17</v>
      </c>
      <c r="K247" s="7"/>
      <c r="L247" s="7"/>
      <c r="M247" s="7" t="s">
        <v>4798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">
        <v>17</v>
      </c>
      <c r="K248" s="7"/>
      <c r="L248" s="7"/>
      <c r="M248" s="7" t="s">
        <v>4798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">
        <v>17</v>
      </c>
      <c r="K249" s="7"/>
      <c r="L249" s="7"/>
      <c r="M249" s="7" t="s">
        <v>4798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">
        <v>17</v>
      </c>
      <c r="K250" s="7"/>
      <c r="L250" s="7"/>
      <c r="M250" s="7" t="s">
        <v>4798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">
        <v>17</v>
      </c>
      <c r="K251" s="7"/>
      <c r="L251" s="7"/>
      <c r="M251" s="7" t="s">
        <v>4798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">
        <v>17</v>
      </c>
      <c r="K252" s="7"/>
      <c r="L252" s="7"/>
      <c r="M252" s="7" t="s">
        <v>4798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">
        <v>17</v>
      </c>
      <c r="K253" s="7"/>
      <c r="L253" s="7"/>
      <c r="M253" s="7" t="s">
        <v>4798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">
        <v>17</v>
      </c>
      <c r="K254" s="7"/>
      <c r="L254" s="7"/>
      <c r="M254" s="7" t="s">
        <v>4798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">
        <v>17</v>
      </c>
      <c r="K255" s="7"/>
      <c r="L255" s="7"/>
      <c r="M255" s="7" t="s">
        <v>4798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">
        <v>17</v>
      </c>
      <c r="K256" s="7"/>
      <c r="L256" s="7"/>
      <c r="M256" s="7" t="s">
        <v>4798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">
        <v>17</v>
      </c>
      <c r="K257" s="7"/>
      <c r="L257" s="7"/>
      <c r="M257" s="7" t="s">
        <v>4798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">
        <v>17</v>
      </c>
      <c r="K258" s="7"/>
      <c r="L258" s="7"/>
      <c r="M258" s="7" t="s">
        <v>4798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">
        <v>17</v>
      </c>
      <c r="K259" s="7"/>
      <c r="L259" s="7"/>
      <c r="M259" s="7" t="s">
        <v>4798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">
        <v>17</v>
      </c>
      <c r="K260" s="7"/>
      <c r="L260" s="7"/>
      <c r="M260" s="7" t="s">
        <v>4798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">
        <v>17</v>
      </c>
      <c r="K261" s="7"/>
      <c r="L261" s="7"/>
      <c r="M261" s="7" t="s">
        <v>4798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">
        <v>17</v>
      </c>
      <c r="K262" s="7"/>
      <c r="L262" s="7"/>
      <c r="M262" s="7" t="s">
        <v>4798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">
        <v>17</v>
      </c>
      <c r="K263" s="7"/>
      <c r="L263" s="7"/>
      <c r="M263" s="7" t="s">
        <v>4798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">
        <v>17</v>
      </c>
      <c r="K264" s="7"/>
      <c r="L264" s="7"/>
      <c r="M264" s="7" t="s">
        <v>4798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">
        <v>17</v>
      </c>
      <c r="K265" s="7"/>
      <c r="L265" s="7"/>
      <c r="M265" s="7" t="s">
        <v>4798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">
        <v>17</v>
      </c>
      <c r="K266" s="7"/>
      <c r="L266" s="7"/>
      <c r="M266" s="7" t="s">
        <v>4798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">
        <v>17</v>
      </c>
      <c r="K267" s="7"/>
      <c r="L267" s="7"/>
      <c r="M267" s="7" t="s">
        <v>4798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">
        <v>17</v>
      </c>
      <c r="K268" s="7"/>
      <c r="L268" s="7"/>
      <c r="M268" s="7" t="s">
        <v>4798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">
        <v>17</v>
      </c>
      <c r="K269" s="7"/>
      <c r="L269" s="7"/>
      <c r="M269" s="7" t="s">
        <v>4781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">
        <v>17</v>
      </c>
      <c r="K270" s="7"/>
      <c r="L270" s="7"/>
      <c r="M270" s="7" t="s">
        <v>4781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">
        <v>17</v>
      </c>
      <c r="K271" s="7"/>
      <c r="L271" s="7"/>
      <c r="M271" s="7" t="s">
        <v>4781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">
        <v>17</v>
      </c>
      <c r="K272" s="7"/>
      <c r="L272" s="7"/>
      <c r="M272" s="7" t="s">
        <v>4781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">
        <v>17</v>
      </c>
      <c r="K273" s="7"/>
      <c r="L273" s="7"/>
      <c r="M273" s="7" t="s">
        <v>1233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">
        <v>17</v>
      </c>
      <c r="K274" s="7"/>
      <c r="L274" s="7"/>
      <c r="M274" s="7" t="s">
        <v>1233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">
        <v>17</v>
      </c>
      <c r="K275" s="7"/>
      <c r="L275" s="7"/>
      <c r="M275" s="7" t="s">
        <v>4781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">
        <v>17</v>
      </c>
      <c r="K276" s="7"/>
      <c r="L276" s="7"/>
      <c r="M276" s="7" t="s">
        <v>4781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">
        <v>17</v>
      </c>
      <c r="K277" s="7"/>
      <c r="L277" s="7"/>
      <c r="M277" s="7" t="s">
        <v>4781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">
        <v>17</v>
      </c>
      <c r="K278" s="7"/>
      <c r="L278" s="7"/>
      <c r="M278" s="7" t="s">
        <v>4781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">
        <v>17</v>
      </c>
      <c r="K279" s="7"/>
      <c r="L279" s="7"/>
      <c r="M279" s="7" t="s">
        <v>4781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">
        <v>17</v>
      </c>
      <c r="K280" s="7"/>
      <c r="L280" s="7"/>
      <c r="M280" s="7" t="s">
        <v>1233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">
        <v>17</v>
      </c>
      <c r="K281" s="7"/>
      <c r="L281" s="7"/>
      <c r="M281" s="7" t="s">
        <v>1233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">
        <v>17</v>
      </c>
      <c r="K282" s="7"/>
      <c r="L282" s="7"/>
      <c r="M282" s="7" t="s">
        <v>1233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">
        <v>17</v>
      </c>
      <c r="K283" s="7"/>
      <c r="L283" s="7"/>
      <c r="M283" s="7" t="s">
        <v>1233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">
        <v>17</v>
      </c>
      <c r="K284" s="7"/>
      <c r="L284" s="7"/>
      <c r="M284" s="7" t="s">
        <v>1233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">
        <v>17</v>
      </c>
      <c r="K285" s="7"/>
      <c r="L285" s="7"/>
      <c r="M285" s="7" t="s">
        <v>1233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">
        <v>17</v>
      </c>
      <c r="K286" s="7"/>
      <c r="L286" s="7"/>
      <c r="M286" s="7" t="s">
        <v>1233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">
        <v>17</v>
      </c>
      <c r="K287" s="7"/>
      <c r="L287" s="7"/>
      <c r="M287" s="7" t="s">
        <v>1233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">
        <v>17</v>
      </c>
      <c r="K288" s="7"/>
      <c r="L288" s="7"/>
      <c r="M288" s="7" t="s">
        <v>1233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">
        <v>17</v>
      </c>
      <c r="K289" s="7"/>
      <c r="L289" s="7"/>
      <c r="M289" s="7" t="s">
        <v>1233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">
        <v>17</v>
      </c>
      <c r="K290" s="7"/>
      <c r="L290" s="7"/>
      <c r="M290" s="7" t="s">
        <v>4787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">
        <v>17</v>
      </c>
      <c r="K291" s="7"/>
      <c r="L291" s="7"/>
      <c r="M291" s="7" t="s">
        <v>4787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">
        <v>17</v>
      </c>
      <c r="K292" s="7"/>
      <c r="L292" s="7"/>
      <c r="M292" s="7" t="s">
        <v>4787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">
        <v>17</v>
      </c>
      <c r="K293" s="7"/>
      <c r="L293" s="7"/>
      <c r="M293" s="7" t="s">
        <v>4787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">
        <v>17</v>
      </c>
      <c r="K294" s="7"/>
      <c r="L294" s="7"/>
      <c r="M294" s="7" t="s">
        <v>4799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">
        <v>17</v>
      </c>
      <c r="K295" s="7"/>
      <c r="L295" s="7"/>
      <c r="M295" s="7" t="s">
        <v>4799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">
        <v>17</v>
      </c>
      <c r="K296" s="7"/>
      <c r="L296" s="7"/>
      <c r="M296" s="7" t="s">
        <v>4787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">
        <v>17</v>
      </c>
      <c r="K297" s="7"/>
      <c r="L297" s="7"/>
      <c r="M297" s="7" t="s">
        <v>4787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">
        <v>17</v>
      </c>
      <c r="K298" s="7"/>
      <c r="L298" s="7"/>
      <c r="M298" s="7" t="s">
        <v>4787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">
        <v>17</v>
      </c>
      <c r="K299" s="7"/>
      <c r="L299" s="7"/>
      <c r="M299" s="7" t="s">
        <v>4787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">
        <v>17</v>
      </c>
      <c r="K300" s="7"/>
      <c r="L300" s="7"/>
      <c r="M300" s="7" t="s">
        <v>4787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">
        <v>17</v>
      </c>
      <c r="K301" s="7"/>
      <c r="L301" s="7"/>
      <c r="M301" s="7" t="s">
        <v>4787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">
        <v>17</v>
      </c>
      <c r="K302" s="7"/>
      <c r="L302" s="7"/>
      <c r="M302" s="7" t="s">
        <v>4787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">
        <v>17</v>
      </c>
      <c r="K303" s="7"/>
      <c r="L303" s="7"/>
      <c r="M303" s="7" t="s">
        <v>3770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">
        <v>17</v>
      </c>
      <c r="K304" s="7"/>
      <c r="L304" s="7"/>
      <c r="M304" s="7" t="s">
        <v>3770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">
        <v>17</v>
      </c>
      <c r="K305" s="7"/>
      <c r="L305" s="7"/>
      <c r="M305" s="7" t="s">
        <v>3770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">
        <v>17</v>
      </c>
      <c r="K306" s="7"/>
      <c r="L306" s="7"/>
      <c r="M306" s="7" t="s">
        <v>3770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">
        <v>17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">
        <v>17</v>
      </c>
      <c r="K308" s="7"/>
      <c r="L308" s="7"/>
      <c r="M308" s="7" t="s">
        <v>3770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">
        <v>17</v>
      </c>
      <c r="K309" s="7"/>
      <c r="L309" s="7"/>
      <c r="M309" s="7" t="s">
        <v>3770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">
        <v>20</v>
      </c>
      <c r="K310" s="7"/>
      <c r="L310" s="7"/>
      <c r="M310" s="7" t="s">
        <v>4800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">
        <v>20</v>
      </c>
      <c r="K311" s="7"/>
      <c r="L311" s="7"/>
      <c r="M311" s="7" t="s">
        <v>4800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">
        <v>20</v>
      </c>
      <c r="K312" s="7"/>
      <c r="L312" s="7"/>
      <c r="M312" s="7" t="s">
        <v>4800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">
        <v>18</v>
      </c>
      <c r="K313" s="7"/>
      <c r="L313" s="7"/>
      <c r="M313" s="7" t="s">
        <v>4793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">
        <v>18</v>
      </c>
      <c r="K314" s="7"/>
      <c r="L314" s="7"/>
      <c r="M314" s="7" t="s">
        <v>4793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">
        <v>18</v>
      </c>
      <c r="K315" s="7"/>
      <c r="L315" s="7"/>
      <c r="M315" s="7" t="s">
        <v>4793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">
        <v>18</v>
      </c>
      <c r="K316" s="7"/>
      <c r="L316" s="7"/>
      <c r="M316" s="7" t="s">
        <v>4793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">
        <v>18</v>
      </c>
      <c r="K317" s="7"/>
      <c r="L317" s="7"/>
      <c r="M317" s="7" t="s">
        <v>4793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">
        <v>18</v>
      </c>
      <c r="K318" s="7"/>
      <c r="L318" s="7"/>
      <c r="M318" s="7" t="s">
        <v>4793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">
        <v>18</v>
      </c>
      <c r="K319" s="7"/>
      <c r="L319" s="7"/>
      <c r="M319" s="7" t="s">
        <v>4793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">
        <v>18</v>
      </c>
      <c r="K320" s="7"/>
      <c r="L320" s="7"/>
      <c r="M320" s="7" t="s">
        <v>4793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">
        <v>18</v>
      </c>
      <c r="K321" s="7"/>
      <c r="L321" s="7"/>
      <c r="M321" s="7" t="s">
        <v>4793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">
        <v>18</v>
      </c>
      <c r="K322" s="7"/>
      <c r="L322" s="7"/>
      <c r="M322" s="7" t="s">
        <v>4793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">
        <v>18</v>
      </c>
      <c r="K323" s="7"/>
      <c r="L323" s="7"/>
      <c r="M323" s="7" t="s">
        <v>4793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">
        <v>18</v>
      </c>
      <c r="K324" s="7"/>
      <c r="L324" s="7"/>
      <c r="M324" s="7" t="s">
        <v>4793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">
        <v>18</v>
      </c>
      <c r="K325" s="7"/>
      <c r="L325" s="7"/>
      <c r="M325" s="7" t="s">
        <v>4793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">
        <v>18</v>
      </c>
      <c r="K326" s="7"/>
      <c r="L326" s="7"/>
      <c r="M326" s="7" t="s">
        <v>4793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">
        <v>18</v>
      </c>
      <c r="K327" s="7"/>
      <c r="L327" s="7"/>
      <c r="M327" s="7" t="s">
        <v>4793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">
        <v>18</v>
      </c>
      <c r="K328" s="7"/>
      <c r="L328" s="7"/>
      <c r="M328" s="7" t="s">
        <v>4793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">
        <v>18</v>
      </c>
      <c r="K329" s="7"/>
      <c r="L329" s="7"/>
      <c r="M329" s="7" t="s">
        <v>4793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">
        <v>18</v>
      </c>
      <c r="K330" s="7"/>
      <c r="L330" s="7"/>
      <c r="M330" s="7" t="s">
        <v>4793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">
        <v>18</v>
      </c>
      <c r="K331" s="7"/>
      <c r="L331" s="7"/>
      <c r="M331" s="7" t="s">
        <v>4793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">
        <v>18</v>
      </c>
      <c r="K332" s="7"/>
      <c r="L332" s="7"/>
      <c r="M332" s="7" t="s">
        <v>4793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">
        <v>18</v>
      </c>
      <c r="K333" s="7"/>
      <c r="L333" s="7"/>
      <c r="M333" s="7" t="s">
        <v>4793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">
        <v>18</v>
      </c>
      <c r="K334" s="7"/>
      <c r="L334" s="7"/>
      <c r="M334" s="7" t="s">
        <v>4793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">
        <v>18</v>
      </c>
      <c r="K335" s="7"/>
      <c r="L335" s="7"/>
      <c r="M335" s="7" t="s">
        <v>4793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">
        <v>18</v>
      </c>
      <c r="K336" s="7"/>
      <c r="L336" s="7"/>
      <c r="M336" s="7" t="s">
        <v>4793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">
        <v>18</v>
      </c>
      <c r="K337" s="7"/>
      <c r="L337" s="7"/>
      <c r="M337" s="7" t="s">
        <v>4793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">
        <v>18</v>
      </c>
      <c r="K338" s="7"/>
      <c r="L338" s="7"/>
      <c r="M338" s="7" t="s">
        <v>4793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">
        <v>18</v>
      </c>
      <c r="K339" s="7"/>
      <c r="L339" s="7"/>
      <c r="M339" s="7" t="s">
        <v>4793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">
        <v>18</v>
      </c>
      <c r="K340" s="7"/>
      <c r="L340" s="7"/>
      <c r="M340" s="7" t="s">
        <v>4793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">
        <v>18</v>
      </c>
      <c r="K341" s="7"/>
      <c r="L341" s="7"/>
      <c r="M341" s="7" t="s">
        <v>4793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">
        <v>18</v>
      </c>
      <c r="K342" s="7"/>
      <c r="L342" s="7"/>
      <c r="M342" s="7" t="s">
        <v>4793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">
        <v>18</v>
      </c>
      <c r="K343" s="7"/>
      <c r="L343" s="7"/>
      <c r="M343" s="7" t="s">
        <v>4793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">
        <v>18</v>
      </c>
      <c r="K344" s="7"/>
      <c r="L344" s="7"/>
      <c r="M344" s="7" t="s">
        <v>4793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">
        <v>18</v>
      </c>
      <c r="K345" s="7"/>
      <c r="L345" s="7"/>
      <c r="M345" s="7" t="s">
        <v>4793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">
        <v>18</v>
      </c>
      <c r="K346" s="7"/>
      <c r="L346" s="7"/>
      <c r="M346" s="7" t="s">
        <v>4793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">
        <v>18</v>
      </c>
      <c r="K347" s="7"/>
      <c r="L347" s="7"/>
      <c r="M347" s="7" t="s">
        <v>4793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">
        <v>18</v>
      </c>
      <c r="K348" s="7"/>
      <c r="L348" s="7"/>
      <c r="M348" s="7" t="s">
        <v>4793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">
        <v>18</v>
      </c>
      <c r="K349" s="7"/>
      <c r="L349" s="7"/>
      <c r="M349" s="7" t="s">
        <v>4793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">
        <v>18</v>
      </c>
      <c r="K350" s="7"/>
      <c r="L350" s="7"/>
      <c r="M350" s="7" t="s">
        <v>4793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">
        <v>18</v>
      </c>
      <c r="K351" s="7"/>
      <c r="L351" s="7"/>
      <c r="M351" s="7" t="s">
        <v>4793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">
        <v>18</v>
      </c>
      <c r="K352" s="7"/>
      <c r="L352" s="7"/>
      <c r="M352" s="7" t="s">
        <v>4793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">
        <v>18</v>
      </c>
      <c r="K353" s="7"/>
      <c r="L353" s="7"/>
      <c r="M353" s="7" t="s">
        <v>4793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">
        <v>18</v>
      </c>
      <c r="K354" s="7"/>
      <c r="L354" s="7"/>
      <c r="M354" s="7" t="s">
        <v>4793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">
        <v>17</v>
      </c>
      <c r="K355" s="7"/>
      <c r="L355" s="7"/>
      <c r="M355" s="7" t="s">
        <v>4781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">
        <v>20</v>
      </c>
      <c r="K356" s="7"/>
      <c r="L356" s="7"/>
      <c r="M356" s="7" t="s">
        <v>4797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">
        <v>20</v>
      </c>
      <c r="K357" s="7"/>
      <c r="L357" s="7"/>
      <c r="M357" s="7" t="s">
        <v>4797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">
        <v>20</v>
      </c>
      <c r="K358" s="7"/>
      <c r="L358" s="7"/>
      <c r="M358" s="7" t="s">
        <v>4797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">
        <v>20</v>
      </c>
      <c r="K359" s="7"/>
      <c r="L359" s="7"/>
      <c r="M359" s="7" t="s">
        <v>4797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">
        <v>20</v>
      </c>
      <c r="K360" s="7"/>
      <c r="L360" s="7"/>
      <c r="M360" s="7" t="s">
        <v>4797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">
        <v>20</v>
      </c>
      <c r="K361" s="7"/>
      <c r="L361" s="7"/>
      <c r="M361" s="7" t="s">
        <v>4797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">
        <v>20</v>
      </c>
      <c r="K362" s="7"/>
      <c r="L362" s="7"/>
      <c r="M362" s="7" t="s">
        <v>4797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">
        <v>20</v>
      </c>
      <c r="K363" s="7"/>
      <c r="L363" s="7"/>
      <c r="M363" s="7" t="s">
        <v>4797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">
        <v>20</v>
      </c>
      <c r="K364" s="7"/>
      <c r="L364" s="7"/>
      <c r="M364" s="7" t="s">
        <v>4797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">
        <v>20</v>
      </c>
      <c r="K365" s="7"/>
      <c r="L365" s="7"/>
      <c r="M365" s="7" t="s">
        <v>4797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">
        <v>20</v>
      </c>
      <c r="K366" s="7"/>
      <c r="L366" s="7"/>
      <c r="M366" s="7" t="s">
        <v>4797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">
        <v>20</v>
      </c>
      <c r="K367" s="7"/>
      <c r="L367" s="7"/>
      <c r="M367" s="7" t="s">
        <v>4797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">
        <v>20</v>
      </c>
      <c r="K368" s="7"/>
      <c r="L368" s="7"/>
      <c r="M368" s="7" t="s">
        <v>4797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">
        <v>20</v>
      </c>
      <c r="K369" s="7"/>
      <c r="L369" s="7"/>
      <c r="M369" s="7" t="s">
        <v>4797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">
        <v>20</v>
      </c>
      <c r="K370" s="7"/>
      <c r="L370" s="7"/>
      <c r="M370" s="7" t="s">
        <v>4797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">
        <v>20</v>
      </c>
      <c r="K371" s="7"/>
      <c r="L371" s="7"/>
      <c r="M371" s="7" t="s">
        <v>4797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">
        <v>20</v>
      </c>
      <c r="K372" s="7"/>
      <c r="L372" s="7"/>
      <c r="M372" s="7" t="s">
        <v>4797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">
        <v>20</v>
      </c>
      <c r="K373" s="7"/>
      <c r="L373" s="7"/>
      <c r="M373" s="7" t="s">
        <v>4797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">
        <v>20</v>
      </c>
      <c r="K374" s="7"/>
      <c r="L374" s="7"/>
      <c r="M374" s="7" t="s">
        <v>4797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">
        <v>20</v>
      </c>
      <c r="K375" s="7"/>
      <c r="L375" s="7"/>
      <c r="M375" s="7" t="s">
        <v>4797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">
        <v>20</v>
      </c>
      <c r="K376" s="7"/>
      <c r="L376" s="7"/>
      <c r="M376" s="7" t="s">
        <v>4797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">
        <v>20</v>
      </c>
      <c r="K377" s="7"/>
      <c r="L377" s="7"/>
      <c r="M377" s="7" t="s">
        <v>4797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">
        <v>20</v>
      </c>
      <c r="K378" s="7"/>
      <c r="L378" s="7"/>
      <c r="M378" s="7" t="s">
        <v>4797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">
        <v>20</v>
      </c>
      <c r="K379" s="7"/>
      <c r="L379" s="7"/>
      <c r="M379" s="7" t="s">
        <v>4797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">
        <v>20</v>
      </c>
      <c r="K380" s="7"/>
      <c r="L380" s="7"/>
      <c r="M380" s="7" t="s">
        <v>4797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">
        <v>20</v>
      </c>
      <c r="K381" s="7"/>
      <c r="L381" s="7"/>
      <c r="M381" s="7" t="s">
        <v>4797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">
        <v>20</v>
      </c>
      <c r="K382" s="7"/>
      <c r="L382" s="7"/>
      <c r="M382" s="7" t="s">
        <v>4797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">
        <v>20</v>
      </c>
      <c r="K383" s="7"/>
      <c r="L383" s="7"/>
      <c r="M383" s="7" t="s">
        <v>4797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">
        <v>20</v>
      </c>
      <c r="K384" s="7"/>
      <c r="L384" s="7"/>
      <c r="M384" s="7" t="s">
        <v>4797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">
        <v>20</v>
      </c>
      <c r="K385" s="7"/>
      <c r="L385" s="7"/>
      <c r="M385" s="7" t="s">
        <v>4797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">
        <v>20</v>
      </c>
      <c r="K386" s="7"/>
      <c r="L386" s="7"/>
      <c r="M386" s="7" t="s">
        <v>4797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">
        <v>20</v>
      </c>
      <c r="K387" s="7"/>
      <c r="L387" s="7"/>
      <c r="M387" s="7" t="s">
        <v>4797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">
        <v>20</v>
      </c>
      <c r="K388" s="7"/>
      <c r="L388" s="7"/>
      <c r="M388" s="7" t="s">
        <v>4797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">
        <v>20</v>
      </c>
      <c r="K389" s="7"/>
      <c r="L389" s="7"/>
      <c r="M389" s="7" t="s">
        <v>4797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">
        <v>20</v>
      </c>
      <c r="K390" s="7"/>
      <c r="L390" s="7"/>
      <c r="M390" s="7" t="s">
        <v>4797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">
        <v>20</v>
      </c>
      <c r="K391" s="7"/>
      <c r="L391" s="7"/>
      <c r="M391" s="7" t="s">
        <v>4797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">
        <v>20</v>
      </c>
      <c r="K392" s="7"/>
      <c r="L392" s="7"/>
      <c r="M392" s="7" t="s">
        <v>4797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">
        <v>20</v>
      </c>
      <c r="K393" s="7"/>
      <c r="L393" s="7"/>
      <c r="M393" s="7" t="s">
        <v>4797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">
        <v>20</v>
      </c>
      <c r="K394" s="7"/>
      <c r="L394" s="7"/>
      <c r="M394" s="7" t="s">
        <v>4797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">
        <v>20</v>
      </c>
      <c r="K395" s="7"/>
      <c r="L395" s="7"/>
      <c r="M395" s="7" t="s">
        <v>4797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">
        <v>20</v>
      </c>
      <c r="K396" s="7"/>
      <c r="L396" s="7"/>
      <c r="M396" s="7" t="s">
        <v>4797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">
        <v>20</v>
      </c>
      <c r="K397" s="7"/>
      <c r="L397" s="7"/>
      <c r="M397" s="7" t="s">
        <v>4797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">
        <v>20</v>
      </c>
      <c r="K398" s="7"/>
      <c r="L398" s="7"/>
      <c r="M398" s="7" t="s">
        <v>4797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">
        <v>20</v>
      </c>
      <c r="K399" s="7"/>
      <c r="L399" s="7"/>
      <c r="M399" s="7" t="s">
        <v>4797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">
        <v>20</v>
      </c>
      <c r="K400" s="7"/>
      <c r="L400" s="7"/>
      <c r="M400" s="7" t="s">
        <v>4797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">
        <v>20</v>
      </c>
      <c r="K401" s="7"/>
      <c r="L401" s="7"/>
      <c r="M401" s="7" t="s">
        <v>4797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">
        <v>20</v>
      </c>
      <c r="K402" s="7"/>
      <c r="L402" s="7"/>
      <c r="M402" s="7" t="s">
        <v>4797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">
        <v>20</v>
      </c>
      <c r="K403" s="7"/>
      <c r="L403" s="7"/>
      <c r="M403" s="7" t="s">
        <v>4797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">
        <v>20</v>
      </c>
      <c r="K404" s="7"/>
      <c r="L404" s="7"/>
      <c r="M404" s="7" t="s">
        <v>4797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">
        <v>20</v>
      </c>
      <c r="K405" s="7"/>
      <c r="L405" s="7"/>
      <c r="M405" s="7" t="s">
        <v>4797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">
        <v>20</v>
      </c>
      <c r="K406" s="7"/>
      <c r="L406" s="7"/>
      <c r="M406" s="7" t="s">
        <v>4797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">
        <v>20</v>
      </c>
      <c r="K407" s="7"/>
      <c r="L407" s="7"/>
      <c r="M407" s="7" t="s">
        <v>4797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">
        <v>20</v>
      </c>
      <c r="K408" s="7"/>
      <c r="L408" s="7"/>
      <c r="M408" s="7" t="s">
        <v>4797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">
        <v>20</v>
      </c>
      <c r="K409" s="7"/>
      <c r="L409" s="7"/>
      <c r="M409" s="7" t="s">
        <v>4797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">
        <v>20</v>
      </c>
      <c r="K410" s="7"/>
      <c r="L410" s="7"/>
      <c r="M410" s="7" t="s">
        <v>4797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">
        <v>20</v>
      </c>
      <c r="K411" s="7"/>
      <c r="L411" s="7"/>
      <c r="M411" s="7" t="s">
        <v>4797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">
        <v>20</v>
      </c>
      <c r="K412" s="7"/>
      <c r="L412" s="7"/>
      <c r="M412" s="7" t="s">
        <v>4797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">
        <v>20</v>
      </c>
      <c r="K413" s="7"/>
      <c r="L413" s="7"/>
      <c r="M413" s="7" t="s">
        <v>4797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">
        <v>20</v>
      </c>
      <c r="K414" s="7"/>
      <c r="L414" s="7"/>
      <c r="M414" s="7" t="s">
        <v>4797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">
        <v>20</v>
      </c>
      <c r="K415" s="7"/>
      <c r="L415" s="7"/>
      <c r="M415" s="7" t="s">
        <v>4797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">
        <v>20</v>
      </c>
      <c r="K416" s="7"/>
      <c r="L416" s="7"/>
      <c r="M416" s="7" t="s">
        <v>4797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">
        <v>20</v>
      </c>
      <c r="K417" s="7"/>
      <c r="L417" s="7"/>
      <c r="M417" s="7" t="s">
        <v>4797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">
        <v>20</v>
      </c>
      <c r="K418" s="7"/>
      <c r="L418" s="7"/>
      <c r="M418" s="7" t="s">
        <v>4797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">
        <v>20</v>
      </c>
      <c r="K419" s="7"/>
      <c r="L419" s="7"/>
      <c r="M419" s="7" t="s">
        <v>4797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">
        <v>20</v>
      </c>
      <c r="K420" s="7"/>
      <c r="L420" s="7"/>
      <c r="M420" s="7" t="s">
        <v>4797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">
        <v>20</v>
      </c>
      <c r="K421" s="7"/>
      <c r="L421" s="7"/>
      <c r="M421" s="7" t="s">
        <v>4797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">
        <v>20</v>
      </c>
      <c r="K422" s="7"/>
      <c r="L422" s="7"/>
      <c r="M422" s="7" t="s">
        <v>4797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">
        <v>20</v>
      </c>
      <c r="K423" s="7"/>
      <c r="L423" s="7"/>
      <c r="M423" s="7" t="s">
        <v>4797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">
        <v>20</v>
      </c>
      <c r="K424" s="7"/>
      <c r="L424" s="7"/>
      <c r="M424" s="7" t="s">
        <v>4797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">
        <v>20</v>
      </c>
      <c r="K425" s="7"/>
      <c r="L425" s="7"/>
      <c r="M425" s="7" t="s">
        <v>4797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">
        <v>20</v>
      </c>
      <c r="K426" s="7"/>
      <c r="L426" s="7"/>
      <c r="M426" s="7" t="s">
        <v>4797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">
        <v>20</v>
      </c>
      <c r="K427" s="7"/>
      <c r="L427" s="7"/>
      <c r="M427" s="7" t="s">
        <v>4797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">
        <v>20</v>
      </c>
      <c r="K428" s="7"/>
      <c r="L428" s="7"/>
      <c r="M428" s="7" t="s">
        <v>4797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">
        <v>20</v>
      </c>
      <c r="K429" s="7"/>
      <c r="L429" s="7"/>
      <c r="M429" s="7" t="s">
        <v>4797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">
        <v>20</v>
      </c>
      <c r="K430" s="7"/>
      <c r="L430" s="7"/>
      <c r="M430" s="7" t="s">
        <v>4797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">
        <v>20</v>
      </c>
      <c r="K431" s="7"/>
      <c r="L431" s="7"/>
      <c r="M431" s="7" t="s">
        <v>4797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">
        <v>20</v>
      </c>
      <c r="K432" s="7"/>
      <c r="L432" s="7"/>
      <c r="M432" s="7" t="s">
        <v>4797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">
        <v>20</v>
      </c>
      <c r="K433" s="7"/>
      <c r="L433" s="7"/>
      <c r="M433" s="7" t="s">
        <v>4797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">
        <v>20</v>
      </c>
      <c r="K434" s="7"/>
      <c r="L434" s="7"/>
      <c r="M434" s="7" t="s">
        <v>4797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">
        <v>20</v>
      </c>
      <c r="K435" s="7"/>
      <c r="L435" s="7"/>
      <c r="M435" s="7" t="s">
        <v>4797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">
        <v>20</v>
      </c>
      <c r="K436" s="7"/>
      <c r="L436" s="7"/>
      <c r="M436" s="7" t="s">
        <v>4797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">
        <v>20</v>
      </c>
      <c r="K437" s="7"/>
      <c r="L437" s="7"/>
      <c r="M437" s="7" t="s">
        <v>4797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">
        <v>20</v>
      </c>
      <c r="K438" s="7"/>
      <c r="L438" s="7"/>
      <c r="M438" s="7" t="s">
        <v>4797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">
        <v>20</v>
      </c>
      <c r="K439" s="7"/>
      <c r="L439" s="7"/>
      <c r="M439" s="7" t="s">
        <v>4797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">
        <v>20</v>
      </c>
      <c r="K440" s="7"/>
      <c r="L440" s="7"/>
      <c r="M440" s="7" t="s">
        <v>4797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">
        <v>20</v>
      </c>
      <c r="K441" s="7"/>
      <c r="L441" s="7"/>
      <c r="M441" s="7" t="s">
        <v>4797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">
        <v>20</v>
      </c>
      <c r="K442" s="7"/>
      <c r="L442" s="7"/>
      <c r="M442" s="7" t="s">
        <v>4797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">
        <v>20</v>
      </c>
      <c r="K443" s="7"/>
      <c r="L443" s="7"/>
      <c r="M443" s="7" t="s">
        <v>4797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">
        <v>20</v>
      </c>
      <c r="K444" s="7"/>
      <c r="L444" s="7"/>
      <c r="M444" s="7" t="s">
        <v>4797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">
        <v>20</v>
      </c>
      <c r="K445" s="7"/>
      <c r="L445" s="7"/>
      <c r="M445" s="7" t="s">
        <v>4797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">
        <v>20</v>
      </c>
      <c r="K446" s="7"/>
      <c r="L446" s="7"/>
      <c r="M446" s="7" t="s">
        <v>4797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">
        <v>20</v>
      </c>
      <c r="K447" s="7"/>
      <c r="L447" s="7"/>
      <c r="M447" s="7" t="s">
        <v>4797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">
        <v>20</v>
      </c>
      <c r="K448" s="7"/>
      <c r="L448" s="7"/>
      <c r="M448" s="7" t="s">
        <v>4797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">
        <v>20</v>
      </c>
      <c r="K449" s="7"/>
      <c r="L449" s="7"/>
      <c r="M449" s="7" t="s">
        <v>4797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">
        <v>20</v>
      </c>
      <c r="K450" s="7"/>
      <c r="L450" s="7"/>
      <c r="M450" s="7" t="s">
        <v>4797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">
        <v>20</v>
      </c>
      <c r="K451" s="7"/>
      <c r="L451" s="7"/>
      <c r="M451" s="7" t="s">
        <v>4797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">
        <v>20</v>
      </c>
      <c r="K452" s="7"/>
      <c r="L452" s="7"/>
      <c r="M452" s="7" t="s">
        <v>4797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">
        <v>20</v>
      </c>
      <c r="K453" s="7"/>
      <c r="L453" s="7"/>
      <c r="M453" s="7" t="s">
        <v>4797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">
        <v>20</v>
      </c>
      <c r="K454" s="7"/>
      <c r="L454" s="7"/>
      <c r="M454" s="7" t="s">
        <v>4797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">
        <v>20</v>
      </c>
      <c r="K455" s="7"/>
      <c r="L455" s="7"/>
      <c r="M455" s="7" t="s">
        <v>4797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">
        <v>20</v>
      </c>
      <c r="K456" s="7"/>
      <c r="L456" s="7"/>
      <c r="M456" s="7" t="s">
        <v>4797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">
        <v>20</v>
      </c>
      <c r="K457" s="7"/>
      <c r="L457" s="7"/>
      <c r="M457" s="7" t="s">
        <v>4797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">
        <v>20</v>
      </c>
      <c r="K458" s="7"/>
      <c r="L458" s="7"/>
      <c r="M458" s="7" t="s">
        <v>4797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">
        <v>20</v>
      </c>
      <c r="K459" s="7"/>
      <c r="L459" s="7"/>
      <c r="M459" s="7" t="s">
        <v>4797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">
        <v>20</v>
      </c>
      <c r="K460" s="7"/>
      <c r="L460" s="7"/>
      <c r="M460" s="7" t="s">
        <v>4797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">
        <v>20</v>
      </c>
      <c r="K461" s="7"/>
      <c r="L461" s="7"/>
      <c r="M461" s="7" t="s">
        <v>4797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">
        <v>20</v>
      </c>
      <c r="K462" s="7"/>
      <c r="L462" s="7"/>
      <c r="M462" s="7" t="s">
        <v>4797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">
        <v>20</v>
      </c>
      <c r="K463" s="7"/>
      <c r="L463" s="7"/>
      <c r="M463" s="7" t="s">
        <v>4797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">
        <v>20</v>
      </c>
      <c r="K464" s="7"/>
      <c r="L464" s="7"/>
      <c r="M464" s="7" t="s">
        <v>4797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">
        <v>20</v>
      </c>
      <c r="K465" s="7"/>
      <c r="L465" s="7"/>
      <c r="M465" s="7" t="s">
        <v>4797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">
        <v>17</v>
      </c>
      <c r="K466" s="7"/>
      <c r="L466" s="7"/>
      <c r="M466" s="7" t="s">
        <v>4787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">
        <v>17</v>
      </c>
      <c r="K467" s="7"/>
      <c r="L467" s="7"/>
      <c r="M467" s="7" t="s">
        <v>4787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">
        <v>17</v>
      </c>
      <c r="K468" s="7"/>
      <c r="L468" s="7"/>
      <c r="M468" s="7" t="s">
        <v>4787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">
        <v>17</v>
      </c>
      <c r="K469" s="7"/>
      <c r="L469" s="7"/>
      <c r="M469" s="7" t="s">
        <v>4787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">
        <v>17</v>
      </c>
      <c r="K470" s="7"/>
      <c r="L470" s="7"/>
      <c r="M470" s="7" t="s">
        <v>4787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">
        <v>17</v>
      </c>
      <c r="K471" s="7"/>
      <c r="L471" s="7"/>
      <c r="M471" s="7" t="s">
        <v>4787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">
        <v>17</v>
      </c>
      <c r="K472" s="7"/>
      <c r="L472" s="7"/>
      <c r="M472" s="7" t="s">
        <v>4787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">
        <v>20</v>
      </c>
      <c r="K473" s="7"/>
      <c r="L473" s="7"/>
      <c r="M473" s="7" t="s">
        <v>4797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">
        <v>20</v>
      </c>
      <c r="K474" s="7"/>
      <c r="L474" s="7"/>
      <c r="M474" s="7" t="s">
        <v>4797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">
        <v>20</v>
      </c>
      <c r="K475" s="7"/>
      <c r="L475" s="7"/>
      <c r="M475" s="7" t="s">
        <v>4797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">
        <v>20</v>
      </c>
      <c r="K476" s="7"/>
      <c r="L476" s="7"/>
      <c r="M476" s="7" t="s">
        <v>4797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">
        <v>20</v>
      </c>
      <c r="K477" s="7"/>
      <c r="L477" s="7"/>
      <c r="M477" s="7" t="s">
        <v>4797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">
        <v>20</v>
      </c>
      <c r="K478" s="7"/>
      <c r="L478" s="7"/>
      <c r="M478" s="7" t="s">
        <v>4797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">
        <v>20</v>
      </c>
      <c r="K479" s="7"/>
      <c r="L479" s="7"/>
      <c r="M479" s="7" t="s">
        <v>4797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">
        <v>17</v>
      </c>
      <c r="K480" s="7"/>
      <c r="L480" s="7"/>
      <c r="M480" s="7" t="s">
        <v>4787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">
        <v>17</v>
      </c>
      <c r="K481" s="7"/>
      <c r="L481" s="7"/>
      <c r="M481" s="7" t="s">
        <v>4787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">
        <v>17</v>
      </c>
      <c r="K482" s="7"/>
      <c r="L482" s="7"/>
      <c r="M482" s="7" t="s">
        <v>4787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">
        <v>17</v>
      </c>
      <c r="K483" s="7"/>
      <c r="L483" s="7"/>
      <c r="M483" s="7" t="s">
        <v>4787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">
        <v>17</v>
      </c>
      <c r="K484" s="7"/>
      <c r="L484" s="7"/>
      <c r="M484" s="7" t="s">
        <v>4787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">
        <v>17</v>
      </c>
      <c r="K485" s="7"/>
      <c r="L485" s="7"/>
      <c r="M485" s="7" t="s">
        <v>4787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">
        <v>17</v>
      </c>
      <c r="K486" s="7"/>
      <c r="L486" s="7"/>
      <c r="M486" s="7" t="s">
        <v>4787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">
        <v>17</v>
      </c>
      <c r="K487" s="7"/>
      <c r="L487" s="7"/>
      <c r="M487" s="7" t="s">
        <v>4787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">
        <v>17</v>
      </c>
      <c r="K488" s="7"/>
      <c r="L488" s="7"/>
      <c r="M488" s="7" t="s">
        <v>4787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">
        <v>17</v>
      </c>
      <c r="K489" s="7"/>
      <c r="L489" s="7"/>
      <c r="M489" s="7" t="s">
        <v>4787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">
        <v>17</v>
      </c>
      <c r="K490" s="7"/>
      <c r="L490" s="7"/>
      <c r="M490" s="7" t="s">
        <v>4787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">
        <v>17</v>
      </c>
      <c r="K491" s="7"/>
      <c r="L491" s="7"/>
      <c r="M491" s="7" t="s">
        <v>4787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">
        <v>17</v>
      </c>
      <c r="K492" s="7"/>
      <c r="L492" s="7"/>
      <c r="M492" s="7" t="s">
        <v>4787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">
        <v>20</v>
      </c>
      <c r="K493" s="7"/>
      <c r="L493" s="7"/>
      <c r="M493" s="7" t="s">
        <v>4797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">
        <v>20</v>
      </c>
      <c r="K494" s="7"/>
      <c r="L494" s="7"/>
      <c r="M494" s="7" t="s">
        <v>4797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">
        <v>20</v>
      </c>
      <c r="K495" s="7"/>
      <c r="L495" s="7"/>
      <c r="M495" s="7" t="s">
        <v>4797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">
        <v>17</v>
      </c>
      <c r="K496" s="7"/>
      <c r="L496" s="7"/>
      <c r="M496" s="7" t="s">
        <v>4795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">
        <v>17</v>
      </c>
      <c r="K497" s="7"/>
      <c r="L497" s="7"/>
      <c r="M497" s="7" t="s">
        <v>4795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">
        <v>20</v>
      </c>
      <c r="K498" s="7"/>
      <c r="L498" s="7"/>
      <c r="M498" s="7" t="s">
        <v>4797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">
        <v>17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">
        <v>17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">
        <v>17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">
        <v>17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">
        <v>17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">
        <v>17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">
        <v>17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">
        <v>17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">
        <v>17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">
        <v>17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">
        <v>17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">
        <v>17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">
        <v>17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">
        <v>18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">
        <v>18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">
        <v>18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">
        <v>18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">
        <v>18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">
        <v>18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">
        <v>18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">
        <v>18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">
        <v>18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">
        <v>18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">
        <v>18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">
        <v>18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">
        <v>18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">
        <v>18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">
        <v>18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">
        <v>18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">
        <v>18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">
        <v>18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">
        <v>18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">
        <v>18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">
        <v>18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">
        <v>18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">
        <v>18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">
        <v>18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">
        <v>18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">
        <v>18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">
        <v>18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">
        <v>18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">
        <v>18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">
        <v>18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">
        <v>18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">
        <v>18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">
        <v>18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">
        <v>18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">
        <v>18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">
        <v>18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">
        <v>18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">
        <v>18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">
        <v>18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">
        <v>18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">
        <v>18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">
        <v>18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">
        <v>18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">
        <v>18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">
        <v>18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">
        <v>18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">
        <v>18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">
        <v>18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">
        <v>18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">
        <v>18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">
        <v>18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">
        <v>18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">
        <v>18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">
        <v>18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">
        <v>18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">
        <v>18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">
        <v>18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">
        <v>18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">
        <v>18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">
        <v>18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">
        <v>18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">
        <v>18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">
        <v>18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">
        <v>18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">
        <v>18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">
        <v>18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">
        <v>18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">
        <v>18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">
        <v>18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">
        <v>18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">
        <v>18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">
        <v>18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">
        <v>18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">
        <v>18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">
        <v>18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">
        <v>18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">
        <v>18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">
        <v>18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">
        <v>18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">
        <v>18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">
        <v>18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">
        <v>18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">
        <v>18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">
        <v>18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">
        <v>18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">
        <v>18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">
        <v>18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">
        <v>18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">
        <v>18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">
        <v>18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">
        <v>18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">
        <v>18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">
        <v>18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">
        <v>18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">
        <v>18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">
        <v>18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">
        <v>18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">
        <v>18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">
        <v>18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">
        <v>18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">
        <v>18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">
        <v>18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">
        <v>18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">
        <v>18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">
        <v>18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">
        <v>18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">
        <v>18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">
        <v>18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">
        <v>18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">
        <v>18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">
        <v>18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">
        <v>18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">
        <v>18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">
        <v>18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">
        <v>18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">
        <v>18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">
        <v>18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">
        <v>18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">
        <v>18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">
        <v>18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">
        <v>18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">
        <v>18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">
        <v>18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">
        <v>18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">
        <v>18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">
        <v>18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">
        <v>18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">
        <v>18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">
        <v>18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">
        <v>18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">
        <v>18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">
        <v>18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">
        <v>18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">
        <v>18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">
        <v>18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">
        <v>18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">
        <v>18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">
        <v>18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">
        <v>18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">
        <v>18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">
        <v>18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">
        <v>18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">
        <v>18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">
        <v>18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">
        <v>18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">
        <v>18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">
        <v>18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">
        <v>18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">
        <v>18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">
        <v>18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">
        <v>18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">
        <v>18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">
        <v>18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">
        <v>18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">
        <v>18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">
        <v>18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">
        <v>18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">
        <v>18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">
        <v>18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">
        <v>18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">
        <v>18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">
        <v>18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">
        <v>18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">
        <v>18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">
        <v>18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">
        <v>18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">
        <v>18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">
        <v>18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">
        <v>18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">
        <v>18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">
        <v>18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">
        <v>18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">
        <v>18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">
        <v>18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">
        <v>18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">
        <v>18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">
        <v>18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">
        <v>18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">
        <v>18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">
        <v>18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">
        <v>18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">
        <v>18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">
        <v>18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">
        <v>18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">
        <v>18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">
        <v>18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">
        <v>18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">
        <v>18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">
        <v>18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">
        <v>18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">
        <v>18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">
        <v>18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">
        <v>18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">
        <v>18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">
        <v>18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">
        <v>18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">
        <v>18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">
        <v>18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">
        <v>18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">
        <v>18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">
        <v>18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">
        <v>18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">
        <v>18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">
        <v>18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">
        <v>18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">
        <v>18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">
        <v>18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">
        <v>18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">
        <v>18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">
        <v>18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">
        <v>18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">
        <v>18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">
        <v>18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">
        <v>18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">
        <v>18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">
        <v>18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">
        <v>18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">
        <v>18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">
        <v>18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">
        <v>18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">
        <v>17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">
        <v>17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">
        <v>17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">
        <v>17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">
        <v>17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">
        <v>17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">
        <v>17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">
        <v>17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">
        <v>17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">
        <v>17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">
        <v>17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">
        <v>17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">
        <v>17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">
        <v>17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">
        <v>17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">
        <v>17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">
        <v>17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">
        <v>17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">
        <v>17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">
        <v>17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">
        <v>17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">
        <v>17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">
        <v>17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">
        <v>17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">
        <v>17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">
        <v>17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">
        <v>17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">
        <v>17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">
        <v>17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">
        <v>17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">
        <v>17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">
        <v>17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">
        <v>17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">
        <v>17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">
        <v>17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">
        <v>17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">
        <v>17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">
        <v>17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">
        <v>17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">
        <v>17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">
        <v>17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">
        <v>17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">
        <v>17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">
        <v>17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">
        <v>17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">
        <v>17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">
        <v>17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">
        <v>17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">
        <v>17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">
        <v>17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">
        <v>17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">
        <v>17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">
        <v>17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">
        <v>17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">
        <v>17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">
        <v>17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">
        <v>17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">
        <v>17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">
        <v>17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">
        <v>17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">
        <v>17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">
        <v>17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">
        <v>17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">
        <v>17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">
        <v>17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">
        <v>17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">
        <v>17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">
        <v>17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">
        <v>17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">
        <v>17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">
        <v>17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">
        <v>17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">
        <v>20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">
        <v>20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">
        <v>20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">
        <v>20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">
        <v>20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">
        <v>20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">
        <v>20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">
        <v>20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">
        <v>20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">
        <v>20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">
        <v>20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">
        <v>20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">
        <v>20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">
        <v>20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">
        <v>20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">
        <v>20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">
        <v>20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">
        <v>20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">
        <v>20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">
        <v>20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">
        <v>20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">
        <v>20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">
        <v>20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">
        <v>20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">
        <v>20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">
        <v>20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">
        <v>20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">
        <v>20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">
        <v>20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">
        <v>20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">
        <v>20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">
        <v>20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">
        <v>20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">
        <v>20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">
        <v>20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">
        <v>20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">
        <v>20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">
        <v>20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">
        <v>20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">
        <v>20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">
        <v>20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">
        <v>20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">
        <v>20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">
        <v>20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">
        <v>20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">
        <v>20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">
        <v>20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">
        <v>20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">
        <v>20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">
        <v>20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">
        <v>20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">
        <v>20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">
        <v>20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">
        <v>20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">
        <v>20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">
        <v>20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">
        <v>20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">
        <v>20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">
        <v>20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">
        <v>20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">
        <v>20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">
        <v>20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">
        <v>20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">
        <v>20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">
        <v>20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">
        <v>20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">
        <v>20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">
        <v>20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">
        <v>20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">
        <v>20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">
        <v>20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">
        <v>20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">
        <v>20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">
        <v>20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">
        <v>19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">
        <v>19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">
        <v>19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">
        <v>19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">
        <v>19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">
        <v>19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">
        <v>19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4787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4787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4787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4787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4787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4787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4787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4787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4787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4787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4787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4787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4787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4787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4787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4787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4787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4787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4787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4787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4787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4787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4787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4787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4787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4787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4787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4787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4787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4787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4787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4787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4787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4785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4785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4785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4781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4781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4781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4781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4781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4781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4781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4801</v>
      </c>
    </row>
    <row r="929" spans="1:13" hidden="1" x14ac:dyDescent="0.25">
      <c r="A929" s="49">
        <f t="shared" ref="A929:A992" si="15"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">
        <v>19</v>
      </c>
      <c r="M929" s="9" t="s">
        <v>1616</v>
      </c>
    </row>
    <row r="930" spans="1:13" hidden="1" x14ac:dyDescent="0.25">
      <c r="A930" s="49">
        <f t="shared" si="15"/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I930" s="9" t="s">
        <v>5293</v>
      </c>
      <c r="J930" s="36" t="s">
        <v>18</v>
      </c>
      <c r="K930" s="36" t="s">
        <v>6464</v>
      </c>
      <c r="L930" s="36" t="e">
        <f>VLOOKUP(Table2[[#This Row],[Node]],#REF!,2,0)=Table2[[#This Row],[Parent]]</f>
        <v>#REF!</v>
      </c>
      <c r="M930" s="9" t="s">
        <v>6116</v>
      </c>
    </row>
    <row r="931" spans="1:13" hidden="1" x14ac:dyDescent="0.25">
      <c r="A931" s="49">
        <f t="shared" si="15"/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I931" s="36" t="s">
        <v>5293</v>
      </c>
      <c r="J931" s="36" t="s">
        <v>18</v>
      </c>
      <c r="K931" s="36" t="s">
        <v>6464</v>
      </c>
      <c r="L931" s="36" t="e">
        <f>VLOOKUP(Table2[[#This Row],[Node]],#REF!,2,0)=Table2[[#This Row],[Parent]]</f>
        <v>#REF!</v>
      </c>
      <c r="M931" s="9" t="s">
        <v>6116</v>
      </c>
    </row>
    <row r="932" spans="1:13" hidden="1" x14ac:dyDescent="0.25">
      <c r="A932" s="49">
        <f t="shared" si="15"/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">
        <v>19</v>
      </c>
      <c r="M932" s="9" t="s">
        <v>6122</v>
      </c>
    </row>
    <row r="933" spans="1:13" hidden="1" x14ac:dyDescent="0.25">
      <c r="A933" s="49">
        <f t="shared" si="15"/>
        <v>931</v>
      </c>
      <c r="B933" s="36" t="s">
        <v>3298</v>
      </c>
      <c r="C933" s="9" t="s">
        <v>6126</v>
      </c>
      <c r="D933" s="9" t="s">
        <v>6125</v>
      </c>
      <c r="F933" s="36" t="s">
        <v>5728</v>
      </c>
      <c r="G933" s="9" t="s">
        <v>13</v>
      </c>
      <c r="I933" s="36" t="s">
        <v>5293</v>
      </c>
      <c r="J933" s="36" t="s">
        <v>17</v>
      </c>
      <c r="K933" s="36" t="s">
        <v>6464</v>
      </c>
      <c r="L933" s="36" t="e">
        <f>VLOOKUP(Table2[[#This Row],[Node]],#REF!,2,0)=Table2[[#This Row],[Parent]]</f>
        <v>#REF!</v>
      </c>
      <c r="M933" s="9" t="s">
        <v>6127</v>
      </c>
    </row>
    <row r="934" spans="1:13" hidden="1" x14ac:dyDescent="0.25">
      <c r="A934" s="49">
        <f t="shared" si="15"/>
        <v>932</v>
      </c>
      <c r="B934" s="36" t="s">
        <v>3298</v>
      </c>
      <c r="C934" s="9" t="s">
        <v>6129</v>
      </c>
      <c r="D934" s="9" t="s">
        <v>990</v>
      </c>
      <c r="E934" s="9" t="s">
        <v>6128</v>
      </c>
      <c r="G934" s="9" t="s">
        <v>15</v>
      </c>
      <c r="I934" s="9" t="s">
        <v>5293</v>
      </c>
      <c r="J934" s="36" t="s">
        <v>19</v>
      </c>
      <c r="K934" s="9" t="s">
        <v>6404</v>
      </c>
      <c r="L934" s="9" t="e">
        <f>VLOOKUP(Table2[[#This Row],[Node]],#REF!,2,0)=Table2[[#This Row],[Name]]</f>
        <v>#REF!</v>
      </c>
      <c r="M934" s="9" t="s">
        <v>4789</v>
      </c>
    </row>
    <row r="935" spans="1:13" hidden="1" x14ac:dyDescent="0.25">
      <c r="A935" s="49">
        <f t="shared" si="15"/>
        <v>933</v>
      </c>
      <c r="B935" s="36" t="s">
        <v>3298</v>
      </c>
      <c r="C935" s="9" t="s">
        <v>6138</v>
      </c>
      <c r="D935" s="9" t="s">
        <v>6398</v>
      </c>
      <c r="E935" s="9" t="s">
        <v>6130</v>
      </c>
      <c r="F935" s="9" t="s">
        <v>6135</v>
      </c>
      <c r="G935" s="9" t="s">
        <v>14</v>
      </c>
      <c r="I935" s="9" t="s">
        <v>5293</v>
      </c>
      <c r="J935" s="36" t="s">
        <v>17</v>
      </c>
      <c r="K935" s="9" t="s">
        <v>6403</v>
      </c>
      <c r="L935" s="36"/>
      <c r="M935" s="9" t="s">
        <v>4785</v>
      </c>
    </row>
    <row r="936" spans="1:13" hidden="1" x14ac:dyDescent="0.25">
      <c r="A936" s="49">
        <f t="shared" si="15"/>
        <v>934</v>
      </c>
      <c r="B936" s="36" t="s">
        <v>3298</v>
      </c>
      <c r="C936" s="36" t="s">
        <v>6138</v>
      </c>
      <c r="D936" s="9" t="s">
        <v>6399</v>
      </c>
      <c r="E936" s="9" t="s">
        <v>6131</v>
      </c>
      <c r="F936" s="9" t="s">
        <v>6135</v>
      </c>
      <c r="G936" s="36" t="s">
        <v>14</v>
      </c>
      <c r="I936" s="36" t="s">
        <v>5293</v>
      </c>
      <c r="J936" s="36" t="s">
        <v>17</v>
      </c>
      <c r="K936" s="36" t="s">
        <v>6403</v>
      </c>
      <c r="L936" s="36" t="e">
        <f>VLOOKUP(Table2[[#This Row],[Node]],#REF!,2,0)=Table2[[#This Row],[Parent]]</f>
        <v>#REF!</v>
      </c>
      <c r="M936" s="36" t="s">
        <v>4785</v>
      </c>
    </row>
    <row r="937" spans="1:13" hidden="1" x14ac:dyDescent="0.25">
      <c r="A937" s="49">
        <f t="shared" si="15"/>
        <v>935</v>
      </c>
      <c r="B937" s="36" t="s">
        <v>3298</v>
      </c>
      <c r="C937" s="36" t="s">
        <v>6138</v>
      </c>
      <c r="D937" s="9" t="s">
        <v>6400</v>
      </c>
      <c r="E937" s="9" t="s">
        <v>6132</v>
      </c>
      <c r="F937" s="9" t="s">
        <v>6136</v>
      </c>
      <c r="G937" s="36" t="s">
        <v>14</v>
      </c>
      <c r="I937" s="36" t="s">
        <v>5293</v>
      </c>
      <c r="J937" s="36" t="s">
        <v>17</v>
      </c>
      <c r="K937" s="36" t="s">
        <v>6403</v>
      </c>
      <c r="L937" s="36"/>
      <c r="M937" s="36" t="s">
        <v>4785</v>
      </c>
    </row>
    <row r="938" spans="1:13" hidden="1" x14ac:dyDescent="0.25">
      <c r="A938" s="49">
        <f t="shared" si="15"/>
        <v>936</v>
      </c>
      <c r="B938" s="36" t="s">
        <v>3298</v>
      </c>
      <c r="C938" s="36" t="s">
        <v>6138</v>
      </c>
      <c r="D938" s="9" t="s">
        <v>6401</v>
      </c>
      <c r="E938" s="9" t="s">
        <v>6133</v>
      </c>
      <c r="F938" s="9" t="s">
        <v>6136</v>
      </c>
      <c r="G938" s="36" t="s">
        <v>14</v>
      </c>
      <c r="I938" s="36" t="s">
        <v>5293</v>
      </c>
      <c r="J938" s="36" t="s">
        <v>17</v>
      </c>
      <c r="K938" s="36" t="s">
        <v>6403</v>
      </c>
      <c r="L938" s="36" t="e">
        <f>VLOOKUP(Table2[[#This Row],[Node]],#REF!,2,0)=Table2[[#This Row],[Parent]]</f>
        <v>#REF!</v>
      </c>
      <c r="M938" s="36" t="s">
        <v>4785</v>
      </c>
    </row>
    <row r="939" spans="1:13" hidden="1" x14ac:dyDescent="0.25">
      <c r="A939" s="49">
        <f t="shared" si="15"/>
        <v>937</v>
      </c>
      <c r="B939" s="36" t="s">
        <v>3298</v>
      </c>
      <c r="C939" s="36" t="s">
        <v>6138</v>
      </c>
      <c r="D939" s="9" t="s">
        <v>6402</v>
      </c>
      <c r="E939" s="9" t="s">
        <v>6134</v>
      </c>
      <c r="F939" s="9" t="s">
        <v>6137</v>
      </c>
      <c r="G939" s="36" t="s">
        <v>14</v>
      </c>
      <c r="I939" s="36" t="s">
        <v>5293</v>
      </c>
      <c r="J939" s="36" t="s">
        <v>17</v>
      </c>
      <c r="K939" s="36" t="s">
        <v>6403</v>
      </c>
      <c r="L939" s="36"/>
      <c r="M939" s="36" t="s">
        <v>4785</v>
      </c>
    </row>
    <row r="940" spans="1:13" hidden="1" x14ac:dyDescent="0.25">
      <c r="A940" s="49">
        <f t="shared" si="15"/>
        <v>938</v>
      </c>
      <c r="B940" s="36" t="s">
        <v>3298</v>
      </c>
      <c r="C940" s="9" t="s">
        <v>6222</v>
      </c>
      <c r="D940" s="9" t="s">
        <v>6362</v>
      </c>
      <c r="E940" s="9" t="s">
        <v>6179</v>
      </c>
      <c r="F940" s="9" t="s">
        <v>1687</v>
      </c>
      <c r="G940" s="36" t="s">
        <v>14</v>
      </c>
      <c r="I940" s="36" t="s">
        <v>5293</v>
      </c>
      <c r="J940" s="36" t="s">
        <v>17</v>
      </c>
      <c r="K940" s="36" t="s">
        <v>6403</v>
      </c>
      <c r="L940" s="36" t="e">
        <f>VLOOKUP(Table2[[#This Row],[Node]],#REF!,2,0)=Table2[[#This Row],[Parent]]</f>
        <v>#REF!</v>
      </c>
      <c r="M940" s="9" t="s">
        <v>4781</v>
      </c>
    </row>
    <row r="941" spans="1:13" hidden="1" x14ac:dyDescent="0.25">
      <c r="A941" s="49">
        <f t="shared" si="15"/>
        <v>939</v>
      </c>
      <c r="B941" s="36" t="s">
        <v>3298</v>
      </c>
      <c r="C941" s="36" t="s">
        <v>6222</v>
      </c>
      <c r="D941" s="9" t="s">
        <v>6363</v>
      </c>
      <c r="E941" s="9" t="s">
        <v>6180</v>
      </c>
      <c r="F941" s="9" t="s">
        <v>5702</v>
      </c>
      <c r="G941" s="36" t="s">
        <v>14</v>
      </c>
      <c r="I941" s="36" t="s">
        <v>5293</v>
      </c>
      <c r="J941" s="36" t="s">
        <v>17</v>
      </c>
      <c r="K941" s="36" t="s">
        <v>6403</v>
      </c>
      <c r="L941" s="36" t="e">
        <f>VLOOKUP(Table2[[#This Row],[Node]],#REF!,2,0)=Table2[[#This Row],[Parent]]</f>
        <v>#REF!</v>
      </c>
      <c r="M941" s="36" t="s">
        <v>4781</v>
      </c>
    </row>
    <row r="942" spans="1:13" hidden="1" x14ac:dyDescent="0.25">
      <c r="A942" s="49">
        <f t="shared" si="15"/>
        <v>940</v>
      </c>
      <c r="B942" s="36" t="s">
        <v>3298</v>
      </c>
      <c r="C942" s="36" t="s">
        <v>6222</v>
      </c>
      <c r="D942" s="9" t="s">
        <v>6364</v>
      </c>
      <c r="E942" s="9" t="s">
        <v>6181</v>
      </c>
      <c r="F942" s="9" t="s">
        <v>3830</v>
      </c>
      <c r="G942" s="36" t="s">
        <v>14</v>
      </c>
      <c r="I942" s="36" t="s">
        <v>5293</v>
      </c>
      <c r="J942" s="36" t="s">
        <v>17</v>
      </c>
      <c r="K942" s="36" t="s">
        <v>6403</v>
      </c>
      <c r="L942" s="36"/>
      <c r="M942" s="36" t="s">
        <v>4781</v>
      </c>
    </row>
    <row r="943" spans="1:13" hidden="1" x14ac:dyDescent="0.25">
      <c r="A943" s="49">
        <f t="shared" si="15"/>
        <v>941</v>
      </c>
      <c r="B943" s="36" t="s">
        <v>3298</v>
      </c>
      <c r="C943" s="36" t="s">
        <v>6222</v>
      </c>
      <c r="D943" s="9" t="s">
        <v>6365</v>
      </c>
      <c r="E943" s="9" t="s">
        <v>6182</v>
      </c>
      <c r="F943" s="9" t="s">
        <v>6364</v>
      </c>
      <c r="G943" s="36" t="s">
        <v>14</v>
      </c>
      <c r="I943" s="36" t="s">
        <v>5293</v>
      </c>
      <c r="J943" s="36" t="s">
        <v>17</v>
      </c>
      <c r="K943" s="36" t="s">
        <v>6403</v>
      </c>
      <c r="L943" s="36" t="e">
        <f>VLOOKUP(Table2[[#This Row],[Node]],#REF!,2,0)=Table2[[#This Row],[Parent]]</f>
        <v>#REF!</v>
      </c>
      <c r="M943" s="36" t="s">
        <v>4781</v>
      </c>
    </row>
    <row r="944" spans="1:13" hidden="1" x14ac:dyDescent="0.25">
      <c r="A944" s="49">
        <f t="shared" si="15"/>
        <v>942</v>
      </c>
      <c r="B944" s="36" t="s">
        <v>3298</v>
      </c>
      <c r="C944" s="36" t="s">
        <v>6222</v>
      </c>
      <c r="D944" s="9" t="s">
        <v>6366</v>
      </c>
      <c r="E944" s="9" t="s">
        <v>6183</v>
      </c>
      <c r="F944" s="36" t="s">
        <v>6364</v>
      </c>
      <c r="G944" s="36" t="s">
        <v>14</v>
      </c>
      <c r="I944" s="36" t="s">
        <v>5293</v>
      </c>
      <c r="J944" s="36" t="s">
        <v>17</v>
      </c>
      <c r="K944" s="36" t="s">
        <v>6403</v>
      </c>
      <c r="L944" s="36" t="e">
        <f>VLOOKUP(Table2[[#This Row],[Node]],#REF!,2,0)=Table2[[#This Row],[Parent]]</f>
        <v>#REF!</v>
      </c>
      <c r="M944" s="36" t="s">
        <v>4781</v>
      </c>
    </row>
    <row r="945" spans="1:13" hidden="1" x14ac:dyDescent="0.25">
      <c r="A945" s="49">
        <f t="shared" si="15"/>
        <v>943</v>
      </c>
      <c r="B945" s="36" t="s">
        <v>3298</v>
      </c>
      <c r="C945" s="36" t="s">
        <v>6222</v>
      </c>
      <c r="D945" s="9" t="s">
        <v>6367</v>
      </c>
      <c r="E945" s="9" t="s">
        <v>6184</v>
      </c>
      <c r="F945" s="9" t="s">
        <v>3830</v>
      </c>
      <c r="G945" s="36" t="s">
        <v>14</v>
      </c>
      <c r="I945" s="36" t="s">
        <v>5293</v>
      </c>
      <c r="J945" s="36" t="s">
        <v>17</v>
      </c>
      <c r="K945" s="36" t="s">
        <v>6403</v>
      </c>
      <c r="L945" s="36" t="e">
        <f>VLOOKUP(Table2[[#This Row],[Node]],#REF!,2,0)=Table2[[#This Row],[Parent]]</f>
        <v>#REF!</v>
      </c>
      <c r="M945" s="36" t="s">
        <v>4781</v>
      </c>
    </row>
    <row r="946" spans="1:13" hidden="1" x14ac:dyDescent="0.25">
      <c r="A946" s="49">
        <f t="shared" si="15"/>
        <v>944</v>
      </c>
      <c r="B946" s="36" t="s">
        <v>3298</v>
      </c>
      <c r="C946" s="36" t="s">
        <v>6222</v>
      </c>
      <c r="D946" s="9" t="s">
        <v>6368</v>
      </c>
      <c r="E946" s="9" t="s">
        <v>6185</v>
      </c>
      <c r="F946" s="36" t="s">
        <v>6367</v>
      </c>
      <c r="G946" s="36" t="s">
        <v>14</v>
      </c>
      <c r="I946" s="36" t="s">
        <v>5293</v>
      </c>
      <c r="J946" s="36" t="s">
        <v>17</v>
      </c>
      <c r="K946" s="36" t="s">
        <v>6403</v>
      </c>
      <c r="L946" s="36" t="e">
        <f>VLOOKUP(Table2[[#This Row],[Node]],#REF!,2,0)=Table2[[#This Row],[Parent]]</f>
        <v>#REF!</v>
      </c>
      <c r="M946" s="36" t="s">
        <v>4781</v>
      </c>
    </row>
    <row r="947" spans="1:13" hidden="1" x14ac:dyDescent="0.25">
      <c r="A947" s="49">
        <f t="shared" si="15"/>
        <v>945</v>
      </c>
      <c r="B947" s="36" t="s">
        <v>3298</v>
      </c>
      <c r="C947" s="36" t="s">
        <v>6222</v>
      </c>
      <c r="D947" s="9" t="s">
        <v>6369</v>
      </c>
      <c r="E947" s="9" t="s">
        <v>6186</v>
      </c>
      <c r="F947" s="36" t="s">
        <v>6367</v>
      </c>
      <c r="G947" s="36" t="s">
        <v>14</v>
      </c>
      <c r="I947" s="36" t="s">
        <v>5293</v>
      </c>
      <c r="J947" s="36" t="s">
        <v>17</v>
      </c>
      <c r="K947" s="36" t="s">
        <v>6403</v>
      </c>
      <c r="L947" s="36" t="e">
        <f>VLOOKUP(Table2[[#This Row],[Node]],#REF!,2,0)=Table2[[#This Row],[Parent]]</f>
        <v>#REF!</v>
      </c>
      <c r="M947" s="36" t="s">
        <v>4781</v>
      </c>
    </row>
    <row r="948" spans="1:13" hidden="1" x14ac:dyDescent="0.25">
      <c r="A948" s="49">
        <f t="shared" si="15"/>
        <v>946</v>
      </c>
      <c r="B948" s="36" t="s">
        <v>3298</v>
      </c>
      <c r="C948" s="36" t="s">
        <v>6222</v>
      </c>
      <c r="D948" s="9" t="s">
        <v>6370</v>
      </c>
      <c r="E948" s="9" t="s">
        <v>6187</v>
      </c>
      <c r="F948" s="36" t="s">
        <v>6367</v>
      </c>
      <c r="G948" s="36" t="s">
        <v>14</v>
      </c>
      <c r="I948" s="36" t="s">
        <v>5293</v>
      </c>
      <c r="J948" s="36" t="s">
        <v>17</v>
      </c>
      <c r="K948" s="36" t="s">
        <v>6403</v>
      </c>
      <c r="L948" s="36" t="e">
        <f>VLOOKUP(Table2[[#This Row],[Node]],#REF!,2,0)=Table2[[#This Row],[Parent]]</f>
        <v>#REF!</v>
      </c>
      <c r="M948" s="36" t="s">
        <v>4781</v>
      </c>
    </row>
    <row r="949" spans="1:13" hidden="1" x14ac:dyDescent="0.25">
      <c r="A949" s="49">
        <f t="shared" si="15"/>
        <v>947</v>
      </c>
      <c r="B949" s="36" t="s">
        <v>3298</v>
      </c>
      <c r="C949" s="36" t="s">
        <v>6222</v>
      </c>
      <c r="D949" s="9" t="s">
        <v>6371</v>
      </c>
      <c r="E949" s="9" t="s">
        <v>6188</v>
      </c>
      <c r="F949" s="9" t="s">
        <v>3830</v>
      </c>
      <c r="G949" s="36" t="s">
        <v>14</v>
      </c>
      <c r="I949" s="36" t="s">
        <v>5293</v>
      </c>
      <c r="J949" s="36" t="s">
        <v>17</v>
      </c>
      <c r="K949" s="36" t="s">
        <v>6403</v>
      </c>
      <c r="L949" s="36"/>
      <c r="M949" s="36" t="s">
        <v>4781</v>
      </c>
    </row>
    <row r="950" spans="1:13" hidden="1" x14ac:dyDescent="0.25">
      <c r="A950" s="49">
        <f t="shared" si="15"/>
        <v>948</v>
      </c>
      <c r="B950" s="36" t="s">
        <v>3298</v>
      </c>
      <c r="C950" s="36" t="s">
        <v>6222</v>
      </c>
      <c r="D950" s="9" t="s">
        <v>6372</v>
      </c>
      <c r="E950" s="9" t="s">
        <v>6189</v>
      </c>
      <c r="F950" s="36" t="s">
        <v>6371</v>
      </c>
      <c r="G950" s="36" t="s">
        <v>14</v>
      </c>
      <c r="I950" s="36" t="s">
        <v>5293</v>
      </c>
      <c r="J950" s="36" t="s">
        <v>17</v>
      </c>
      <c r="K950" s="36" t="s">
        <v>6403</v>
      </c>
      <c r="L950" s="36"/>
      <c r="M950" s="36" t="s">
        <v>4781</v>
      </c>
    </row>
    <row r="951" spans="1:13" hidden="1" x14ac:dyDescent="0.25">
      <c r="A951" s="49">
        <f t="shared" si="15"/>
        <v>949</v>
      </c>
      <c r="B951" s="36" t="s">
        <v>3298</v>
      </c>
      <c r="C951" s="36" t="s">
        <v>6222</v>
      </c>
      <c r="D951" s="9" t="s">
        <v>6373</v>
      </c>
      <c r="E951" s="9" t="s">
        <v>6190</v>
      </c>
      <c r="F951" s="36" t="s">
        <v>6371</v>
      </c>
      <c r="G951" s="36" t="s">
        <v>14</v>
      </c>
      <c r="I951" s="36" t="s">
        <v>5293</v>
      </c>
      <c r="J951" s="36" t="s">
        <v>17</v>
      </c>
      <c r="K951" s="36" t="s">
        <v>6403</v>
      </c>
      <c r="L951" s="36"/>
      <c r="M951" s="36" t="s">
        <v>4781</v>
      </c>
    </row>
    <row r="952" spans="1:13" hidden="1" x14ac:dyDescent="0.25">
      <c r="A952" s="49">
        <f t="shared" si="15"/>
        <v>950</v>
      </c>
      <c r="B952" s="36" t="s">
        <v>3298</v>
      </c>
      <c r="C952" s="36" t="s">
        <v>6222</v>
      </c>
      <c r="D952" s="9" t="s">
        <v>6374</v>
      </c>
      <c r="E952" s="9" t="s">
        <v>6191</v>
      </c>
      <c r="F952" s="36" t="s">
        <v>6371</v>
      </c>
      <c r="G952" s="36" t="s">
        <v>14</v>
      </c>
      <c r="I952" s="36" t="s">
        <v>5293</v>
      </c>
      <c r="J952" s="36" t="s">
        <v>17</v>
      </c>
      <c r="K952" s="36" t="s">
        <v>6403</v>
      </c>
      <c r="L952" s="36"/>
      <c r="M952" s="36" t="s">
        <v>4781</v>
      </c>
    </row>
    <row r="953" spans="1:13" hidden="1" x14ac:dyDescent="0.25">
      <c r="A953" s="49">
        <f t="shared" si="15"/>
        <v>951</v>
      </c>
      <c r="B953" s="36" t="s">
        <v>3298</v>
      </c>
      <c r="C953" s="36" t="s">
        <v>6222</v>
      </c>
      <c r="D953" s="9" t="s">
        <v>6375</v>
      </c>
      <c r="E953" s="9" t="s">
        <v>6192</v>
      </c>
      <c r="F953" s="36" t="s">
        <v>6371</v>
      </c>
      <c r="G953" s="36" t="s">
        <v>14</v>
      </c>
      <c r="I953" s="36" t="s">
        <v>5293</v>
      </c>
      <c r="J953" s="36" t="s">
        <v>17</v>
      </c>
      <c r="K953" s="36" t="s">
        <v>6403</v>
      </c>
      <c r="L953" s="36"/>
      <c r="M953" s="36" t="s">
        <v>4781</v>
      </c>
    </row>
    <row r="954" spans="1:13" hidden="1" x14ac:dyDescent="0.25">
      <c r="A954" s="49">
        <f t="shared" si="15"/>
        <v>952</v>
      </c>
      <c r="B954" s="36" t="s">
        <v>3298</v>
      </c>
      <c r="C954" s="36" t="s">
        <v>6222</v>
      </c>
      <c r="D954" s="9" t="s">
        <v>6376</v>
      </c>
      <c r="E954" s="9" t="s">
        <v>6193</v>
      </c>
      <c r="F954" s="36" t="s">
        <v>6371</v>
      </c>
      <c r="G954" s="36" t="s">
        <v>14</v>
      </c>
      <c r="I954" s="36" t="s">
        <v>5293</v>
      </c>
      <c r="J954" s="36" t="s">
        <v>17</v>
      </c>
      <c r="K954" s="36" t="s">
        <v>6403</v>
      </c>
      <c r="L954" s="36"/>
      <c r="M954" s="36" t="s">
        <v>4781</v>
      </c>
    </row>
    <row r="955" spans="1:13" hidden="1" x14ac:dyDescent="0.25">
      <c r="A955" s="49">
        <f t="shared" si="15"/>
        <v>953</v>
      </c>
      <c r="B955" s="36" t="s">
        <v>3298</v>
      </c>
      <c r="C955" s="36" t="s">
        <v>6222</v>
      </c>
      <c r="D955" s="9" t="s">
        <v>6377</v>
      </c>
      <c r="E955" s="9" t="s">
        <v>6194</v>
      </c>
      <c r="F955" s="36" t="s">
        <v>6371</v>
      </c>
      <c r="G955" s="36" t="s">
        <v>14</v>
      </c>
      <c r="I955" s="36" t="s">
        <v>5293</v>
      </c>
      <c r="J955" s="36" t="s">
        <v>17</v>
      </c>
      <c r="K955" s="36" t="s">
        <v>6403</v>
      </c>
      <c r="L955" s="36"/>
      <c r="M955" s="36" t="s">
        <v>4781</v>
      </c>
    </row>
    <row r="956" spans="1:13" hidden="1" x14ac:dyDescent="0.25">
      <c r="A956" s="49">
        <f t="shared" si="15"/>
        <v>954</v>
      </c>
      <c r="B956" s="36" t="s">
        <v>3298</v>
      </c>
      <c r="C956" s="36" t="s">
        <v>6222</v>
      </c>
      <c r="D956" s="9" t="s">
        <v>6378</v>
      </c>
      <c r="E956" s="9" t="s">
        <v>6195</v>
      </c>
      <c r="F956" s="36" t="s">
        <v>6371</v>
      </c>
      <c r="G956" s="36" t="s">
        <v>14</v>
      </c>
      <c r="I956" s="36" t="s">
        <v>5293</v>
      </c>
      <c r="J956" s="36" t="s">
        <v>17</v>
      </c>
      <c r="K956" s="36" t="s">
        <v>6403</v>
      </c>
      <c r="L956" s="36"/>
      <c r="M956" s="36" t="s">
        <v>4781</v>
      </c>
    </row>
    <row r="957" spans="1:13" hidden="1" x14ac:dyDescent="0.25">
      <c r="A957" s="49">
        <f t="shared" si="15"/>
        <v>955</v>
      </c>
      <c r="B957" s="36" t="s">
        <v>3298</v>
      </c>
      <c r="C957" s="36" t="s">
        <v>6222</v>
      </c>
      <c r="D957" s="9" t="s">
        <v>6379</v>
      </c>
      <c r="E957" s="9" t="s">
        <v>6196</v>
      </c>
      <c r="F957" s="9" t="s">
        <v>3830</v>
      </c>
      <c r="G957" s="36" t="s">
        <v>14</v>
      </c>
      <c r="I957" s="36" t="s">
        <v>5293</v>
      </c>
      <c r="J957" s="36" t="s">
        <v>17</v>
      </c>
      <c r="K957" s="36" t="s">
        <v>6403</v>
      </c>
      <c r="L957" s="36" t="e">
        <f>VLOOKUP(Table2[[#This Row],[Node]],#REF!,2,0)=Table2[[#This Row],[Parent]]</f>
        <v>#REF!</v>
      </c>
      <c r="M957" s="36" t="s">
        <v>4781</v>
      </c>
    </row>
    <row r="958" spans="1:13" hidden="1" x14ac:dyDescent="0.25">
      <c r="A958" s="49">
        <f t="shared" si="15"/>
        <v>956</v>
      </c>
      <c r="B958" s="36" t="s">
        <v>3298</v>
      </c>
      <c r="C958" s="36" t="s">
        <v>6222</v>
      </c>
      <c r="D958" s="9" t="s">
        <v>6380</v>
      </c>
      <c r="E958" s="9" t="s">
        <v>6197</v>
      </c>
      <c r="F958" s="9" t="s">
        <v>3830</v>
      </c>
      <c r="G958" s="36" t="s">
        <v>14</v>
      </c>
      <c r="I958" s="36" t="s">
        <v>5293</v>
      </c>
      <c r="J958" s="36" t="s">
        <v>17</v>
      </c>
      <c r="K958" s="36" t="s">
        <v>6403</v>
      </c>
      <c r="L958" s="36" t="e">
        <f>VLOOKUP(Table2[[#This Row],[Node]],#REF!,2,0)=Table2[[#This Row],[Parent]]</f>
        <v>#REF!</v>
      </c>
      <c r="M958" s="36" t="s">
        <v>4781</v>
      </c>
    </row>
    <row r="959" spans="1:13" hidden="1" x14ac:dyDescent="0.25">
      <c r="A959" s="49">
        <f t="shared" si="15"/>
        <v>957</v>
      </c>
      <c r="B959" s="36" t="s">
        <v>3298</v>
      </c>
      <c r="C959" s="36" t="s">
        <v>6222</v>
      </c>
      <c r="D959" s="9" t="s">
        <v>6381</v>
      </c>
      <c r="E959" s="9" t="s">
        <v>6198</v>
      </c>
      <c r="F959" s="36" t="s">
        <v>6380</v>
      </c>
      <c r="G959" s="36" t="s">
        <v>14</v>
      </c>
      <c r="I959" s="36" t="s">
        <v>5293</v>
      </c>
      <c r="J959" s="36" t="s">
        <v>17</v>
      </c>
      <c r="K959" s="36" t="s">
        <v>6403</v>
      </c>
      <c r="L959" s="36" t="e">
        <f>VLOOKUP(Table2[[#This Row],[Node]],#REF!,2,0)=Table2[[#This Row],[Parent]]</f>
        <v>#REF!</v>
      </c>
      <c r="M959" s="36" t="s">
        <v>4781</v>
      </c>
    </row>
    <row r="960" spans="1:13" hidden="1" x14ac:dyDescent="0.25">
      <c r="A960" s="49">
        <f t="shared" si="15"/>
        <v>958</v>
      </c>
      <c r="B960" s="36" t="s">
        <v>3298</v>
      </c>
      <c r="C960" s="36" t="s">
        <v>6222</v>
      </c>
      <c r="D960" s="9" t="s">
        <v>6382</v>
      </c>
      <c r="E960" s="9" t="s">
        <v>6199</v>
      </c>
      <c r="F960" s="9" t="s">
        <v>3830</v>
      </c>
      <c r="G960" s="36" t="s">
        <v>14</v>
      </c>
      <c r="I960" s="36" t="s">
        <v>5293</v>
      </c>
      <c r="J960" s="36" t="s">
        <v>17</v>
      </c>
      <c r="K960" s="36" t="s">
        <v>6403</v>
      </c>
      <c r="L960" s="36" t="e">
        <f>VLOOKUP(Table2[[#This Row],[Node]],#REF!,2,0)=Table2[[#This Row],[Parent]]</f>
        <v>#REF!</v>
      </c>
      <c r="M960" s="36" t="s">
        <v>4781</v>
      </c>
    </row>
    <row r="961" spans="1:13" hidden="1" x14ac:dyDescent="0.25">
      <c r="A961" s="49">
        <f t="shared" si="15"/>
        <v>959</v>
      </c>
      <c r="B961" s="36" t="s">
        <v>3298</v>
      </c>
      <c r="C961" s="36" t="s">
        <v>6222</v>
      </c>
      <c r="D961" s="9" t="s">
        <v>6383</v>
      </c>
      <c r="E961" s="9" t="s">
        <v>6200</v>
      </c>
      <c r="F961" s="36" t="s">
        <v>6382</v>
      </c>
      <c r="G961" s="36" t="s">
        <v>14</v>
      </c>
      <c r="I961" s="36" t="s">
        <v>5293</v>
      </c>
      <c r="J961" s="36" t="s">
        <v>17</v>
      </c>
      <c r="K961" s="36" t="s">
        <v>6403</v>
      </c>
      <c r="L961" s="36" t="e">
        <f>VLOOKUP(Table2[[#This Row],[Node]],#REF!,2,0)=Table2[[#This Row],[Parent]]</f>
        <v>#REF!</v>
      </c>
      <c r="M961" s="36" t="s">
        <v>4781</v>
      </c>
    </row>
    <row r="962" spans="1:13" hidden="1" x14ac:dyDescent="0.25">
      <c r="A962" s="49">
        <f t="shared" si="15"/>
        <v>960</v>
      </c>
      <c r="B962" s="36" t="s">
        <v>3298</v>
      </c>
      <c r="C962" s="36" t="s">
        <v>6222</v>
      </c>
      <c r="D962" s="9" t="s">
        <v>6384</v>
      </c>
      <c r="E962" s="9" t="s">
        <v>6201</v>
      </c>
      <c r="F962" s="36" t="s">
        <v>6382</v>
      </c>
      <c r="G962" s="36" t="s">
        <v>14</v>
      </c>
      <c r="I962" s="36" t="s">
        <v>5293</v>
      </c>
      <c r="J962" s="36" t="s">
        <v>17</v>
      </c>
      <c r="K962" s="36" t="s">
        <v>6403</v>
      </c>
      <c r="L962" s="36" t="e">
        <f>VLOOKUP(Table2[[#This Row],[Node]],#REF!,2,0)=Table2[[#This Row],[Parent]]</f>
        <v>#REF!</v>
      </c>
      <c r="M962" s="36" t="s">
        <v>4781</v>
      </c>
    </row>
    <row r="963" spans="1:13" hidden="1" x14ac:dyDescent="0.25">
      <c r="A963" s="49">
        <f t="shared" si="15"/>
        <v>961</v>
      </c>
      <c r="B963" s="36" t="s">
        <v>3298</v>
      </c>
      <c r="C963" s="36" t="s">
        <v>6222</v>
      </c>
      <c r="D963" s="9" t="s">
        <v>6385</v>
      </c>
      <c r="E963" s="9" t="s">
        <v>6202</v>
      </c>
      <c r="F963" s="36" t="s">
        <v>6382</v>
      </c>
      <c r="G963" s="36" t="s">
        <v>14</v>
      </c>
      <c r="I963" s="36" t="s">
        <v>5293</v>
      </c>
      <c r="J963" s="36" t="s">
        <v>17</v>
      </c>
      <c r="K963" s="36" t="s">
        <v>6403</v>
      </c>
      <c r="L963" s="36" t="e">
        <f>VLOOKUP(Table2[[#This Row],[Node]],#REF!,2,0)=Table2[[#This Row],[Parent]]</f>
        <v>#REF!</v>
      </c>
      <c r="M963" s="36" t="s">
        <v>4781</v>
      </c>
    </row>
    <row r="964" spans="1:13" hidden="1" x14ac:dyDescent="0.25">
      <c r="A964" s="49">
        <f t="shared" si="15"/>
        <v>962</v>
      </c>
      <c r="B964" s="36" t="s">
        <v>3298</v>
      </c>
      <c r="C964" s="36" t="s">
        <v>6222</v>
      </c>
      <c r="D964" s="9" t="s">
        <v>6386</v>
      </c>
      <c r="E964" s="9" t="s">
        <v>6203</v>
      </c>
      <c r="F964" s="36" t="s">
        <v>6382</v>
      </c>
      <c r="G964" s="36" t="s">
        <v>14</v>
      </c>
      <c r="I964" s="36" t="s">
        <v>5293</v>
      </c>
      <c r="J964" s="36" t="s">
        <v>17</v>
      </c>
      <c r="K964" s="36" t="s">
        <v>6403</v>
      </c>
      <c r="L964" s="36" t="e">
        <f>VLOOKUP(Table2[[#This Row],[Node]],#REF!,2,0)=Table2[[#This Row],[Parent]]</f>
        <v>#REF!</v>
      </c>
      <c r="M964" s="36" t="s">
        <v>4781</v>
      </c>
    </row>
    <row r="965" spans="1:13" hidden="1" x14ac:dyDescent="0.25">
      <c r="A965" s="49">
        <f t="shared" si="15"/>
        <v>963</v>
      </c>
      <c r="B965" s="36" t="s">
        <v>3298</v>
      </c>
      <c r="C965" s="36" t="s">
        <v>6222</v>
      </c>
      <c r="D965" s="9" t="s">
        <v>6387</v>
      </c>
      <c r="E965" s="9" t="s">
        <v>6204</v>
      </c>
      <c r="F965" s="36" t="s">
        <v>6382</v>
      </c>
      <c r="G965" s="36" t="s">
        <v>14</v>
      </c>
      <c r="I965" s="36" t="s">
        <v>5293</v>
      </c>
      <c r="J965" s="36" t="s">
        <v>17</v>
      </c>
      <c r="K965" s="36" t="s">
        <v>6403</v>
      </c>
      <c r="L965" s="36" t="e">
        <f>VLOOKUP(Table2[[#This Row],[Node]],#REF!,2,0)=Table2[[#This Row],[Parent]]</f>
        <v>#REF!</v>
      </c>
      <c r="M965" s="36" t="s">
        <v>4781</v>
      </c>
    </row>
    <row r="966" spans="1:13" hidden="1" x14ac:dyDescent="0.25">
      <c r="A966" s="49">
        <f t="shared" si="15"/>
        <v>964</v>
      </c>
      <c r="B966" s="36" t="s">
        <v>3298</v>
      </c>
      <c r="C966" s="36" t="s">
        <v>6222</v>
      </c>
      <c r="D966" s="9" t="s">
        <v>6388</v>
      </c>
      <c r="E966" s="9" t="s">
        <v>6205</v>
      </c>
      <c r="F966" s="9" t="s">
        <v>3830</v>
      </c>
      <c r="G966" s="36" t="s">
        <v>14</v>
      </c>
      <c r="I966" s="36" t="s">
        <v>5293</v>
      </c>
      <c r="J966" s="36" t="s">
        <v>17</v>
      </c>
      <c r="K966" s="36" t="s">
        <v>6403</v>
      </c>
      <c r="L966" s="36" t="e">
        <f>VLOOKUP(Table2[[#This Row],[Node]],#REF!,2,0)=Table2[[#This Row],[Parent]]</f>
        <v>#REF!</v>
      </c>
      <c r="M966" s="36" t="s">
        <v>4781</v>
      </c>
    </row>
    <row r="967" spans="1:13" hidden="1" x14ac:dyDescent="0.25">
      <c r="A967" s="49">
        <f t="shared" si="15"/>
        <v>965</v>
      </c>
      <c r="B967" s="36" t="s">
        <v>3298</v>
      </c>
      <c r="C967" s="36" t="s">
        <v>6222</v>
      </c>
      <c r="D967" s="9" t="s">
        <v>6389</v>
      </c>
      <c r="E967" s="9" t="s">
        <v>6206</v>
      </c>
      <c r="F967" s="9" t="s">
        <v>3830</v>
      </c>
      <c r="G967" s="36" t="s">
        <v>14</v>
      </c>
      <c r="I967" s="36" t="s">
        <v>5293</v>
      </c>
      <c r="J967" s="36" t="s">
        <v>17</v>
      </c>
      <c r="K967" s="36" t="s">
        <v>6403</v>
      </c>
      <c r="L967" s="36" t="e">
        <f>VLOOKUP(Table2[[#This Row],[Node]],#REF!,2,0)=Table2[[#This Row],[Parent]]</f>
        <v>#REF!</v>
      </c>
      <c r="M967" s="36" t="s">
        <v>4781</v>
      </c>
    </row>
    <row r="968" spans="1:13" hidden="1" x14ac:dyDescent="0.25">
      <c r="A968" s="49">
        <f t="shared" si="15"/>
        <v>966</v>
      </c>
      <c r="B968" s="36" t="s">
        <v>3298</v>
      </c>
      <c r="C968" s="36" t="s">
        <v>6222</v>
      </c>
      <c r="D968" s="9" t="s">
        <v>6390</v>
      </c>
      <c r="E968" s="9" t="s">
        <v>6207</v>
      </c>
      <c r="F968" s="36" t="s">
        <v>6389</v>
      </c>
      <c r="G968" s="36" t="s">
        <v>14</v>
      </c>
      <c r="I968" s="36" t="s">
        <v>5293</v>
      </c>
      <c r="J968" s="36" t="s">
        <v>17</v>
      </c>
      <c r="K968" s="36" t="s">
        <v>6403</v>
      </c>
      <c r="L968" s="36" t="e">
        <f>VLOOKUP(Table2[[#This Row],[Node]],#REF!,2,0)=Table2[[#This Row],[Parent]]</f>
        <v>#REF!</v>
      </c>
      <c r="M968" s="36" t="s">
        <v>4781</v>
      </c>
    </row>
    <row r="969" spans="1:13" hidden="1" x14ac:dyDescent="0.25">
      <c r="A969" s="49">
        <f t="shared" si="15"/>
        <v>967</v>
      </c>
      <c r="B969" s="36" t="s">
        <v>3298</v>
      </c>
      <c r="C969" s="36" t="s">
        <v>6222</v>
      </c>
      <c r="D969" s="9" t="s">
        <v>6391</v>
      </c>
      <c r="E969" s="9" t="s">
        <v>6208</v>
      </c>
      <c r="F969" s="9" t="s">
        <v>5287</v>
      </c>
      <c r="G969" s="36" t="s">
        <v>14</v>
      </c>
      <c r="I969" s="36" t="s">
        <v>5293</v>
      </c>
      <c r="J969" s="36" t="s">
        <v>17</v>
      </c>
      <c r="K969" s="36" t="s">
        <v>6403</v>
      </c>
      <c r="L969" s="36" t="e">
        <f>VLOOKUP(Table2[[#This Row],[Node]],#REF!,2,0)=Table2[[#This Row],[Parent]]</f>
        <v>#REF!</v>
      </c>
      <c r="M969" s="36" t="s">
        <v>4781</v>
      </c>
    </row>
    <row r="970" spans="1:13" hidden="1" x14ac:dyDescent="0.25">
      <c r="A970" s="49">
        <f t="shared" si="15"/>
        <v>968</v>
      </c>
      <c r="B970" s="36" t="s">
        <v>3298</v>
      </c>
      <c r="C970" s="36" t="s">
        <v>6222</v>
      </c>
      <c r="D970" s="9" t="s">
        <v>6392</v>
      </c>
      <c r="E970" s="9" t="s">
        <v>6209</v>
      </c>
      <c r="F970" s="9" t="s">
        <v>6219</v>
      </c>
      <c r="G970" s="36" t="s">
        <v>14</v>
      </c>
      <c r="I970" s="36" t="s">
        <v>5293</v>
      </c>
      <c r="J970" s="36" t="s">
        <v>17</v>
      </c>
      <c r="K970" s="36" t="s">
        <v>6403</v>
      </c>
      <c r="L970" s="36" t="e">
        <f>VLOOKUP(Table2[[#This Row],[Node]],#REF!,2,0)=Table2[[#This Row],[Parent]]</f>
        <v>#REF!</v>
      </c>
      <c r="M970" s="36" t="s">
        <v>4781</v>
      </c>
    </row>
    <row r="971" spans="1:13" hidden="1" x14ac:dyDescent="0.25">
      <c r="A971" s="49">
        <f t="shared" si="15"/>
        <v>969</v>
      </c>
      <c r="B971" s="36" t="s">
        <v>3298</v>
      </c>
      <c r="C971" s="36" t="s">
        <v>6222</v>
      </c>
      <c r="D971" s="9" t="s">
        <v>6393</v>
      </c>
      <c r="E971" s="9" t="s">
        <v>6210</v>
      </c>
      <c r="F971" s="9" t="s">
        <v>6219</v>
      </c>
      <c r="G971" s="36" t="s">
        <v>14</v>
      </c>
      <c r="I971" s="36" t="s">
        <v>5293</v>
      </c>
      <c r="J971" s="36" t="s">
        <v>17</v>
      </c>
      <c r="K971" s="36" t="s">
        <v>6403</v>
      </c>
      <c r="L971" s="36" t="e">
        <f>VLOOKUP(Table2[[#This Row],[Node]],#REF!,2,0)=Table2[[#This Row],[Parent]]</f>
        <v>#REF!</v>
      </c>
      <c r="M971" s="36" t="s">
        <v>4781</v>
      </c>
    </row>
    <row r="972" spans="1:13" hidden="1" x14ac:dyDescent="0.25">
      <c r="A972" s="49">
        <f t="shared" si="15"/>
        <v>970</v>
      </c>
      <c r="B972" s="36" t="s">
        <v>3298</v>
      </c>
      <c r="C972" s="36" t="s">
        <v>6222</v>
      </c>
      <c r="D972" s="9" t="s">
        <v>6394</v>
      </c>
      <c r="E972" s="9" t="s">
        <v>6211</v>
      </c>
      <c r="F972" s="9" t="s">
        <v>5287</v>
      </c>
      <c r="G972" s="36" t="s">
        <v>14</v>
      </c>
      <c r="I972" s="36" t="s">
        <v>5293</v>
      </c>
      <c r="J972" s="36" t="s">
        <v>17</v>
      </c>
      <c r="K972" s="36" t="s">
        <v>6403</v>
      </c>
      <c r="L972" s="36" t="e">
        <f>VLOOKUP(Table2[[#This Row],[Node]],#REF!,2,0)=Table2[[#This Row],[Parent]]</f>
        <v>#REF!</v>
      </c>
      <c r="M972" s="36" t="s">
        <v>4781</v>
      </c>
    </row>
    <row r="973" spans="1:13" hidden="1" x14ac:dyDescent="0.25">
      <c r="A973" s="49">
        <f t="shared" si="15"/>
        <v>971</v>
      </c>
      <c r="B973" s="36" t="s">
        <v>3298</v>
      </c>
      <c r="C973" s="36" t="s">
        <v>6222</v>
      </c>
      <c r="D973" s="9" t="s">
        <v>6395</v>
      </c>
      <c r="E973" s="9" t="s">
        <v>6212</v>
      </c>
      <c r="F973" s="36" t="s">
        <v>6394</v>
      </c>
      <c r="G973" s="36" t="s">
        <v>14</v>
      </c>
      <c r="I973" s="36" t="s">
        <v>5293</v>
      </c>
      <c r="J973" s="36" t="s">
        <v>17</v>
      </c>
      <c r="K973" s="36" t="s">
        <v>6403</v>
      </c>
      <c r="L973" s="36" t="e">
        <f>VLOOKUP(Table2[[#This Row],[Node]],#REF!,2,0)=Table2[[#This Row],[Parent]]</f>
        <v>#REF!</v>
      </c>
      <c r="M973" s="36" t="s">
        <v>4781</v>
      </c>
    </row>
    <row r="974" spans="1:13" hidden="1" x14ac:dyDescent="0.25">
      <c r="A974" s="49">
        <f t="shared" si="15"/>
        <v>972</v>
      </c>
      <c r="B974" s="36" t="s">
        <v>3298</v>
      </c>
      <c r="C974" s="36" t="s">
        <v>6222</v>
      </c>
      <c r="D974" s="9" t="s">
        <v>6396</v>
      </c>
      <c r="E974" s="9" t="s">
        <v>6213</v>
      </c>
      <c r="F974" s="9" t="s">
        <v>1241</v>
      </c>
      <c r="G974" s="36" t="s">
        <v>14</v>
      </c>
      <c r="I974" s="36" t="s">
        <v>5293</v>
      </c>
      <c r="J974" s="36" t="s">
        <v>17</v>
      </c>
      <c r="K974" s="36" t="s">
        <v>6403</v>
      </c>
      <c r="L974" s="36" t="e">
        <f>VLOOKUP(Table2[[#This Row],[Node]],#REF!,2,0)=Table2[[#This Row],[Parent]]</f>
        <v>#REF!</v>
      </c>
      <c r="M974" s="36" t="s">
        <v>4781</v>
      </c>
    </row>
    <row r="975" spans="1:13" hidden="1" x14ac:dyDescent="0.25">
      <c r="A975" s="49">
        <f t="shared" si="15"/>
        <v>973</v>
      </c>
      <c r="B975" s="36" t="s">
        <v>3298</v>
      </c>
      <c r="C975" s="36" t="s">
        <v>6222</v>
      </c>
      <c r="D975" s="9" t="s">
        <v>6397</v>
      </c>
      <c r="E975" s="9" t="s">
        <v>6214</v>
      </c>
      <c r="F975" s="9" t="s">
        <v>5287</v>
      </c>
      <c r="G975" s="36" t="s">
        <v>14</v>
      </c>
      <c r="I975" s="36" t="s">
        <v>5293</v>
      </c>
      <c r="J975" s="36" t="s">
        <v>17</v>
      </c>
      <c r="K975" s="36" t="s">
        <v>6403</v>
      </c>
      <c r="L975" s="36" t="e">
        <f>VLOOKUP(Table2[[#This Row],[Node]],#REF!,2,0)=Table2[[#This Row],[Parent]]</f>
        <v>#REF!</v>
      </c>
      <c r="M975" s="36" t="s">
        <v>4781</v>
      </c>
    </row>
    <row r="976" spans="1:13" hidden="1" x14ac:dyDescent="0.25">
      <c r="A976" s="49">
        <f t="shared" si="15"/>
        <v>974</v>
      </c>
      <c r="B976" s="36" t="s">
        <v>3298</v>
      </c>
      <c r="C976" s="36" t="s">
        <v>6222</v>
      </c>
      <c r="D976" s="9" t="s">
        <v>6139</v>
      </c>
      <c r="E976" s="9" t="s">
        <v>6179</v>
      </c>
      <c r="F976" s="36" t="s">
        <v>6362</v>
      </c>
      <c r="G976" s="36" t="s">
        <v>14</v>
      </c>
      <c r="I976" s="36" t="s">
        <v>5293</v>
      </c>
      <c r="J976" s="36" t="s">
        <v>17</v>
      </c>
      <c r="K976" s="36" t="s">
        <v>6403</v>
      </c>
      <c r="L976" s="36"/>
      <c r="M976" s="36" t="s">
        <v>4781</v>
      </c>
    </row>
    <row r="977" spans="1:13" hidden="1" x14ac:dyDescent="0.25">
      <c r="A977" s="49">
        <f t="shared" si="15"/>
        <v>975</v>
      </c>
      <c r="B977" s="36" t="s">
        <v>3298</v>
      </c>
      <c r="C977" s="36" t="s">
        <v>6222</v>
      </c>
      <c r="D977" s="9" t="s">
        <v>6140</v>
      </c>
      <c r="E977" s="9" t="s">
        <v>6180</v>
      </c>
      <c r="F977" s="36" t="s">
        <v>6363</v>
      </c>
      <c r="G977" s="36" t="s">
        <v>14</v>
      </c>
      <c r="I977" s="36" t="s">
        <v>5293</v>
      </c>
      <c r="J977" s="36" t="s">
        <v>17</v>
      </c>
      <c r="K977" s="36" t="s">
        <v>6403</v>
      </c>
      <c r="L977" s="36"/>
      <c r="M977" s="36" t="s">
        <v>4781</v>
      </c>
    </row>
    <row r="978" spans="1:13" hidden="1" x14ac:dyDescent="0.25">
      <c r="A978" s="49">
        <f t="shared" si="15"/>
        <v>976</v>
      </c>
      <c r="B978" s="36" t="s">
        <v>3298</v>
      </c>
      <c r="C978" s="36" t="s">
        <v>6222</v>
      </c>
      <c r="D978" s="9" t="s">
        <v>6141</v>
      </c>
      <c r="E978" s="9" t="s">
        <v>6181</v>
      </c>
      <c r="F978" s="36" t="s">
        <v>6364</v>
      </c>
      <c r="G978" s="36" t="s">
        <v>14</v>
      </c>
      <c r="I978" s="36" t="s">
        <v>5293</v>
      </c>
      <c r="J978" s="36" t="s">
        <v>17</v>
      </c>
      <c r="K978" s="36" t="s">
        <v>6403</v>
      </c>
      <c r="L978" s="36" t="e">
        <f>VLOOKUP(Table2[[#This Row],[Node]],#REF!,2,0)=Table2[[#This Row],[Parent]]</f>
        <v>#REF!</v>
      </c>
      <c r="M978" s="36" t="s">
        <v>4781</v>
      </c>
    </row>
    <row r="979" spans="1:13" hidden="1" x14ac:dyDescent="0.25">
      <c r="A979" s="49">
        <f t="shared" si="15"/>
        <v>977</v>
      </c>
      <c r="B979" s="36" t="s">
        <v>3298</v>
      </c>
      <c r="C979" s="36" t="s">
        <v>6222</v>
      </c>
      <c r="D979" s="9" t="s">
        <v>6142</v>
      </c>
      <c r="E979" s="9" t="s">
        <v>6182</v>
      </c>
      <c r="F979" s="36" t="s">
        <v>6365</v>
      </c>
      <c r="G979" s="36" t="s">
        <v>14</v>
      </c>
      <c r="I979" s="36" t="s">
        <v>5293</v>
      </c>
      <c r="J979" s="36" t="s">
        <v>17</v>
      </c>
      <c r="K979" s="36" t="s">
        <v>6403</v>
      </c>
      <c r="L979" s="36"/>
      <c r="M979" s="36" t="s">
        <v>4781</v>
      </c>
    </row>
    <row r="980" spans="1:13" hidden="1" x14ac:dyDescent="0.25">
      <c r="A980" s="49">
        <f t="shared" si="15"/>
        <v>978</v>
      </c>
      <c r="B980" s="36" t="s">
        <v>3298</v>
      </c>
      <c r="C980" s="36" t="s">
        <v>6222</v>
      </c>
      <c r="D980" s="9" t="s">
        <v>6143</v>
      </c>
      <c r="E980" s="9" t="s">
        <v>6183</v>
      </c>
      <c r="F980" s="36" t="s">
        <v>6366</v>
      </c>
      <c r="G980" s="36" t="s">
        <v>14</v>
      </c>
      <c r="I980" s="36" t="s">
        <v>5293</v>
      </c>
      <c r="J980" s="36" t="s">
        <v>17</v>
      </c>
      <c r="K980" s="36" t="s">
        <v>6403</v>
      </c>
      <c r="L980" s="36"/>
      <c r="M980" s="36" t="s">
        <v>4781</v>
      </c>
    </row>
    <row r="981" spans="1:13" hidden="1" x14ac:dyDescent="0.25">
      <c r="A981" s="49">
        <f t="shared" si="15"/>
        <v>979</v>
      </c>
      <c r="B981" s="36" t="s">
        <v>3298</v>
      </c>
      <c r="C981" s="36" t="s">
        <v>6222</v>
      </c>
      <c r="D981" s="9" t="s">
        <v>6144</v>
      </c>
      <c r="E981" s="9" t="s">
        <v>6184</v>
      </c>
      <c r="F981" s="36" t="s">
        <v>6367</v>
      </c>
      <c r="G981" s="36" t="s">
        <v>14</v>
      </c>
      <c r="I981" s="36" t="s">
        <v>5293</v>
      </c>
      <c r="J981" s="36" t="s">
        <v>17</v>
      </c>
      <c r="K981" s="36" t="s">
        <v>6403</v>
      </c>
      <c r="L981" s="36"/>
      <c r="M981" s="36" t="s">
        <v>4781</v>
      </c>
    </row>
    <row r="982" spans="1:13" hidden="1" x14ac:dyDescent="0.25">
      <c r="A982" s="49">
        <f t="shared" si="15"/>
        <v>980</v>
      </c>
      <c r="B982" s="36" t="s">
        <v>3298</v>
      </c>
      <c r="C982" s="36" t="s">
        <v>6222</v>
      </c>
      <c r="D982" s="9" t="s">
        <v>6145</v>
      </c>
      <c r="E982" s="9" t="s">
        <v>6185</v>
      </c>
      <c r="F982" s="36" t="s">
        <v>6368</v>
      </c>
      <c r="G982" s="36" t="s">
        <v>14</v>
      </c>
      <c r="I982" s="36" t="s">
        <v>5293</v>
      </c>
      <c r="J982" s="36" t="s">
        <v>17</v>
      </c>
      <c r="K982" s="36" t="s">
        <v>6403</v>
      </c>
      <c r="L982" s="36"/>
      <c r="M982" s="36" t="s">
        <v>4781</v>
      </c>
    </row>
    <row r="983" spans="1:13" hidden="1" x14ac:dyDescent="0.25">
      <c r="A983" s="49">
        <f t="shared" si="15"/>
        <v>981</v>
      </c>
      <c r="B983" s="36" t="s">
        <v>3298</v>
      </c>
      <c r="C983" s="36" t="s">
        <v>6222</v>
      </c>
      <c r="D983" s="9" t="s">
        <v>6146</v>
      </c>
      <c r="E983" s="9" t="s">
        <v>6186</v>
      </c>
      <c r="F983" s="36" t="s">
        <v>6369</v>
      </c>
      <c r="G983" s="36" t="s">
        <v>14</v>
      </c>
      <c r="I983" s="36" t="s">
        <v>5293</v>
      </c>
      <c r="J983" s="36" t="s">
        <v>17</v>
      </c>
      <c r="K983" s="36" t="s">
        <v>6403</v>
      </c>
      <c r="L983" s="36"/>
      <c r="M983" s="36" t="s">
        <v>4781</v>
      </c>
    </row>
    <row r="984" spans="1:13" hidden="1" x14ac:dyDescent="0.25">
      <c r="A984" s="49">
        <f t="shared" si="15"/>
        <v>982</v>
      </c>
      <c r="B984" s="36" t="s">
        <v>3298</v>
      </c>
      <c r="C984" s="36" t="s">
        <v>6222</v>
      </c>
      <c r="D984" s="9" t="s">
        <v>6147</v>
      </c>
      <c r="E984" s="9" t="s">
        <v>6187</v>
      </c>
      <c r="F984" s="36" t="s">
        <v>6370</v>
      </c>
      <c r="G984" s="36" t="s">
        <v>14</v>
      </c>
      <c r="I984" s="36" t="s">
        <v>5293</v>
      </c>
      <c r="J984" s="36" t="s">
        <v>17</v>
      </c>
      <c r="K984" s="36" t="s">
        <v>6403</v>
      </c>
      <c r="L984" s="36"/>
      <c r="M984" s="36" t="s">
        <v>4781</v>
      </c>
    </row>
    <row r="985" spans="1:13" hidden="1" x14ac:dyDescent="0.25">
      <c r="A985" s="49">
        <f t="shared" si="15"/>
        <v>983</v>
      </c>
      <c r="B985" s="36" t="s">
        <v>3298</v>
      </c>
      <c r="C985" s="36" t="s">
        <v>6222</v>
      </c>
      <c r="D985" s="9" t="s">
        <v>6148</v>
      </c>
      <c r="E985" s="9" t="s">
        <v>6188</v>
      </c>
      <c r="F985" s="36" t="s">
        <v>6371</v>
      </c>
      <c r="G985" s="36" t="s">
        <v>14</v>
      </c>
      <c r="I985" s="36" t="s">
        <v>5293</v>
      </c>
      <c r="J985" s="36" t="s">
        <v>17</v>
      </c>
      <c r="K985" s="36" t="s">
        <v>6403</v>
      </c>
      <c r="L985" s="36" t="e">
        <f>VLOOKUP(Table2[[#This Row],[Node]],#REF!,2,0)=Table2[[#This Row],[Parent]]</f>
        <v>#REF!</v>
      </c>
      <c r="M985" s="36" t="s">
        <v>4781</v>
      </c>
    </row>
    <row r="986" spans="1:13" hidden="1" x14ac:dyDescent="0.25">
      <c r="A986" s="49">
        <f t="shared" si="15"/>
        <v>984</v>
      </c>
      <c r="B986" s="36" t="s">
        <v>3298</v>
      </c>
      <c r="C986" s="36" t="s">
        <v>6222</v>
      </c>
      <c r="D986" s="9" t="s">
        <v>6149</v>
      </c>
      <c r="E986" s="9" t="s">
        <v>6189</v>
      </c>
      <c r="F986" s="36" t="s">
        <v>6372</v>
      </c>
      <c r="G986" s="36" t="s">
        <v>14</v>
      </c>
      <c r="I986" s="36" t="s">
        <v>5293</v>
      </c>
      <c r="J986" s="36" t="s">
        <v>17</v>
      </c>
      <c r="K986" s="36" t="s">
        <v>6403</v>
      </c>
      <c r="L986" s="36" t="e">
        <f>VLOOKUP(Table2[[#This Row],[Node]],#REF!,2,0)=Table2[[#This Row],[Parent]]</f>
        <v>#REF!</v>
      </c>
      <c r="M986" s="36" t="s">
        <v>4781</v>
      </c>
    </row>
    <row r="987" spans="1:13" hidden="1" x14ac:dyDescent="0.25">
      <c r="A987" s="49">
        <f t="shared" si="15"/>
        <v>985</v>
      </c>
      <c r="B987" s="36" t="s">
        <v>3298</v>
      </c>
      <c r="C987" s="36" t="s">
        <v>6222</v>
      </c>
      <c r="D987" s="9" t="s">
        <v>6150</v>
      </c>
      <c r="E987" s="9" t="s">
        <v>6190</v>
      </c>
      <c r="F987" s="36" t="s">
        <v>6373</v>
      </c>
      <c r="G987" s="36" t="s">
        <v>14</v>
      </c>
      <c r="I987" s="36" t="s">
        <v>5293</v>
      </c>
      <c r="J987" s="36" t="s">
        <v>17</v>
      </c>
      <c r="K987" s="36" t="s">
        <v>6403</v>
      </c>
      <c r="L987" s="36" t="e">
        <f>VLOOKUP(Table2[[#This Row],[Node]],#REF!,2,0)=Table2[[#This Row],[Parent]]</f>
        <v>#REF!</v>
      </c>
      <c r="M987" s="36" t="s">
        <v>4781</v>
      </c>
    </row>
    <row r="988" spans="1:13" hidden="1" x14ac:dyDescent="0.25">
      <c r="A988" s="49">
        <f t="shared" si="15"/>
        <v>986</v>
      </c>
      <c r="B988" s="36" t="s">
        <v>3298</v>
      </c>
      <c r="C988" s="36" t="s">
        <v>6222</v>
      </c>
      <c r="D988" s="9" t="s">
        <v>6151</v>
      </c>
      <c r="E988" s="9" t="s">
        <v>6191</v>
      </c>
      <c r="F988" s="36" t="s">
        <v>6374</v>
      </c>
      <c r="G988" s="36" t="s">
        <v>14</v>
      </c>
      <c r="I988" s="36" t="s">
        <v>5293</v>
      </c>
      <c r="J988" s="36" t="s">
        <v>17</v>
      </c>
      <c r="K988" s="36" t="s">
        <v>6403</v>
      </c>
      <c r="L988" s="36" t="e">
        <f>VLOOKUP(Table2[[#This Row],[Node]],#REF!,2,0)=Table2[[#This Row],[Parent]]</f>
        <v>#REF!</v>
      </c>
      <c r="M988" s="36" t="s">
        <v>4781</v>
      </c>
    </row>
    <row r="989" spans="1:13" hidden="1" x14ac:dyDescent="0.25">
      <c r="A989" s="49">
        <f t="shared" si="15"/>
        <v>987</v>
      </c>
      <c r="B989" s="36" t="s">
        <v>3298</v>
      </c>
      <c r="C989" s="36" t="s">
        <v>6222</v>
      </c>
      <c r="D989" s="9" t="s">
        <v>6152</v>
      </c>
      <c r="E989" s="9" t="s">
        <v>6192</v>
      </c>
      <c r="F989" s="36" t="s">
        <v>6375</v>
      </c>
      <c r="G989" s="36" t="s">
        <v>14</v>
      </c>
      <c r="I989" s="36" t="s">
        <v>5293</v>
      </c>
      <c r="J989" s="36" t="s">
        <v>17</v>
      </c>
      <c r="K989" s="36" t="s">
        <v>6403</v>
      </c>
      <c r="L989" s="36" t="e">
        <f>VLOOKUP(Table2[[#This Row],[Node]],#REF!,2,0)=Table2[[#This Row],[Parent]]</f>
        <v>#REF!</v>
      </c>
      <c r="M989" s="36" t="s">
        <v>4781</v>
      </c>
    </row>
    <row r="990" spans="1:13" hidden="1" x14ac:dyDescent="0.25">
      <c r="A990" s="49">
        <f t="shared" si="15"/>
        <v>988</v>
      </c>
      <c r="B990" s="36" t="s">
        <v>3298</v>
      </c>
      <c r="C990" s="36" t="s">
        <v>6222</v>
      </c>
      <c r="D990" s="9" t="s">
        <v>6153</v>
      </c>
      <c r="E990" s="9" t="s">
        <v>6193</v>
      </c>
      <c r="F990" s="36" t="s">
        <v>6376</v>
      </c>
      <c r="G990" s="36" t="s">
        <v>14</v>
      </c>
      <c r="I990" s="36" t="s">
        <v>5293</v>
      </c>
      <c r="J990" s="36" t="s">
        <v>17</v>
      </c>
      <c r="K990" s="36" t="s">
        <v>6403</v>
      </c>
      <c r="L990" s="36" t="e">
        <f>VLOOKUP(Table2[[#This Row],[Node]],#REF!,2,0)=Table2[[#This Row],[Parent]]</f>
        <v>#REF!</v>
      </c>
      <c r="M990" s="36" t="s">
        <v>4781</v>
      </c>
    </row>
    <row r="991" spans="1:13" hidden="1" x14ac:dyDescent="0.25">
      <c r="A991" s="49">
        <f t="shared" si="15"/>
        <v>989</v>
      </c>
      <c r="B991" s="36" t="s">
        <v>3298</v>
      </c>
      <c r="C991" s="36" t="s">
        <v>6222</v>
      </c>
      <c r="D991" s="9" t="s">
        <v>6154</v>
      </c>
      <c r="E991" s="9" t="s">
        <v>6194</v>
      </c>
      <c r="F991" s="36" t="s">
        <v>6377</v>
      </c>
      <c r="G991" s="36" t="s">
        <v>14</v>
      </c>
      <c r="I991" s="36" t="s">
        <v>5293</v>
      </c>
      <c r="J991" s="36" t="s">
        <v>17</v>
      </c>
      <c r="K991" s="36" t="s">
        <v>6403</v>
      </c>
      <c r="L991" s="36" t="e">
        <f>VLOOKUP(Table2[[#This Row],[Node]],#REF!,2,0)=Table2[[#This Row],[Parent]]</f>
        <v>#REF!</v>
      </c>
      <c r="M991" s="36" t="s">
        <v>4781</v>
      </c>
    </row>
    <row r="992" spans="1:13" hidden="1" x14ac:dyDescent="0.25">
      <c r="A992" s="49">
        <f t="shared" si="15"/>
        <v>990</v>
      </c>
      <c r="B992" s="36" t="s">
        <v>3298</v>
      </c>
      <c r="C992" s="36" t="s">
        <v>6222</v>
      </c>
      <c r="D992" s="9" t="s">
        <v>6155</v>
      </c>
      <c r="E992" s="9" t="s">
        <v>6195</v>
      </c>
      <c r="F992" s="36" t="s">
        <v>6378</v>
      </c>
      <c r="G992" s="36" t="s">
        <v>14</v>
      </c>
      <c r="I992" s="36" t="s">
        <v>5293</v>
      </c>
      <c r="J992" s="36" t="s">
        <v>17</v>
      </c>
      <c r="K992" s="36" t="s">
        <v>6403</v>
      </c>
      <c r="L992" s="36" t="e">
        <f>VLOOKUP(Table2[[#This Row],[Node]],#REF!,2,0)=Table2[[#This Row],[Parent]]</f>
        <v>#REF!</v>
      </c>
      <c r="M992" s="36" t="s">
        <v>4781</v>
      </c>
    </row>
    <row r="993" spans="1:13" hidden="1" x14ac:dyDescent="0.25">
      <c r="A993" s="49">
        <f t="shared" ref="A993:A1056" si="16">1+A992</f>
        <v>991</v>
      </c>
      <c r="B993" s="36" t="s">
        <v>3298</v>
      </c>
      <c r="C993" s="36" t="s">
        <v>6222</v>
      </c>
      <c r="D993" s="9" t="s">
        <v>6156</v>
      </c>
      <c r="E993" s="9" t="s">
        <v>6196</v>
      </c>
      <c r="F993" s="36" t="s">
        <v>6379</v>
      </c>
      <c r="G993" s="36" t="s">
        <v>14</v>
      </c>
      <c r="I993" s="36" t="s">
        <v>5293</v>
      </c>
      <c r="J993" s="36" t="s">
        <v>17</v>
      </c>
      <c r="K993" s="36" t="s">
        <v>6403</v>
      </c>
      <c r="L993" s="36"/>
      <c r="M993" s="36" t="s">
        <v>4781</v>
      </c>
    </row>
    <row r="994" spans="1:13" hidden="1" x14ac:dyDescent="0.25">
      <c r="A994" s="49">
        <f t="shared" si="16"/>
        <v>992</v>
      </c>
      <c r="B994" s="36" t="s">
        <v>3298</v>
      </c>
      <c r="C994" s="36" t="s">
        <v>6222</v>
      </c>
      <c r="D994" s="9" t="s">
        <v>6157</v>
      </c>
      <c r="E994" s="9" t="s">
        <v>6197</v>
      </c>
      <c r="F994" s="36" t="s">
        <v>6380</v>
      </c>
      <c r="G994" s="36" t="s">
        <v>14</v>
      </c>
      <c r="I994" s="36" t="s">
        <v>5293</v>
      </c>
      <c r="J994" s="36" t="s">
        <v>17</v>
      </c>
      <c r="K994" s="36" t="s">
        <v>6403</v>
      </c>
      <c r="L994" s="36"/>
      <c r="M994" s="36" t="s">
        <v>4781</v>
      </c>
    </row>
    <row r="995" spans="1:13" hidden="1" x14ac:dyDescent="0.25">
      <c r="A995" s="49">
        <f t="shared" si="16"/>
        <v>993</v>
      </c>
      <c r="B995" s="36" t="s">
        <v>3298</v>
      </c>
      <c r="C995" s="36" t="s">
        <v>6222</v>
      </c>
      <c r="D995" s="9" t="s">
        <v>6158</v>
      </c>
      <c r="E995" s="9" t="s">
        <v>6198</v>
      </c>
      <c r="F995" s="36" t="s">
        <v>6381</v>
      </c>
      <c r="G995" s="36" t="s">
        <v>14</v>
      </c>
      <c r="I995" s="36" t="s">
        <v>5293</v>
      </c>
      <c r="J995" s="36" t="s">
        <v>17</v>
      </c>
      <c r="K995" s="36" t="s">
        <v>6403</v>
      </c>
      <c r="L995" s="36"/>
      <c r="M995" s="36" t="s">
        <v>4781</v>
      </c>
    </row>
    <row r="996" spans="1:13" hidden="1" x14ac:dyDescent="0.25">
      <c r="A996" s="49">
        <f t="shared" si="16"/>
        <v>994</v>
      </c>
      <c r="B996" s="36" t="s">
        <v>3298</v>
      </c>
      <c r="C996" s="36" t="s">
        <v>6222</v>
      </c>
      <c r="D996" s="9" t="s">
        <v>6159</v>
      </c>
      <c r="E996" s="9" t="s">
        <v>6199</v>
      </c>
      <c r="F996" s="36" t="s">
        <v>6382</v>
      </c>
      <c r="G996" s="36" t="s">
        <v>14</v>
      </c>
      <c r="I996" s="36" t="s">
        <v>5293</v>
      </c>
      <c r="J996" s="36" t="s">
        <v>17</v>
      </c>
      <c r="K996" s="36" t="s">
        <v>6403</v>
      </c>
      <c r="L996" s="36"/>
      <c r="M996" s="36" t="s">
        <v>4781</v>
      </c>
    </row>
    <row r="997" spans="1:13" hidden="1" x14ac:dyDescent="0.25">
      <c r="A997" s="49">
        <f t="shared" si="16"/>
        <v>995</v>
      </c>
      <c r="B997" s="36" t="s">
        <v>3298</v>
      </c>
      <c r="C997" s="36" t="s">
        <v>6222</v>
      </c>
      <c r="D997" s="9" t="s">
        <v>6160</v>
      </c>
      <c r="E997" s="9" t="s">
        <v>6200</v>
      </c>
      <c r="F997" s="36" t="s">
        <v>6383</v>
      </c>
      <c r="G997" s="36" t="s">
        <v>14</v>
      </c>
      <c r="I997" s="36" t="s">
        <v>5293</v>
      </c>
      <c r="J997" s="36" t="s">
        <v>17</v>
      </c>
      <c r="K997" s="36" t="s">
        <v>6403</v>
      </c>
      <c r="L997" s="36"/>
      <c r="M997" s="36" t="s">
        <v>4781</v>
      </c>
    </row>
    <row r="998" spans="1:13" hidden="1" x14ac:dyDescent="0.25">
      <c r="A998" s="49">
        <f t="shared" si="16"/>
        <v>996</v>
      </c>
      <c r="B998" s="36" t="s">
        <v>3298</v>
      </c>
      <c r="C998" s="36" t="s">
        <v>6222</v>
      </c>
      <c r="D998" s="9" t="s">
        <v>6161</v>
      </c>
      <c r="E998" s="9" t="s">
        <v>6201</v>
      </c>
      <c r="F998" s="36" t="s">
        <v>6384</v>
      </c>
      <c r="G998" s="36" t="s">
        <v>14</v>
      </c>
      <c r="I998" s="36" t="s">
        <v>5293</v>
      </c>
      <c r="J998" s="36" t="s">
        <v>17</v>
      </c>
      <c r="K998" s="36" t="s">
        <v>6403</v>
      </c>
      <c r="L998" s="36"/>
      <c r="M998" s="36" t="s">
        <v>4781</v>
      </c>
    </row>
    <row r="999" spans="1:13" hidden="1" x14ac:dyDescent="0.25">
      <c r="A999" s="49">
        <f t="shared" si="16"/>
        <v>997</v>
      </c>
      <c r="B999" s="36" t="s">
        <v>3298</v>
      </c>
      <c r="C999" s="36" t="s">
        <v>6222</v>
      </c>
      <c r="D999" s="9" t="s">
        <v>6162</v>
      </c>
      <c r="E999" s="9" t="s">
        <v>6202</v>
      </c>
      <c r="F999" s="36" t="s">
        <v>6385</v>
      </c>
      <c r="G999" s="36" t="s">
        <v>14</v>
      </c>
      <c r="I999" s="36" t="s">
        <v>5293</v>
      </c>
      <c r="J999" s="36" t="s">
        <v>17</v>
      </c>
      <c r="K999" s="36" t="s">
        <v>6403</v>
      </c>
      <c r="L999" s="36"/>
      <c r="M999" s="36" t="s">
        <v>4781</v>
      </c>
    </row>
    <row r="1000" spans="1:13" hidden="1" x14ac:dyDescent="0.25">
      <c r="A1000" s="49">
        <f t="shared" si="16"/>
        <v>998</v>
      </c>
      <c r="B1000" s="36" t="s">
        <v>3298</v>
      </c>
      <c r="C1000" s="36" t="s">
        <v>6222</v>
      </c>
      <c r="D1000" s="9" t="s">
        <v>6163</v>
      </c>
      <c r="E1000" s="9" t="s">
        <v>6203</v>
      </c>
      <c r="F1000" s="36" t="s">
        <v>6386</v>
      </c>
      <c r="G1000" s="36" t="s">
        <v>14</v>
      </c>
      <c r="I1000" s="36" t="s">
        <v>5293</v>
      </c>
      <c r="J1000" s="36" t="s">
        <v>17</v>
      </c>
      <c r="K1000" s="36" t="s">
        <v>6403</v>
      </c>
      <c r="L1000" s="36"/>
      <c r="M1000" s="36" t="s">
        <v>4781</v>
      </c>
    </row>
    <row r="1001" spans="1:13" hidden="1" x14ac:dyDescent="0.25">
      <c r="A1001" s="49">
        <f t="shared" si="16"/>
        <v>999</v>
      </c>
      <c r="B1001" s="36" t="s">
        <v>3298</v>
      </c>
      <c r="C1001" s="36" t="s">
        <v>6222</v>
      </c>
      <c r="D1001" s="9" t="s">
        <v>6164</v>
      </c>
      <c r="E1001" s="9" t="s">
        <v>6204</v>
      </c>
      <c r="F1001" s="36" t="s">
        <v>6387</v>
      </c>
      <c r="G1001" s="36" t="s">
        <v>14</v>
      </c>
      <c r="I1001" s="36" t="s">
        <v>5293</v>
      </c>
      <c r="J1001" s="36" t="s">
        <v>17</v>
      </c>
      <c r="K1001" s="36" t="s">
        <v>6403</v>
      </c>
      <c r="L1001" s="36"/>
      <c r="M1001" s="36" t="s">
        <v>4781</v>
      </c>
    </row>
    <row r="1002" spans="1:13" hidden="1" x14ac:dyDescent="0.25">
      <c r="A1002" s="49">
        <f t="shared" si="16"/>
        <v>1000</v>
      </c>
      <c r="B1002" s="36" t="s">
        <v>3298</v>
      </c>
      <c r="C1002" s="36" t="s">
        <v>6222</v>
      </c>
      <c r="D1002" s="9" t="s">
        <v>6165</v>
      </c>
      <c r="E1002" s="9" t="s">
        <v>6205</v>
      </c>
      <c r="F1002" s="36" t="s">
        <v>6388</v>
      </c>
      <c r="G1002" s="36" t="s">
        <v>14</v>
      </c>
      <c r="I1002" s="36" t="s">
        <v>5293</v>
      </c>
      <c r="J1002" s="36" t="s">
        <v>17</v>
      </c>
      <c r="K1002" s="36" t="s">
        <v>6403</v>
      </c>
      <c r="L1002" s="36"/>
      <c r="M1002" s="36" t="s">
        <v>4781</v>
      </c>
    </row>
    <row r="1003" spans="1:13" hidden="1" x14ac:dyDescent="0.25">
      <c r="A1003" s="49">
        <f t="shared" si="16"/>
        <v>1001</v>
      </c>
      <c r="B1003" s="36" t="s">
        <v>3298</v>
      </c>
      <c r="C1003" s="36" t="s">
        <v>6222</v>
      </c>
      <c r="D1003" s="9" t="s">
        <v>6166</v>
      </c>
      <c r="E1003" s="9" t="s">
        <v>6206</v>
      </c>
      <c r="F1003" s="36" t="s">
        <v>6389</v>
      </c>
      <c r="G1003" s="36" t="s">
        <v>14</v>
      </c>
      <c r="I1003" s="36" t="s">
        <v>5293</v>
      </c>
      <c r="J1003" s="36" t="s">
        <v>17</v>
      </c>
      <c r="K1003" s="36" t="s">
        <v>6403</v>
      </c>
      <c r="L1003" s="36"/>
      <c r="M1003" s="36" t="s">
        <v>4781</v>
      </c>
    </row>
    <row r="1004" spans="1:13" hidden="1" x14ac:dyDescent="0.25">
      <c r="A1004" s="49">
        <f t="shared" si="16"/>
        <v>1002</v>
      </c>
      <c r="B1004" s="36" t="s">
        <v>3298</v>
      </c>
      <c r="C1004" s="36" t="s">
        <v>6222</v>
      </c>
      <c r="D1004" s="9" t="s">
        <v>6167</v>
      </c>
      <c r="E1004" s="9" t="s">
        <v>6207</v>
      </c>
      <c r="F1004" s="36" t="s">
        <v>6390</v>
      </c>
      <c r="G1004" s="36" t="s">
        <v>14</v>
      </c>
      <c r="I1004" s="36" t="s">
        <v>5293</v>
      </c>
      <c r="J1004" s="36" t="s">
        <v>17</v>
      </c>
      <c r="K1004" s="36" t="s">
        <v>6403</v>
      </c>
      <c r="L1004" s="36"/>
      <c r="M1004" s="36" t="s">
        <v>4781</v>
      </c>
    </row>
    <row r="1005" spans="1:13" hidden="1" x14ac:dyDescent="0.25">
      <c r="A1005" s="49">
        <f t="shared" si="16"/>
        <v>1003</v>
      </c>
      <c r="B1005" s="36" t="s">
        <v>3298</v>
      </c>
      <c r="C1005" s="36" t="s">
        <v>6222</v>
      </c>
      <c r="D1005" s="9" t="s">
        <v>6168</v>
      </c>
      <c r="E1005" s="9" t="s">
        <v>6215</v>
      </c>
      <c r="F1005" s="36" t="s">
        <v>5287</v>
      </c>
      <c r="G1005" s="36" t="s">
        <v>14</v>
      </c>
      <c r="I1005" s="36" t="s">
        <v>5293</v>
      </c>
      <c r="J1005" s="36" t="s">
        <v>17</v>
      </c>
      <c r="K1005" s="36" t="s">
        <v>6463</v>
      </c>
      <c r="L1005" s="36"/>
      <c r="M1005" s="36" t="s">
        <v>4781</v>
      </c>
    </row>
    <row r="1006" spans="1:13" hidden="1" x14ac:dyDescent="0.25">
      <c r="A1006" s="49">
        <f t="shared" si="16"/>
        <v>1004</v>
      </c>
      <c r="B1006" s="36" t="s">
        <v>3298</v>
      </c>
      <c r="C1006" s="36" t="s">
        <v>6222</v>
      </c>
      <c r="D1006" s="9" t="s">
        <v>6169</v>
      </c>
      <c r="E1006" s="9" t="s">
        <v>6208</v>
      </c>
      <c r="F1006" s="36" t="s">
        <v>6391</v>
      </c>
      <c r="G1006" s="36" t="s">
        <v>14</v>
      </c>
      <c r="I1006" s="36" t="s">
        <v>5293</v>
      </c>
      <c r="J1006" s="36" t="s">
        <v>17</v>
      </c>
      <c r="K1006" s="36" t="s">
        <v>6403</v>
      </c>
      <c r="L1006" s="36"/>
      <c r="M1006" s="36" t="s">
        <v>4781</v>
      </c>
    </row>
    <row r="1007" spans="1:13" hidden="1" x14ac:dyDescent="0.25">
      <c r="A1007" s="49">
        <f t="shared" si="16"/>
        <v>1005</v>
      </c>
      <c r="B1007" s="36" t="s">
        <v>3298</v>
      </c>
      <c r="C1007" s="36" t="s">
        <v>6222</v>
      </c>
      <c r="D1007" s="9" t="s">
        <v>6170</v>
      </c>
      <c r="E1007" s="9" t="s">
        <v>6209</v>
      </c>
      <c r="F1007" s="36" t="s">
        <v>6392</v>
      </c>
      <c r="G1007" s="36" t="s">
        <v>14</v>
      </c>
      <c r="I1007" s="36" t="s">
        <v>5293</v>
      </c>
      <c r="J1007" s="36" t="s">
        <v>17</v>
      </c>
      <c r="K1007" s="36" t="s">
        <v>6403</v>
      </c>
      <c r="L1007" s="36"/>
      <c r="M1007" s="36" t="s">
        <v>4781</v>
      </c>
    </row>
    <row r="1008" spans="1:13" hidden="1" x14ac:dyDescent="0.25">
      <c r="A1008" s="49">
        <f t="shared" si="16"/>
        <v>1006</v>
      </c>
      <c r="B1008" s="36" t="s">
        <v>3298</v>
      </c>
      <c r="C1008" s="36" t="s">
        <v>6222</v>
      </c>
      <c r="D1008" s="9" t="s">
        <v>6171</v>
      </c>
      <c r="E1008" s="9" t="s">
        <v>6210</v>
      </c>
      <c r="F1008" s="36" t="s">
        <v>6393</v>
      </c>
      <c r="G1008" s="36" t="s">
        <v>14</v>
      </c>
      <c r="I1008" s="36" t="s">
        <v>5293</v>
      </c>
      <c r="J1008" s="36" t="s">
        <v>17</v>
      </c>
      <c r="K1008" s="36" t="s">
        <v>6403</v>
      </c>
      <c r="L1008" s="36"/>
      <c r="M1008" s="36" t="s">
        <v>4781</v>
      </c>
    </row>
    <row r="1009" spans="1:13" hidden="1" x14ac:dyDescent="0.25">
      <c r="A1009" s="49">
        <f t="shared" si="16"/>
        <v>1007</v>
      </c>
      <c r="B1009" s="36" t="s">
        <v>3298</v>
      </c>
      <c r="C1009" s="36" t="s">
        <v>6222</v>
      </c>
      <c r="D1009" s="9" t="s">
        <v>6172</v>
      </c>
      <c r="E1009" s="9" t="s">
        <v>6211</v>
      </c>
      <c r="F1009" s="36" t="s">
        <v>6394</v>
      </c>
      <c r="G1009" s="36" t="s">
        <v>14</v>
      </c>
      <c r="I1009" s="36" t="s">
        <v>5293</v>
      </c>
      <c r="J1009" s="36" t="s">
        <v>17</v>
      </c>
      <c r="K1009" s="36" t="s">
        <v>6403</v>
      </c>
      <c r="L1009" s="36"/>
      <c r="M1009" s="36" t="s">
        <v>4781</v>
      </c>
    </row>
    <row r="1010" spans="1:13" hidden="1" x14ac:dyDescent="0.25">
      <c r="A1010" s="49">
        <f t="shared" si="16"/>
        <v>1008</v>
      </c>
      <c r="B1010" s="36" t="s">
        <v>3298</v>
      </c>
      <c r="C1010" s="36" t="s">
        <v>6222</v>
      </c>
      <c r="D1010" s="9" t="s">
        <v>6173</v>
      </c>
      <c r="E1010" s="9" t="s">
        <v>6212</v>
      </c>
      <c r="F1010" s="36" t="s">
        <v>6395</v>
      </c>
      <c r="G1010" s="36" t="s">
        <v>14</v>
      </c>
      <c r="I1010" s="36" t="s">
        <v>5293</v>
      </c>
      <c r="J1010" s="36" t="s">
        <v>17</v>
      </c>
      <c r="K1010" s="36" t="s">
        <v>6403</v>
      </c>
      <c r="L1010" s="36"/>
      <c r="M1010" s="36" t="s">
        <v>4781</v>
      </c>
    </row>
    <row r="1011" spans="1:13" hidden="1" x14ac:dyDescent="0.25">
      <c r="A1011" s="49">
        <f t="shared" si="16"/>
        <v>1009</v>
      </c>
      <c r="B1011" s="36" t="s">
        <v>3298</v>
      </c>
      <c r="C1011" s="36" t="s">
        <v>6222</v>
      </c>
      <c r="D1011" s="9" t="s">
        <v>6174</v>
      </c>
      <c r="E1011" s="9" t="s">
        <v>6216</v>
      </c>
      <c r="F1011" s="9" t="s">
        <v>1241</v>
      </c>
      <c r="G1011" s="36" t="s">
        <v>14</v>
      </c>
      <c r="I1011" s="36" t="s">
        <v>5293</v>
      </c>
      <c r="J1011" s="36" t="s">
        <v>17</v>
      </c>
      <c r="K1011" s="36" t="s">
        <v>6403</v>
      </c>
      <c r="L1011" s="36" t="e">
        <f>VLOOKUP(Table2[[#This Row],[Node]],#REF!,2,0)=Table2[[#This Row],[Parent]]</f>
        <v>#REF!</v>
      </c>
      <c r="M1011" s="36" t="s">
        <v>4781</v>
      </c>
    </row>
    <row r="1012" spans="1:13" hidden="1" x14ac:dyDescent="0.25">
      <c r="A1012" s="49">
        <f t="shared" si="16"/>
        <v>1010</v>
      </c>
      <c r="B1012" s="36" t="s">
        <v>3298</v>
      </c>
      <c r="C1012" s="36" t="s">
        <v>6222</v>
      </c>
      <c r="D1012" s="9" t="s">
        <v>6175</v>
      </c>
      <c r="E1012" s="9" t="s">
        <v>6217</v>
      </c>
      <c r="F1012" s="9" t="s">
        <v>6220</v>
      </c>
      <c r="G1012" s="36" t="s">
        <v>14</v>
      </c>
      <c r="I1012" s="36" t="s">
        <v>5293</v>
      </c>
      <c r="J1012" s="36" t="s">
        <v>17</v>
      </c>
      <c r="K1012" s="36" t="s">
        <v>6403</v>
      </c>
      <c r="L1012" s="36"/>
      <c r="M1012" s="36" t="s">
        <v>4781</v>
      </c>
    </row>
    <row r="1013" spans="1:13" hidden="1" x14ac:dyDescent="0.25">
      <c r="A1013" s="49">
        <f t="shared" si="16"/>
        <v>1011</v>
      </c>
      <c r="B1013" s="36" t="s">
        <v>3298</v>
      </c>
      <c r="C1013" s="36" t="s">
        <v>6222</v>
      </c>
      <c r="D1013" s="9" t="s">
        <v>6176</v>
      </c>
      <c r="E1013" s="9" t="s">
        <v>6218</v>
      </c>
      <c r="F1013" s="9" t="s">
        <v>6221</v>
      </c>
      <c r="G1013" s="36" t="s">
        <v>14</v>
      </c>
      <c r="I1013" s="36" t="s">
        <v>5293</v>
      </c>
      <c r="J1013" s="36" t="s">
        <v>17</v>
      </c>
      <c r="K1013" s="36" t="s">
        <v>6403</v>
      </c>
      <c r="L1013" s="36"/>
      <c r="M1013" s="36" t="s">
        <v>4781</v>
      </c>
    </row>
    <row r="1014" spans="1:13" hidden="1" x14ac:dyDescent="0.25">
      <c r="A1014" s="49">
        <f t="shared" si="16"/>
        <v>1012</v>
      </c>
      <c r="B1014" s="36" t="s">
        <v>3298</v>
      </c>
      <c r="C1014" s="36" t="s">
        <v>6222</v>
      </c>
      <c r="D1014" s="9" t="s">
        <v>6177</v>
      </c>
      <c r="E1014" s="9" t="s">
        <v>6213</v>
      </c>
      <c r="F1014" s="36" t="s">
        <v>6396</v>
      </c>
      <c r="G1014" s="36" t="s">
        <v>14</v>
      </c>
      <c r="I1014" s="36" t="s">
        <v>5293</v>
      </c>
      <c r="J1014" s="36" t="s">
        <v>17</v>
      </c>
      <c r="K1014" s="36" t="s">
        <v>6403</v>
      </c>
      <c r="L1014" s="36"/>
      <c r="M1014" s="36" t="s">
        <v>4781</v>
      </c>
    </row>
    <row r="1015" spans="1:13" hidden="1" x14ac:dyDescent="0.25">
      <c r="A1015" s="49">
        <f t="shared" si="16"/>
        <v>1013</v>
      </c>
      <c r="B1015" s="36" t="s">
        <v>3298</v>
      </c>
      <c r="C1015" s="36" t="s">
        <v>6222</v>
      </c>
      <c r="D1015" s="9" t="s">
        <v>6178</v>
      </c>
      <c r="E1015" s="9" t="s">
        <v>6214</v>
      </c>
      <c r="F1015" s="36" t="s">
        <v>6397</v>
      </c>
      <c r="G1015" s="36" t="s">
        <v>14</v>
      </c>
      <c r="I1015" s="36" t="s">
        <v>5293</v>
      </c>
      <c r="J1015" s="36" t="s">
        <v>17</v>
      </c>
      <c r="K1015" s="36" t="s">
        <v>6403</v>
      </c>
      <c r="L1015" s="36"/>
      <c r="M1015" s="36" t="s">
        <v>4781</v>
      </c>
    </row>
    <row r="1016" spans="1:13" hidden="1" x14ac:dyDescent="0.25">
      <c r="A1016" s="49">
        <f t="shared" si="16"/>
        <v>1014</v>
      </c>
      <c r="B1016" s="36" t="s">
        <v>3298</v>
      </c>
      <c r="C1016" s="36" t="s">
        <v>6222</v>
      </c>
      <c r="D1016" s="9" t="s">
        <v>3710</v>
      </c>
      <c r="E1016" s="9" t="s">
        <v>6223</v>
      </c>
      <c r="G1016" s="9" t="s">
        <v>15</v>
      </c>
      <c r="I1016" s="36" t="s">
        <v>5293</v>
      </c>
      <c r="J1016" s="36" t="s">
        <v>17</v>
      </c>
      <c r="K1016" s="36" t="s">
        <v>6404</v>
      </c>
      <c r="L1016" s="36" t="e">
        <f>VLOOKUP(Table2[[#This Row],[Node]],#REF!,2,0)=Table2[[#This Row],[Name]]</f>
        <v>#REF!</v>
      </c>
      <c r="M1016" s="36" t="s">
        <v>4781</v>
      </c>
    </row>
    <row r="1017" spans="1:13" hidden="1" x14ac:dyDescent="0.25">
      <c r="A1017" s="49">
        <f t="shared" si="16"/>
        <v>1015</v>
      </c>
      <c r="B1017" s="36" t="s">
        <v>3298</v>
      </c>
      <c r="C1017" s="36" t="s">
        <v>6222</v>
      </c>
      <c r="D1017" s="9" t="s">
        <v>3708</v>
      </c>
      <c r="E1017" s="9" t="s">
        <v>6224</v>
      </c>
      <c r="G1017" s="36" t="s">
        <v>15</v>
      </c>
      <c r="I1017" s="36" t="s">
        <v>5293</v>
      </c>
      <c r="J1017" s="36" t="s">
        <v>17</v>
      </c>
      <c r="K1017" s="36" t="s">
        <v>6404</v>
      </c>
      <c r="L1017" s="36" t="e">
        <f>VLOOKUP(Table2[[#This Row],[Node]],#REF!,2,0)=Table2[[#This Row],[Name]]</f>
        <v>#REF!</v>
      </c>
      <c r="M1017" s="36" t="s">
        <v>4781</v>
      </c>
    </row>
    <row r="1018" spans="1:13" hidden="1" x14ac:dyDescent="0.25">
      <c r="A1018" s="49">
        <f t="shared" si="16"/>
        <v>1016</v>
      </c>
      <c r="B1018" s="36" t="s">
        <v>3298</v>
      </c>
      <c r="C1018" s="36" t="s">
        <v>6222</v>
      </c>
      <c r="D1018" s="9" t="s">
        <v>6225</v>
      </c>
      <c r="E1018" s="9" t="s">
        <v>6226</v>
      </c>
      <c r="G1018" s="36" t="s">
        <v>15</v>
      </c>
      <c r="I1018" s="36" t="s">
        <v>5293</v>
      </c>
      <c r="J1018" s="36" t="s">
        <v>17</v>
      </c>
      <c r="K1018" s="36" t="s">
        <v>6404</v>
      </c>
      <c r="L1018" s="36" t="e">
        <f>VLOOKUP(Table2[[#This Row],[Node]],#REF!,2,0)=Table2[[#This Row],[Name]]</f>
        <v>#REF!</v>
      </c>
      <c r="M1018" s="36" t="s">
        <v>4781</v>
      </c>
    </row>
    <row r="1019" spans="1:13" hidden="1" x14ac:dyDescent="0.25">
      <c r="A1019" s="49">
        <f t="shared" si="16"/>
        <v>1017</v>
      </c>
      <c r="B1019" s="36" t="s">
        <v>3298</v>
      </c>
      <c r="C1019" s="36" t="s">
        <v>6222</v>
      </c>
      <c r="D1019" s="9" t="s">
        <v>6227</v>
      </c>
      <c r="E1019" s="9" t="s">
        <v>6228</v>
      </c>
      <c r="G1019" s="36" t="s">
        <v>15</v>
      </c>
      <c r="I1019" s="36" t="s">
        <v>5293</v>
      </c>
      <c r="J1019" s="36" t="s">
        <v>17</v>
      </c>
      <c r="K1019" s="36" t="s">
        <v>6404</v>
      </c>
      <c r="L1019" s="36" t="e">
        <f>VLOOKUP(Table2[[#This Row],[Node]],#REF!,2,0)=Table2[[#This Row],[Name]]</f>
        <v>#REF!</v>
      </c>
      <c r="M1019" s="36" t="s">
        <v>4781</v>
      </c>
    </row>
    <row r="1020" spans="1:13" hidden="1" x14ac:dyDescent="0.25">
      <c r="A1020" s="49">
        <f t="shared" si="16"/>
        <v>1018</v>
      </c>
      <c r="B1020" s="36" t="s">
        <v>3298</v>
      </c>
      <c r="C1020" s="36" t="s">
        <v>6222</v>
      </c>
      <c r="D1020" s="9" t="s">
        <v>6229</v>
      </c>
      <c r="E1020" s="9" t="s">
        <v>6226</v>
      </c>
      <c r="G1020" s="36" t="s">
        <v>15</v>
      </c>
      <c r="I1020" s="36" t="s">
        <v>5293</v>
      </c>
      <c r="J1020" s="36" t="s">
        <v>17</v>
      </c>
      <c r="K1020" s="36" t="s">
        <v>6404</v>
      </c>
      <c r="L1020" s="36" t="e">
        <f>VLOOKUP(Table2[[#This Row],[Node]],#REF!,2,0)=Table2[[#This Row],[Name]]</f>
        <v>#REF!</v>
      </c>
      <c r="M1020" s="36" t="s">
        <v>4781</v>
      </c>
    </row>
    <row r="1021" spans="1:13" hidden="1" x14ac:dyDescent="0.25">
      <c r="A1021" s="49">
        <f t="shared" si="16"/>
        <v>1019</v>
      </c>
      <c r="B1021" s="36" t="s">
        <v>3298</v>
      </c>
      <c r="C1021" s="36" t="s">
        <v>6222</v>
      </c>
      <c r="D1021" s="9" t="s">
        <v>1687</v>
      </c>
      <c r="E1021" s="9" t="s">
        <v>6230</v>
      </c>
      <c r="G1021" s="36" t="s">
        <v>15</v>
      </c>
      <c r="I1021" s="36" t="s">
        <v>5293</v>
      </c>
      <c r="J1021" s="36" t="s">
        <v>17</v>
      </c>
      <c r="K1021" s="36" t="s">
        <v>6404</v>
      </c>
      <c r="L1021" s="36" t="e">
        <f>VLOOKUP(Table2[[#This Row],[Node]],#REF!,2,0)=Table2[[#This Row],[Name]]</f>
        <v>#REF!</v>
      </c>
      <c r="M1021" s="36" t="s">
        <v>4781</v>
      </c>
    </row>
    <row r="1022" spans="1:13" hidden="1" x14ac:dyDescent="0.25">
      <c r="A1022" s="49">
        <f t="shared" si="16"/>
        <v>1020</v>
      </c>
      <c r="B1022" s="36" t="s">
        <v>3298</v>
      </c>
      <c r="C1022" s="36" t="s">
        <v>6222</v>
      </c>
      <c r="D1022" s="9" t="s">
        <v>3334</v>
      </c>
      <c r="E1022" s="9" t="s">
        <v>6231</v>
      </c>
      <c r="G1022" s="36" t="s">
        <v>15</v>
      </c>
      <c r="I1022" s="36" t="s">
        <v>5293</v>
      </c>
      <c r="J1022" s="36" t="s">
        <v>17</v>
      </c>
      <c r="K1022" s="36" t="s">
        <v>6404</v>
      </c>
      <c r="L1022" s="36" t="e">
        <f>VLOOKUP(Table2[[#This Row],[Node]],#REF!,2,0)=Table2[[#This Row],[Name]]</f>
        <v>#REF!</v>
      </c>
      <c r="M1022" s="36" t="s">
        <v>4781</v>
      </c>
    </row>
    <row r="1023" spans="1:13" hidden="1" x14ac:dyDescent="0.25">
      <c r="A1023" s="49">
        <f t="shared" si="16"/>
        <v>1021</v>
      </c>
      <c r="B1023" s="36" t="s">
        <v>3298</v>
      </c>
      <c r="C1023" s="36" t="s">
        <v>6222</v>
      </c>
      <c r="D1023" s="9" t="s">
        <v>3333</v>
      </c>
      <c r="E1023" s="9" t="s">
        <v>6230</v>
      </c>
      <c r="G1023" s="36" t="s">
        <v>15</v>
      </c>
      <c r="I1023" s="36" t="s">
        <v>5293</v>
      </c>
      <c r="J1023" s="36" t="s">
        <v>17</v>
      </c>
      <c r="K1023" s="36" t="s">
        <v>6404</v>
      </c>
      <c r="L1023" s="36" t="e">
        <f>VLOOKUP(Table2[[#This Row],[Node]],#REF!,2,0)=Table2[[#This Row],[Name]]</f>
        <v>#REF!</v>
      </c>
      <c r="M1023" s="36" t="s">
        <v>4781</v>
      </c>
    </row>
    <row r="1024" spans="1:13" hidden="1" x14ac:dyDescent="0.25">
      <c r="A1024" s="49">
        <f t="shared" si="16"/>
        <v>1022</v>
      </c>
      <c r="B1024" s="36" t="s">
        <v>3298</v>
      </c>
      <c r="C1024" s="36" t="s">
        <v>6222</v>
      </c>
      <c r="D1024" s="9" t="s">
        <v>6232</v>
      </c>
      <c r="E1024" s="9" t="s">
        <v>6233</v>
      </c>
      <c r="G1024" s="36" t="s">
        <v>15</v>
      </c>
      <c r="I1024" s="36" t="s">
        <v>5293</v>
      </c>
      <c r="J1024" s="36" t="s">
        <v>17</v>
      </c>
      <c r="K1024" s="36" t="s">
        <v>6404</v>
      </c>
      <c r="L1024" s="36" t="e">
        <f>VLOOKUP(Table2[[#This Row],[Node]],#REF!,2,0)=Table2[[#This Row],[Name]]</f>
        <v>#REF!</v>
      </c>
      <c r="M1024" s="36" t="s">
        <v>4781</v>
      </c>
    </row>
    <row r="1025" spans="1:13" hidden="1" x14ac:dyDescent="0.25">
      <c r="A1025" s="49">
        <f t="shared" si="16"/>
        <v>1023</v>
      </c>
      <c r="B1025" s="36" t="s">
        <v>3298</v>
      </c>
      <c r="C1025" s="36" t="s">
        <v>6222</v>
      </c>
      <c r="D1025" s="9" t="s">
        <v>6234</v>
      </c>
      <c r="E1025" s="9" t="s">
        <v>6233</v>
      </c>
      <c r="G1025" s="36" t="s">
        <v>15</v>
      </c>
      <c r="I1025" s="36" t="s">
        <v>5293</v>
      </c>
      <c r="J1025" s="36" t="s">
        <v>17</v>
      </c>
      <c r="K1025" s="36" t="s">
        <v>6404</v>
      </c>
      <c r="L1025" s="36" t="e">
        <f>VLOOKUP(Table2[[#This Row],[Node]],#REF!,2,0)=Table2[[#This Row],[Name]]</f>
        <v>#REF!</v>
      </c>
      <c r="M1025" s="36" t="s">
        <v>4781</v>
      </c>
    </row>
    <row r="1026" spans="1:13" hidden="1" x14ac:dyDescent="0.25">
      <c r="A1026" s="49">
        <f t="shared" si="16"/>
        <v>1024</v>
      </c>
      <c r="B1026" s="36" t="s">
        <v>3298</v>
      </c>
      <c r="C1026" s="36" t="s">
        <v>6222</v>
      </c>
      <c r="D1026" s="9" t="s">
        <v>6235</v>
      </c>
      <c r="E1026" s="9" t="s">
        <v>6236</v>
      </c>
      <c r="G1026" s="36" t="s">
        <v>15</v>
      </c>
      <c r="I1026" s="36" t="s">
        <v>5293</v>
      </c>
      <c r="J1026" s="36" t="s">
        <v>17</v>
      </c>
      <c r="K1026" s="36" t="s">
        <v>6404</v>
      </c>
      <c r="L1026" s="36" t="e">
        <f>VLOOKUP(Table2[[#This Row],[Node]],#REF!,2,0)=Table2[[#This Row],[Name]]</f>
        <v>#REF!</v>
      </c>
      <c r="M1026" s="36" t="s">
        <v>4781</v>
      </c>
    </row>
    <row r="1027" spans="1:13" hidden="1" x14ac:dyDescent="0.25">
      <c r="A1027" s="49">
        <f t="shared" si="16"/>
        <v>1025</v>
      </c>
      <c r="B1027" s="36" t="s">
        <v>3298</v>
      </c>
      <c r="C1027" s="36" t="s">
        <v>6222</v>
      </c>
      <c r="D1027" s="9" t="s">
        <v>6237</v>
      </c>
      <c r="E1027" s="9" t="s">
        <v>6236</v>
      </c>
      <c r="G1027" s="36" t="s">
        <v>15</v>
      </c>
      <c r="I1027" s="36" t="s">
        <v>5293</v>
      </c>
      <c r="J1027" s="36" t="s">
        <v>17</v>
      </c>
      <c r="K1027" s="36" t="s">
        <v>6404</v>
      </c>
      <c r="L1027" s="36" t="e">
        <f>VLOOKUP(Table2[[#This Row],[Node]],#REF!,2,0)=Table2[[#This Row],[Name]]</f>
        <v>#REF!</v>
      </c>
      <c r="M1027" s="36" t="s">
        <v>4781</v>
      </c>
    </row>
    <row r="1028" spans="1:13" hidden="1" x14ac:dyDescent="0.25">
      <c r="A1028" s="49">
        <f t="shared" si="16"/>
        <v>1026</v>
      </c>
      <c r="B1028" s="36" t="s">
        <v>3298</v>
      </c>
      <c r="C1028" s="36" t="s">
        <v>6222</v>
      </c>
      <c r="D1028" s="9" t="s">
        <v>6238</v>
      </c>
      <c r="E1028" s="9" t="s">
        <v>6239</v>
      </c>
      <c r="G1028" s="36" t="s">
        <v>15</v>
      </c>
      <c r="I1028" s="36" t="s">
        <v>5293</v>
      </c>
      <c r="J1028" s="36" t="s">
        <v>17</v>
      </c>
      <c r="K1028" s="36" t="s">
        <v>6404</v>
      </c>
      <c r="L1028" s="36" t="e">
        <f>VLOOKUP(Table2[[#This Row],[Node]],#REF!,2,0)=Table2[[#This Row],[Name]]</f>
        <v>#REF!</v>
      </c>
      <c r="M1028" s="36" t="s">
        <v>4781</v>
      </c>
    </row>
    <row r="1029" spans="1:13" hidden="1" x14ac:dyDescent="0.25">
      <c r="A1029" s="49">
        <f t="shared" si="16"/>
        <v>1027</v>
      </c>
      <c r="B1029" s="36" t="s">
        <v>3298</v>
      </c>
      <c r="C1029" s="36" t="s">
        <v>6222</v>
      </c>
      <c r="D1029" s="9" t="s">
        <v>6240</v>
      </c>
      <c r="E1029" s="9" t="s">
        <v>6239</v>
      </c>
      <c r="G1029" s="36" t="s">
        <v>15</v>
      </c>
      <c r="I1029" s="36" t="s">
        <v>5293</v>
      </c>
      <c r="J1029" s="36" t="s">
        <v>17</v>
      </c>
      <c r="K1029" s="36" t="s">
        <v>6404</v>
      </c>
      <c r="L1029" s="36" t="e">
        <f>VLOOKUP(Table2[[#This Row],[Node]],#REF!,2,0)=Table2[[#This Row],[Name]]</f>
        <v>#REF!</v>
      </c>
      <c r="M1029" s="36" t="s">
        <v>4781</v>
      </c>
    </row>
    <row r="1030" spans="1:13" hidden="1" x14ac:dyDescent="0.25">
      <c r="A1030" s="49">
        <f t="shared" si="16"/>
        <v>1028</v>
      </c>
      <c r="B1030" s="36" t="s">
        <v>3298</v>
      </c>
      <c r="C1030" s="36" t="s">
        <v>6222</v>
      </c>
      <c r="D1030" s="9" t="s">
        <v>6241</v>
      </c>
      <c r="E1030" s="9" t="s">
        <v>6242</v>
      </c>
      <c r="G1030" s="36" t="s">
        <v>15</v>
      </c>
      <c r="I1030" s="36" t="s">
        <v>5293</v>
      </c>
      <c r="J1030" s="36" t="s">
        <v>17</v>
      </c>
      <c r="K1030" s="36" t="s">
        <v>6404</v>
      </c>
      <c r="L1030" s="36" t="e">
        <f>VLOOKUP(Table2[[#This Row],[Node]],#REF!,2,0)=Table2[[#This Row],[Name]]</f>
        <v>#REF!</v>
      </c>
      <c r="M1030" s="36" t="s">
        <v>4781</v>
      </c>
    </row>
    <row r="1031" spans="1:13" hidden="1" x14ac:dyDescent="0.25">
      <c r="A1031" s="49">
        <f t="shared" si="16"/>
        <v>1029</v>
      </c>
      <c r="B1031" s="36" t="s">
        <v>3298</v>
      </c>
      <c r="C1031" s="36" t="s">
        <v>6222</v>
      </c>
      <c r="D1031" s="9" t="s">
        <v>6243</v>
      </c>
      <c r="E1031" s="9" t="s">
        <v>6242</v>
      </c>
      <c r="G1031" s="36" t="s">
        <v>15</v>
      </c>
      <c r="I1031" s="36" t="s">
        <v>5293</v>
      </c>
      <c r="J1031" s="36" t="s">
        <v>17</v>
      </c>
      <c r="K1031" s="36" t="s">
        <v>6404</v>
      </c>
      <c r="L1031" s="36" t="e">
        <f>VLOOKUP(Table2[[#This Row],[Node]],#REF!,2,0)=Table2[[#This Row],[Name]]</f>
        <v>#REF!</v>
      </c>
      <c r="M1031" s="36" t="s">
        <v>4781</v>
      </c>
    </row>
    <row r="1032" spans="1:13" hidden="1" x14ac:dyDescent="0.25">
      <c r="A1032" s="49">
        <f t="shared" si="16"/>
        <v>1030</v>
      </c>
      <c r="B1032" s="36" t="s">
        <v>3298</v>
      </c>
      <c r="C1032" s="36" t="s">
        <v>6222</v>
      </c>
      <c r="D1032" s="9" t="s">
        <v>1235</v>
      </c>
      <c r="E1032" s="9" t="s">
        <v>6244</v>
      </c>
      <c r="G1032" s="36" t="s">
        <v>15</v>
      </c>
      <c r="I1032" s="36" t="s">
        <v>5293</v>
      </c>
      <c r="J1032" s="36" t="s">
        <v>17</v>
      </c>
      <c r="K1032" s="36" t="s">
        <v>6404</v>
      </c>
      <c r="L1032" s="36" t="e">
        <f>VLOOKUP(Table2[[#This Row],[Node]],#REF!,2,0)=Table2[[#This Row],[Name]]</f>
        <v>#REF!</v>
      </c>
      <c r="M1032" s="36" t="s">
        <v>4781</v>
      </c>
    </row>
    <row r="1033" spans="1:13" hidden="1" x14ac:dyDescent="0.25">
      <c r="A1033" s="49">
        <f t="shared" si="16"/>
        <v>1031</v>
      </c>
      <c r="B1033" s="36" t="s">
        <v>3298</v>
      </c>
      <c r="C1033" s="36" t="s">
        <v>6222</v>
      </c>
      <c r="D1033" s="9" t="s">
        <v>6245</v>
      </c>
      <c r="E1033" s="9" t="s">
        <v>6244</v>
      </c>
      <c r="G1033" s="36" t="s">
        <v>15</v>
      </c>
      <c r="I1033" s="36" t="s">
        <v>5293</v>
      </c>
      <c r="J1033" s="36" t="s">
        <v>17</v>
      </c>
      <c r="K1033" s="36" t="s">
        <v>6404</v>
      </c>
      <c r="L1033" s="36" t="e">
        <f>VLOOKUP(Table2[[#This Row],[Node]],#REF!,2,0)=Table2[[#This Row],[Name]]</f>
        <v>#REF!</v>
      </c>
      <c r="M1033" s="36" t="s">
        <v>4781</v>
      </c>
    </row>
    <row r="1034" spans="1:13" hidden="1" x14ac:dyDescent="0.25">
      <c r="A1034" s="49">
        <f t="shared" si="16"/>
        <v>1032</v>
      </c>
      <c r="B1034" s="36" t="s">
        <v>3298</v>
      </c>
      <c r="C1034" s="36" t="s">
        <v>6222</v>
      </c>
      <c r="D1034" s="9" t="s">
        <v>1685</v>
      </c>
      <c r="E1034" s="9" t="s">
        <v>6246</v>
      </c>
      <c r="G1034" s="36" t="s">
        <v>15</v>
      </c>
      <c r="I1034" s="36" t="s">
        <v>5293</v>
      </c>
      <c r="J1034" s="36" t="s">
        <v>17</v>
      </c>
      <c r="K1034" s="36" t="s">
        <v>6404</v>
      </c>
      <c r="L1034" s="36" t="e">
        <f>VLOOKUP(Table2[[#This Row],[Node]],#REF!,2,0)=Table2[[#This Row],[Name]]</f>
        <v>#REF!</v>
      </c>
      <c r="M1034" s="36" t="s">
        <v>4781</v>
      </c>
    </row>
    <row r="1035" spans="1:13" hidden="1" x14ac:dyDescent="0.25">
      <c r="A1035" s="49">
        <f t="shared" si="16"/>
        <v>1033</v>
      </c>
      <c r="B1035" s="36" t="s">
        <v>3298</v>
      </c>
      <c r="C1035" s="36" t="s">
        <v>6222</v>
      </c>
      <c r="D1035" s="9" t="s">
        <v>1688</v>
      </c>
      <c r="E1035" s="9" t="s">
        <v>6246</v>
      </c>
      <c r="G1035" s="36" t="s">
        <v>15</v>
      </c>
      <c r="I1035" s="36" t="s">
        <v>5293</v>
      </c>
      <c r="J1035" s="36" t="s">
        <v>17</v>
      </c>
      <c r="K1035" s="36" t="s">
        <v>6404</v>
      </c>
      <c r="L1035" s="36" t="e">
        <f>VLOOKUP(Table2[[#This Row],[Node]],#REF!,2,0)=Table2[[#This Row],[Name]]</f>
        <v>#REF!</v>
      </c>
      <c r="M1035" s="36" t="s">
        <v>4781</v>
      </c>
    </row>
    <row r="1036" spans="1:13" hidden="1" x14ac:dyDescent="0.25">
      <c r="A1036" s="49">
        <f t="shared" si="16"/>
        <v>1034</v>
      </c>
      <c r="B1036" s="36" t="s">
        <v>3298</v>
      </c>
      <c r="C1036" s="36" t="s">
        <v>6222</v>
      </c>
      <c r="D1036" s="9" t="s">
        <v>6247</v>
      </c>
      <c r="E1036" s="9" t="s">
        <v>6248</v>
      </c>
      <c r="G1036" s="36" t="s">
        <v>15</v>
      </c>
      <c r="I1036" s="36" t="s">
        <v>5293</v>
      </c>
      <c r="J1036" s="36" t="s">
        <v>17</v>
      </c>
      <c r="K1036" s="36" t="s">
        <v>6404</v>
      </c>
      <c r="L1036" s="36" t="e">
        <f>VLOOKUP(Table2[[#This Row],[Node]],#REF!,2,0)=Table2[[#This Row],[Name]]</f>
        <v>#REF!</v>
      </c>
      <c r="M1036" s="36" t="s">
        <v>4781</v>
      </c>
    </row>
    <row r="1037" spans="1:13" hidden="1" x14ac:dyDescent="0.25">
      <c r="A1037" s="49">
        <f t="shared" si="16"/>
        <v>1035</v>
      </c>
      <c r="B1037" s="36" t="s">
        <v>3298</v>
      </c>
      <c r="C1037" s="36" t="s">
        <v>6222</v>
      </c>
      <c r="D1037" s="9" t="s">
        <v>1537</v>
      </c>
      <c r="E1037" s="9" t="s">
        <v>6249</v>
      </c>
      <c r="G1037" s="36" t="s">
        <v>15</v>
      </c>
      <c r="I1037" s="36" t="s">
        <v>5293</v>
      </c>
      <c r="J1037" s="36" t="s">
        <v>17</v>
      </c>
      <c r="K1037" s="36" t="s">
        <v>6404</v>
      </c>
      <c r="L1037" s="36" t="e">
        <f>VLOOKUP(Table2[[#This Row],[Node]],#REF!,2,0)=Table2[[#This Row],[Name]]</f>
        <v>#REF!</v>
      </c>
      <c r="M1037" s="36" t="s">
        <v>4781</v>
      </c>
    </row>
    <row r="1038" spans="1:13" hidden="1" x14ac:dyDescent="0.25">
      <c r="A1038" s="49">
        <f t="shared" si="16"/>
        <v>1036</v>
      </c>
      <c r="B1038" s="36" t="s">
        <v>3298</v>
      </c>
      <c r="C1038" s="36" t="s">
        <v>6222</v>
      </c>
      <c r="D1038" s="9" t="s">
        <v>6250</v>
      </c>
      <c r="E1038" s="9" t="s">
        <v>6248</v>
      </c>
      <c r="G1038" s="36" t="s">
        <v>15</v>
      </c>
      <c r="I1038" s="36" t="s">
        <v>5293</v>
      </c>
      <c r="J1038" s="36" t="s">
        <v>17</v>
      </c>
      <c r="K1038" s="36" t="s">
        <v>6404</v>
      </c>
      <c r="L1038" s="36" t="e">
        <f>VLOOKUP(Table2[[#This Row],[Node]],#REF!,2,0)=Table2[[#This Row],[Name]]</f>
        <v>#REF!</v>
      </c>
      <c r="M1038" s="36" t="s">
        <v>4781</v>
      </c>
    </row>
    <row r="1039" spans="1:13" hidden="1" x14ac:dyDescent="0.25">
      <c r="A1039" s="49">
        <f t="shared" si="16"/>
        <v>1037</v>
      </c>
      <c r="B1039" s="36" t="s">
        <v>3298</v>
      </c>
      <c r="C1039" s="36" t="s">
        <v>6222</v>
      </c>
      <c r="D1039" s="9" t="s">
        <v>6251</v>
      </c>
      <c r="E1039" s="9" t="s">
        <v>6252</v>
      </c>
      <c r="G1039" s="36" t="s">
        <v>15</v>
      </c>
      <c r="I1039" s="36" t="s">
        <v>5293</v>
      </c>
      <c r="J1039" s="36" t="s">
        <v>17</v>
      </c>
      <c r="K1039" s="36" t="s">
        <v>6404</v>
      </c>
      <c r="L1039" s="36" t="e">
        <f>VLOOKUP(Table2[[#This Row],[Node]],#REF!,2,0)=Table2[[#This Row],[Name]]</f>
        <v>#REF!</v>
      </c>
      <c r="M1039" s="36" t="s">
        <v>4781</v>
      </c>
    </row>
    <row r="1040" spans="1:13" hidden="1" x14ac:dyDescent="0.25">
      <c r="A1040" s="49">
        <f t="shared" si="16"/>
        <v>1038</v>
      </c>
      <c r="B1040" s="36" t="s">
        <v>3298</v>
      </c>
      <c r="C1040" s="36" t="s">
        <v>6222</v>
      </c>
      <c r="D1040" s="9" t="s">
        <v>6253</v>
      </c>
      <c r="E1040" s="9" t="s">
        <v>6252</v>
      </c>
      <c r="G1040" s="36" t="s">
        <v>15</v>
      </c>
      <c r="I1040" s="36" t="s">
        <v>5293</v>
      </c>
      <c r="J1040" s="36" t="s">
        <v>17</v>
      </c>
      <c r="K1040" s="36" t="s">
        <v>6404</v>
      </c>
      <c r="L1040" s="36" t="e">
        <f>VLOOKUP(Table2[[#This Row],[Node]],#REF!,2,0)=Table2[[#This Row],[Name]]</f>
        <v>#REF!</v>
      </c>
      <c r="M1040" s="36" t="s">
        <v>4781</v>
      </c>
    </row>
    <row r="1041" spans="1:13" hidden="1" x14ac:dyDescent="0.25">
      <c r="A1041" s="49">
        <f t="shared" si="16"/>
        <v>1039</v>
      </c>
      <c r="B1041" s="36" t="s">
        <v>3298</v>
      </c>
      <c r="C1041" s="36" t="s">
        <v>6222</v>
      </c>
      <c r="D1041" s="9" t="s">
        <v>6254</v>
      </c>
      <c r="E1041" s="9" t="s">
        <v>6255</v>
      </c>
      <c r="G1041" s="36" t="s">
        <v>15</v>
      </c>
      <c r="I1041" s="36" t="s">
        <v>5293</v>
      </c>
      <c r="J1041" s="36" t="s">
        <v>17</v>
      </c>
      <c r="K1041" s="36" t="s">
        <v>6404</v>
      </c>
      <c r="L1041" s="36" t="e">
        <f>VLOOKUP(Table2[[#This Row],[Node]],#REF!,2,0)=Table2[[#This Row],[Name]]</f>
        <v>#REF!</v>
      </c>
      <c r="M1041" s="36" t="s">
        <v>4781</v>
      </c>
    </row>
    <row r="1042" spans="1:13" hidden="1" x14ac:dyDescent="0.25">
      <c r="A1042" s="49">
        <f t="shared" si="16"/>
        <v>1040</v>
      </c>
      <c r="B1042" s="36" t="s">
        <v>3298</v>
      </c>
      <c r="C1042" s="36" t="s">
        <v>6222</v>
      </c>
      <c r="D1042" s="9" t="s">
        <v>6256</v>
      </c>
      <c r="E1042" s="9" t="s">
        <v>6255</v>
      </c>
      <c r="G1042" s="36" t="s">
        <v>15</v>
      </c>
      <c r="I1042" s="36" t="s">
        <v>5293</v>
      </c>
      <c r="J1042" s="36" t="s">
        <v>17</v>
      </c>
      <c r="K1042" s="36" t="s">
        <v>6404</v>
      </c>
      <c r="L1042" s="36" t="e">
        <f>VLOOKUP(Table2[[#This Row],[Node]],#REF!,2,0)=Table2[[#This Row],[Name]]</f>
        <v>#REF!</v>
      </c>
      <c r="M1042" s="36" t="s">
        <v>4781</v>
      </c>
    </row>
    <row r="1043" spans="1:13" hidden="1" x14ac:dyDescent="0.25">
      <c r="A1043" s="49">
        <f t="shared" si="16"/>
        <v>1041</v>
      </c>
      <c r="B1043" s="36" t="s">
        <v>3298</v>
      </c>
      <c r="C1043" s="36" t="s">
        <v>6222</v>
      </c>
      <c r="D1043" s="9" t="s">
        <v>6257</v>
      </c>
      <c r="E1043" s="9" t="s">
        <v>6258</v>
      </c>
      <c r="G1043" s="36" t="s">
        <v>15</v>
      </c>
      <c r="I1043" s="36" t="s">
        <v>5293</v>
      </c>
      <c r="J1043" s="36" t="s">
        <v>17</v>
      </c>
      <c r="K1043" s="36" t="s">
        <v>6404</v>
      </c>
      <c r="L1043" s="36" t="e">
        <f>VLOOKUP(Table2[[#This Row],[Node]],#REF!,2,0)=Table2[[#This Row],[Name]]</f>
        <v>#REF!</v>
      </c>
      <c r="M1043" s="36" t="s">
        <v>4781</v>
      </c>
    </row>
    <row r="1044" spans="1:13" hidden="1" x14ac:dyDescent="0.25">
      <c r="A1044" s="49">
        <f t="shared" si="16"/>
        <v>1042</v>
      </c>
      <c r="B1044" s="36" t="s">
        <v>3298</v>
      </c>
      <c r="C1044" s="36" t="s">
        <v>6222</v>
      </c>
      <c r="D1044" s="9" t="s">
        <v>6259</v>
      </c>
      <c r="E1044" s="9" t="s">
        <v>6258</v>
      </c>
      <c r="G1044" s="36" t="s">
        <v>15</v>
      </c>
      <c r="I1044" s="36" t="s">
        <v>5293</v>
      </c>
      <c r="J1044" s="36" t="s">
        <v>17</v>
      </c>
      <c r="K1044" s="36" t="s">
        <v>6404</v>
      </c>
      <c r="L1044" s="36" t="e">
        <f>VLOOKUP(Table2[[#This Row],[Node]],#REF!,2,0)=Table2[[#This Row],[Name]]</f>
        <v>#REF!</v>
      </c>
      <c r="M1044" s="36" t="s">
        <v>4781</v>
      </c>
    </row>
    <row r="1045" spans="1:13" hidden="1" x14ac:dyDescent="0.25">
      <c r="A1045" s="49">
        <f t="shared" si="16"/>
        <v>1043</v>
      </c>
      <c r="B1045" s="36" t="s">
        <v>3298</v>
      </c>
      <c r="C1045" s="36" t="s">
        <v>6222</v>
      </c>
      <c r="D1045" s="9" t="s">
        <v>6260</v>
      </c>
      <c r="E1045" s="9" t="s">
        <v>6261</v>
      </c>
      <c r="G1045" s="36" t="s">
        <v>15</v>
      </c>
      <c r="I1045" s="36" t="s">
        <v>5293</v>
      </c>
      <c r="J1045" s="36" t="s">
        <v>17</v>
      </c>
      <c r="K1045" s="36" t="s">
        <v>6404</v>
      </c>
      <c r="L1045" s="36" t="e">
        <f>VLOOKUP(Table2[[#This Row],[Node]],#REF!,2,0)=Table2[[#This Row],[Name]]</f>
        <v>#REF!</v>
      </c>
      <c r="M1045" s="36" t="s">
        <v>4781</v>
      </c>
    </row>
    <row r="1046" spans="1:13" hidden="1" x14ac:dyDescent="0.25">
      <c r="A1046" s="49">
        <f t="shared" si="16"/>
        <v>1044</v>
      </c>
      <c r="B1046" s="36" t="s">
        <v>3298</v>
      </c>
      <c r="C1046" s="36" t="s">
        <v>6222</v>
      </c>
      <c r="D1046" s="9" t="s">
        <v>6262</v>
      </c>
      <c r="E1046" s="9" t="s">
        <v>6261</v>
      </c>
      <c r="G1046" s="36" t="s">
        <v>15</v>
      </c>
      <c r="I1046" s="36" t="s">
        <v>5293</v>
      </c>
      <c r="J1046" s="36" t="s">
        <v>17</v>
      </c>
      <c r="K1046" s="36" t="s">
        <v>6404</v>
      </c>
      <c r="L1046" s="36" t="e">
        <f>VLOOKUP(Table2[[#This Row],[Node]],#REF!,2,0)=Table2[[#This Row],[Name]]</f>
        <v>#REF!</v>
      </c>
      <c r="M1046" s="36" t="s">
        <v>4781</v>
      </c>
    </row>
    <row r="1047" spans="1:13" hidden="1" x14ac:dyDescent="0.25">
      <c r="A1047" s="49">
        <f t="shared" si="16"/>
        <v>1045</v>
      </c>
      <c r="B1047" s="36" t="s">
        <v>3298</v>
      </c>
      <c r="C1047" s="36" t="s">
        <v>6222</v>
      </c>
      <c r="D1047" s="9" t="s">
        <v>6263</v>
      </c>
      <c r="E1047" s="9" t="s">
        <v>6264</v>
      </c>
      <c r="G1047" s="36" t="s">
        <v>15</v>
      </c>
      <c r="I1047" s="36" t="s">
        <v>5293</v>
      </c>
      <c r="J1047" s="36" t="s">
        <v>17</v>
      </c>
      <c r="K1047" s="36" t="s">
        <v>6404</v>
      </c>
      <c r="L1047" s="36" t="e">
        <f>VLOOKUP(Table2[[#This Row],[Node]],#REF!,2,0)=Table2[[#This Row],[Name]]</f>
        <v>#REF!</v>
      </c>
      <c r="M1047" s="36" t="s">
        <v>4781</v>
      </c>
    </row>
    <row r="1048" spans="1:13" hidden="1" x14ac:dyDescent="0.25">
      <c r="A1048" s="49">
        <f t="shared" si="16"/>
        <v>1046</v>
      </c>
      <c r="B1048" s="36" t="s">
        <v>3298</v>
      </c>
      <c r="C1048" s="36" t="s">
        <v>6222</v>
      </c>
      <c r="D1048" s="9" t="s">
        <v>6265</v>
      </c>
      <c r="E1048" s="9" t="s">
        <v>6264</v>
      </c>
      <c r="G1048" s="36" t="s">
        <v>15</v>
      </c>
      <c r="I1048" s="36" t="s">
        <v>5293</v>
      </c>
      <c r="J1048" s="36" t="s">
        <v>17</v>
      </c>
      <c r="K1048" s="36" t="s">
        <v>6404</v>
      </c>
      <c r="L1048" s="36" t="e">
        <f>VLOOKUP(Table2[[#This Row],[Node]],#REF!,2,0)=Table2[[#This Row],[Name]]</f>
        <v>#REF!</v>
      </c>
      <c r="M1048" s="36" t="s">
        <v>4781</v>
      </c>
    </row>
    <row r="1049" spans="1:13" hidden="1" x14ac:dyDescent="0.25">
      <c r="A1049" s="49">
        <f t="shared" si="16"/>
        <v>1047</v>
      </c>
      <c r="B1049" s="36" t="s">
        <v>3298</v>
      </c>
      <c r="C1049" s="36" t="s">
        <v>6222</v>
      </c>
      <c r="D1049" s="9" t="s">
        <v>6266</v>
      </c>
      <c r="E1049" s="9" t="s">
        <v>6267</v>
      </c>
      <c r="G1049" s="36" t="s">
        <v>15</v>
      </c>
      <c r="I1049" s="36" t="s">
        <v>5293</v>
      </c>
      <c r="J1049" s="36" t="s">
        <v>17</v>
      </c>
      <c r="K1049" s="36" t="s">
        <v>6404</v>
      </c>
      <c r="L1049" s="36" t="e">
        <f>VLOOKUP(Table2[[#This Row],[Node]],#REF!,2,0)=Table2[[#This Row],[Name]]</f>
        <v>#REF!</v>
      </c>
      <c r="M1049" s="36" t="s">
        <v>4781</v>
      </c>
    </row>
    <row r="1050" spans="1:13" hidden="1" x14ac:dyDescent="0.25">
      <c r="A1050" s="49">
        <f t="shared" si="16"/>
        <v>1048</v>
      </c>
      <c r="B1050" s="36" t="s">
        <v>3298</v>
      </c>
      <c r="C1050" s="36" t="s">
        <v>6222</v>
      </c>
      <c r="D1050" s="9" t="s">
        <v>6268</v>
      </c>
      <c r="E1050" s="9" t="s">
        <v>6267</v>
      </c>
      <c r="G1050" s="36" t="s">
        <v>15</v>
      </c>
      <c r="I1050" s="36" t="s">
        <v>5293</v>
      </c>
      <c r="J1050" s="36" t="s">
        <v>17</v>
      </c>
      <c r="K1050" s="36" t="s">
        <v>6404</v>
      </c>
      <c r="L1050" s="36" t="e">
        <f>VLOOKUP(Table2[[#This Row],[Node]],#REF!,2,0)=Table2[[#This Row],[Name]]</f>
        <v>#REF!</v>
      </c>
      <c r="M1050" s="36" t="s">
        <v>4781</v>
      </c>
    </row>
    <row r="1051" spans="1:13" hidden="1" x14ac:dyDescent="0.25">
      <c r="A1051" s="49">
        <f t="shared" si="16"/>
        <v>1049</v>
      </c>
      <c r="B1051" s="36" t="s">
        <v>3298</v>
      </c>
      <c r="C1051" s="36" t="s">
        <v>6222</v>
      </c>
      <c r="D1051" s="9" t="s">
        <v>5292</v>
      </c>
      <c r="E1051" s="9" t="s">
        <v>6269</v>
      </c>
      <c r="G1051" s="36" t="s">
        <v>15</v>
      </c>
      <c r="I1051" s="36" t="s">
        <v>5293</v>
      </c>
      <c r="J1051" s="36" t="s">
        <v>17</v>
      </c>
      <c r="K1051" s="36" t="s">
        <v>6404</v>
      </c>
      <c r="L1051" s="36" t="e">
        <f>VLOOKUP(Table2[[#This Row],[Node]],#REF!,2,0)=Table2[[#This Row],[Name]]</f>
        <v>#REF!</v>
      </c>
      <c r="M1051" s="36" t="s">
        <v>4781</v>
      </c>
    </row>
    <row r="1052" spans="1:13" hidden="1" x14ac:dyDescent="0.25">
      <c r="A1052" s="49">
        <f t="shared" si="16"/>
        <v>1050</v>
      </c>
      <c r="B1052" s="36" t="s">
        <v>3298</v>
      </c>
      <c r="C1052" s="36" t="s">
        <v>6222</v>
      </c>
      <c r="D1052" s="9" t="s">
        <v>5291</v>
      </c>
      <c r="E1052" s="9" t="s">
        <v>6269</v>
      </c>
      <c r="G1052" s="36" t="s">
        <v>15</v>
      </c>
      <c r="I1052" s="36" t="s">
        <v>5293</v>
      </c>
      <c r="J1052" s="36" t="s">
        <v>17</v>
      </c>
      <c r="K1052" s="36" t="s">
        <v>6404</v>
      </c>
      <c r="L1052" s="36" t="e">
        <f>VLOOKUP(Table2[[#This Row],[Node]],#REF!,2,0)=Table2[[#This Row],[Name]]</f>
        <v>#REF!</v>
      </c>
      <c r="M1052" s="36" t="s">
        <v>4781</v>
      </c>
    </row>
    <row r="1053" spans="1:13" hidden="1" x14ac:dyDescent="0.25">
      <c r="A1053" s="49">
        <f t="shared" si="16"/>
        <v>1051</v>
      </c>
      <c r="B1053" s="36" t="s">
        <v>3298</v>
      </c>
      <c r="C1053" s="36" t="s">
        <v>6222</v>
      </c>
      <c r="D1053" s="9" t="s">
        <v>6270</v>
      </c>
      <c r="E1053" s="9" t="s">
        <v>6271</v>
      </c>
      <c r="G1053" s="36" t="s">
        <v>15</v>
      </c>
      <c r="I1053" s="36" t="s">
        <v>5293</v>
      </c>
      <c r="J1053" s="36" t="s">
        <v>17</v>
      </c>
      <c r="K1053" s="36" t="s">
        <v>6404</v>
      </c>
      <c r="L1053" s="36" t="e">
        <f>VLOOKUP(Table2[[#This Row],[Node]],#REF!,2,0)=Table2[[#This Row],[Name]]</f>
        <v>#REF!</v>
      </c>
      <c r="M1053" s="36" t="s">
        <v>4781</v>
      </c>
    </row>
    <row r="1054" spans="1:13" hidden="1" x14ac:dyDescent="0.25">
      <c r="A1054" s="49">
        <f t="shared" si="16"/>
        <v>1052</v>
      </c>
      <c r="B1054" s="36" t="s">
        <v>3298</v>
      </c>
      <c r="C1054" s="36" t="s">
        <v>6222</v>
      </c>
      <c r="D1054" s="9" t="s">
        <v>6272</v>
      </c>
      <c r="E1054" s="9" t="s">
        <v>6271</v>
      </c>
      <c r="G1054" s="36" t="s">
        <v>15</v>
      </c>
      <c r="I1054" s="36" t="s">
        <v>5293</v>
      </c>
      <c r="J1054" s="36" t="s">
        <v>17</v>
      </c>
      <c r="K1054" s="36" t="s">
        <v>6404</v>
      </c>
      <c r="L1054" s="36" t="e">
        <f>VLOOKUP(Table2[[#This Row],[Node]],#REF!,2,0)=Table2[[#This Row],[Name]]</f>
        <v>#REF!</v>
      </c>
      <c r="M1054" s="36" t="s">
        <v>4781</v>
      </c>
    </row>
    <row r="1055" spans="1:13" hidden="1" x14ac:dyDescent="0.25">
      <c r="A1055" s="49">
        <f t="shared" si="16"/>
        <v>1053</v>
      </c>
      <c r="B1055" s="36" t="s">
        <v>3298</v>
      </c>
      <c r="C1055" s="36" t="s">
        <v>6222</v>
      </c>
      <c r="D1055" s="9" t="s">
        <v>6273</v>
      </c>
      <c r="E1055" s="9" t="s">
        <v>6271</v>
      </c>
      <c r="G1055" s="36" t="s">
        <v>15</v>
      </c>
      <c r="I1055" s="36" t="s">
        <v>5293</v>
      </c>
      <c r="J1055" s="36" t="s">
        <v>17</v>
      </c>
      <c r="K1055" s="36" t="s">
        <v>6404</v>
      </c>
      <c r="L1055" s="36" t="e">
        <f>VLOOKUP(Table2[[#This Row],[Node]],#REF!,2,0)=Table2[[#This Row],[Name]]</f>
        <v>#REF!</v>
      </c>
      <c r="M1055" s="36" t="s">
        <v>4781</v>
      </c>
    </row>
    <row r="1056" spans="1:13" hidden="1" x14ac:dyDescent="0.25">
      <c r="A1056" s="49">
        <f t="shared" si="16"/>
        <v>1054</v>
      </c>
      <c r="B1056" s="36" t="s">
        <v>3298</v>
      </c>
      <c r="C1056" s="36" t="s">
        <v>6222</v>
      </c>
      <c r="D1056" s="9" t="s">
        <v>6274</v>
      </c>
      <c r="E1056" s="9" t="s">
        <v>6275</v>
      </c>
      <c r="G1056" s="36" t="s">
        <v>15</v>
      </c>
      <c r="I1056" s="36" t="s">
        <v>5293</v>
      </c>
      <c r="J1056" s="36" t="s">
        <v>17</v>
      </c>
      <c r="K1056" s="36" t="s">
        <v>6404</v>
      </c>
      <c r="L1056" s="36" t="e">
        <f>VLOOKUP(Table2[[#This Row],[Node]],#REF!,2,0)=Table2[[#This Row],[Name]]</f>
        <v>#REF!</v>
      </c>
      <c r="M1056" s="36" t="s">
        <v>4781</v>
      </c>
    </row>
    <row r="1057" spans="1:13" hidden="1" x14ac:dyDescent="0.25">
      <c r="A1057" s="49">
        <f t="shared" ref="A1057:A1120" si="17">1+A1056</f>
        <v>1055</v>
      </c>
      <c r="B1057" s="36" t="s">
        <v>3298</v>
      </c>
      <c r="C1057" s="36" t="s">
        <v>6222</v>
      </c>
      <c r="D1057" s="9" t="s">
        <v>6276</v>
      </c>
      <c r="E1057" s="9" t="s">
        <v>6275</v>
      </c>
      <c r="G1057" s="36" t="s">
        <v>15</v>
      </c>
      <c r="I1057" s="36" t="s">
        <v>5293</v>
      </c>
      <c r="J1057" s="36" t="s">
        <v>17</v>
      </c>
      <c r="K1057" s="36" t="s">
        <v>6404</v>
      </c>
      <c r="L1057" s="36" t="e">
        <f>VLOOKUP(Table2[[#This Row],[Node]],#REF!,2,0)=Table2[[#This Row],[Name]]</f>
        <v>#REF!</v>
      </c>
      <c r="M1057" s="36" t="s">
        <v>4781</v>
      </c>
    </row>
    <row r="1058" spans="1:13" hidden="1" x14ac:dyDescent="0.25">
      <c r="A1058" s="49">
        <f t="shared" si="17"/>
        <v>1056</v>
      </c>
      <c r="B1058" s="36" t="s">
        <v>3298</v>
      </c>
      <c r="C1058" s="36" t="s">
        <v>6222</v>
      </c>
      <c r="D1058" s="9" t="s">
        <v>6277</v>
      </c>
      <c r="E1058" s="9" t="s">
        <v>6278</v>
      </c>
      <c r="G1058" s="36" t="s">
        <v>15</v>
      </c>
      <c r="I1058" s="36" t="s">
        <v>5293</v>
      </c>
      <c r="J1058" s="36" t="s">
        <v>17</v>
      </c>
      <c r="K1058" s="36" t="s">
        <v>6404</v>
      </c>
      <c r="L1058" s="36" t="e">
        <f>VLOOKUP(Table2[[#This Row],[Node]],#REF!,2,0)=Table2[[#This Row],[Name]]</f>
        <v>#REF!</v>
      </c>
      <c r="M1058" s="36" t="s">
        <v>4781</v>
      </c>
    </row>
    <row r="1059" spans="1:13" hidden="1" x14ac:dyDescent="0.25">
      <c r="A1059" s="49">
        <f t="shared" si="17"/>
        <v>1057</v>
      </c>
      <c r="B1059" s="36" t="s">
        <v>3298</v>
      </c>
      <c r="C1059" s="36" t="s">
        <v>6222</v>
      </c>
      <c r="D1059" s="9" t="s">
        <v>6279</v>
      </c>
      <c r="E1059" s="9" t="s">
        <v>6278</v>
      </c>
      <c r="G1059" s="36" t="s">
        <v>15</v>
      </c>
      <c r="I1059" s="36" t="s">
        <v>5293</v>
      </c>
      <c r="J1059" s="36" t="s">
        <v>17</v>
      </c>
      <c r="K1059" s="36" t="s">
        <v>6404</v>
      </c>
      <c r="L1059" s="36" t="e">
        <f>VLOOKUP(Table2[[#This Row],[Node]],#REF!,2,0)=Table2[[#This Row],[Name]]</f>
        <v>#REF!</v>
      </c>
      <c r="M1059" s="36" t="s">
        <v>4781</v>
      </c>
    </row>
    <row r="1060" spans="1:13" hidden="1" x14ac:dyDescent="0.25">
      <c r="A1060" s="49">
        <f t="shared" si="17"/>
        <v>1058</v>
      </c>
      <c r="B1060" s="36" t="s">
        <v>3298</v>
      </c>
      <c r="C1060" s="36" t="s">
        <v>6222</v>
      </c>
      <c r="D1060" s="9" t="s">
        <v>6280</v>
      </c>
      <c r="E1060" s="9" t="s">
        <v>6281</v>
      </c>
      <c r="G1060" s="36" t="s">
        <v>15</v>
      </c>
      <c r="I1060" s="36" t="s">
        <v>5293</v>
      </c>
      <c r="J1060" s="36" t="s">
        <v>17</v>
      </c>
      <c r="K1060" s="36" t="s">
        <v>6404</v>
      </c>
      <c r="L1060" s="36" t="e">
        <f>VLOOKUP(Table2[[#This Row],[Node]],#REF!,2,0)=Table2[[#This Row],[Name]]</f>
        <v>#REF!</v>
      </c>
      <c r="M1060" s="36" t="s">
        <v>4781</v>
      </c>
    </row>
    <row r="1061" spans="1:13" hidden="1" x14ac:dyDescent="0.25">
      <c r="A1061" s="49">
        <f t="shared" si="17"/>
        <v>1059</v>
      </c>
      <c r="B1061" s="36" t="s">
        <v>3298</v>
      </c>
      <c r="C1061" s="36" t="s">
        <v>6222</v>
      </c>
      <c r="D1061" s="9" t="s">
        <v>6282</v>
      </c>
      <c r="E1061" s="9" t="s">
        <v>6281</v>
      </c>
      <c r="G1061" s="36" t="s">
        <v>15</v>
      </c>
      <c r="I1061" s="36" t="s">
        <v>5293</v>
      </c>
      <c r="J1061" s="36" t="s">
        <v>17</v>
      </c>
      <c r="K1061" s="36" t="s">
        <v>6404</v>
      </c>
      <c r="L1061" s="36" t="e">
        <f>VLOOKUP(Table2[[#This Row],[Node]],#REF!,2,0)=Table2[[#This Row],[Name]]</f>
        <v>#REF!</v>
      </c>
      <c r="M1061" s="36" t="s">
        <v>4781</v>
      </c>
    </row>
    <row r="1062" spans="1:13" hidden="1" x14ac:dyDescent="0.25">
      <c r="A1062" s="49">
        <f t="shared" si="17"/>
        <v>1060</v>
      </c>
      <c r="B1062" s="36" t="s">
        <v>3298</v>
      </c>
      <c r="C1062" s="36" t="s">
        <v>6222</v>
      </c>
      <c r="D1062" s="9" t="s">
        <v>6283</v>
      </c>
      <c r="E1062" s="9" t="s">
        <v>6284</v>
      </c>
      <c r="G1062" s="36" t="s">
        <v>15</v>
      </c>
      <c r="I1062" s="36" t="s">
        <v>5293</v>
      </c>
      <c r="J1062" s="36" t="s">
        <v>17</v>
      </c>
      <c r="K1062" s="36" t="s">
        <v>6404</v>
      </c>
      <c r="L1062" s="36" t="e">
        <f>VLOOKUP(Table2[[#This Row],[Node]],#REF!,2,0)=Table2[[#This Row],[Name]]</f>
        <v>#REF!</v>
      </c>
      <c r="M1062" s="36" t="s">
        <v>4781</v>
      </c>
    </row>
    <row r="1063" spans="1:13" hidden="1" x14ac:dyDescent="0.25">
      <c r="A1063" s="49">
        <f t="shared" si="17"/>
        <v>1061</v>
      </c>
      <c r="B1063" s="36" t="s">
        <v>3298</v>
      </c>
      <c r="C1063" s="36" t="s">
        <v>6222</v>
      </c>
      <c r="D1063" s="9" t="s">
        <v>6285</v>
      </c>
      <c r="E1063" s="9" t="s">
        <v>6284</v>
      </c>
      <c r="G1063" s="36" t="s">
        <v>15</v>
      </c>
      <c r="I1063" s="36" t="s">
        <v>5293</v>
      </c>
      <c r="J1063" s="36" t="s">
        <v>17</v>
      </c>
      <c r="K1063" s="36" t="s">
        <v>6404</v>
      </c>
      <c r="L1063" s="36" t="e">
        <f>VLOOKUP(Table2[[#This Row],[Node]],#REF!,2,0)=Table2[[#This Row],[Name]]</f>
        <v>#REF!</v>
      </c>
      <c r="M1063" s="36" t="s">
        <v>4781</v>
      </c>
    </row>
    <row r="1064" spans="1:13" hidden="1" x14ac:dyDescent="0.25">
      <c r="A1064" s="49">
        <f t="shared" si="17"/>
        <v>1062</v>
      </c>
      <c r="B1064" s="36" t="s">
        <v>3298</v>
      </c>
      <c r="C1064" s="36" t="s">
        <v>6222</v>
      </c>
      <c r="D1064" s="9" t="s">
        <v>6286</v>
      </c>
      <c r="E1064" s="9" t="s">
        <v>6287</v>
      </c>
      <c r="G1064" s="36" t="s">
        <v>15</v>
      </c>
      <c r="I1064" s="36" t="s">
        <v>5293</v>
      </c>
      <c r="J1064" s="36" t="s">
        <v>17</v>
      </c>
      <c r="K1064" s="36" t="s">
        <v>6404</v>
      </c>
      <c r="L1064" s="36" t="e">
        <f>VLOOKUP(Table2[[#This Row],[Node]],#REF!,2,0)=Table2[[#This Row],[Name]]</f>
        <v>#REF!</v>
      </c>
      <c r="M1064" s="36" t="s">
        <v>4781</v>
      </c>
    </row>
    <row r="1065" spans="1:13" hidden="1" x14ac:dyDescent="0.25">
      <c r="A1065" s="49">
        <f t="shared" si="17"/>
        <v>1063</v>
      </c>
      <c r="B1065" s="36" t="s">
        <v>3298</v>
      </c>
      <c r="C1065" s="36" t="s">
        <v>6222</v>
      </c>
      <c r="D1065" s="9" t="s">
        <v>6288</v>
      </c>
      <c r="E1065" s="9" t="s">
        <v>6287</v>
      </c>
      <c r="G1065" s="36" t="s">
        <v>15</v>
      </c>
      <c r="I1065" s="36" t="s">
        <v>5293</v>
      </c>
      <c r="J1065" s="36" t="s">
        <v>17</v>
      </c>
      <c r="K1065" s="36" t="s">
        <v>6404</v>
      </c>
      <c r="L1065" s="36" t="e">
        <f>VLOOKUP(Table2[[#This Row],[Node]],#REF!,2,0)=Table2[[#This Row],[Name]]</f>
        <v>#REF!</v>
      </c>
      <c r="M1065" s="36" t="s">
        <v>4781</v>
      </c>
    </row>
    <row r="1066" spans="1:13" hidden="1" x14ac:dyDescent="0.25">
      <c r="A1066" s="49">
        <f t="shared" si="17"/>
        <v>1064</v>
      </c>
      <c r="B1066" s="36" t="s">
        <v>3298</v>
      </c>
      <c r="C1066" s="36" t="s">
        <v>6222</v>
      </c>
      <c r="D1066" s="9" t="s">
        <v>6289</v>
      </c>
      <c r="E1066" s="9" t="s">
        <v>6290</v>
      </c>
      <c r="G1066" s="36" t="s">
        <v>15</v>
      </c>
      <c r="I1066" s="36" t="s">
        <v>5293</v>
      </c>
      <c r="J1066" s="36" t="s">
        <v>17</v>
      </c>
      <c r="K1066" s="36" t="s">
        <v>6404</v>
      </c>
      <c r="L1066" s="36" t="e">
        <f>VLOOKUP(Table2[[#This Row],[Node]],#REF!,2,0)=Table2[[#This Row],[Name]]</f>
        <v>#REF!</v>
      </c>
      <c r="M1066" s="36" t="s">
        <v>4781</v>
      </c>
    </row>
    <row r="1067" spans="1:13" hidden="1" x14ac:dyDescent="0.25">
      <c r="A1067" s="49">
        <f t="shared" si="17"/>
        <v>1065</v>
      </c>
      <c r="B1067" s="36" t="s">
        <v>3298</v>
      </c>
      <c r="C1067" s="36" t="s">
        <v>6222</v>
      </c>
      <c r="D1067" s="9" t="s">
        <v>6291</v>
      </c>
      <c r="E1067" s="9" t="s">
        <v>6290</v>
      </c>
      <c r="G1067" s="36" t="s">
        <v>15</v>
      </c>
      <c r="I1067" s="36" t="s">
        <v>5293</v>
      </c>
      <c r="J1067" s="36" t="s">
        <v>17</v>
      </c>
      <c r="K1067" s="36" t="s">
        <v>6404</v>
      </c>
      <c r="L1067" s="36" t="e">
        <f>VLOOKUP(Table2[[#This Row],[Node]],#REF!,2,0)=Table2[[#This Row],[Name]]</f>
        <v>#REF!</v>
      </c>
      <c r="M1067" s="36" t="s">
        <v>4781</v>
      </c>
    </row>
    <row r="1068" spans="1:13" hidden="1" x14ac:dyDescent="0.25">
      <c r="A1068" s="49">
        <f t="shared" si="17"/>
        <v>1066</v>
      </c>
      <c r="B1068" s="36" t="s">
        <v>3298</v>
      </c>
      <c r="C1068" s="36" t="s">
        <v>6222</v>
      </c>
      <c r="D1068" s="9" t="s">
        <v>6292</v>
      </c>
      <c r="E1068" s="9" t="s">
        <v>6293</v>
      </c>
      <c r="G1068" s="36" t="s">
        <v>15</v>
      </c>
      <c r="I1068" s="36" t="s">
        <v>5293</v>
      </c>
      <c r="J1068" s="36" t="s">
        <v>17</v>
      </c>
      <c r="K1068" s="36" t="s">
        <v>6404</v>
      </c>
      <c r="L1068" s="36" t="e">
        <f>VLOOKUP(Table2[[#This Row],[Node]],#REF!,2,0)=Table2[[#This Row],[Name]]</f>
        <v>#REF!</v>
      </c>
      <c r="M1068" s="36" t="s">
        <v>4781</v>
      </c>
    </row>
    <row r="1069" spans="1:13" hidden="1" x14ac:dyDescent="0.25">
      <c r="A1069" s="49">
        <f t="shared" si="17"/>
        <v>1067</v>
      </c>
      <c r="B1069" s="36" t="s">
        <v>3298</v>
      </c>
      <c r="C1069" s="36" t="s">
        <v>6222</v>
      </c>
      <c r="D1069" s="9" t="s">
        <v>6294</v>
      </c>
      <c r="E1069" s="9" t="s">
        <v>6293</v>
      </c>
      <c r="G1069" s="36" t="s">
        <v>15</v>
      </c>
      <c r="I1069" s="36" t="s">
        <v>5293</v>
      </c>
      <c r="J1069" s="36" t="s">
        <v>17</v>
      </c>
      <c r="K1069" s="36" t="s">
        <v>6404</v>
      </c>
      <c r="L1069" s="36" t="e">
        <f>VLOOKUP(Table2[[#This Row],[Node]],#REF!,2,0)=Table2[[#This Row],[Name]]</f>
        <v>#REF!</v>
      </c>
      <c r="M1069" s="36" t="s">
        <v>4781</v>
      </c>
    </row>
    <row r="1070" spans="1:13" hidden="1" x14ac:dyDescent="0.25">
      <c r="A1070" s="49">
        <f t="shared" si="17"/>
        <v>1068</v>
      </c>
      <c r="B1070" s="36" t="s">
        <v>3298</v>
      </c>
      <c r="C1070" s="36" t="s">
        <v>6222</v>
      </c>
      <c r="D1070" s="9" t="s">
        <v>6295</v>
      </c>
      <c r="E1070" s="9" t="s">
        <v>6296</v>
      </c>
      <c r="G1070" s="36" t="s">
        <v>15</v>
      </c>
      <c r="I1070" s="36" t="s">
        <v>5293</v>
      </c>
      <c r="J1070" s="36" t="s">
        <v>17</v>
      </c>
      <c r="K1070" s="36" t="s">
        <v>6404</v>
      </c>
      <c r="L1070" s="36" t="e">
        <f>VLOOKUP(Table2[[#This Row],[Node]],#REF!,2,0)=Table2[[#This Row],[Name]]</f>
        <v>#REF!</v>
      </c>
      <c r="M1070" s="36" t="s">
        <v>4781</v>
      </c>
    </row>
    <row r="1071" spans="1:13" hidden="1" x14ac:dyDescent="0.25">
      <c r="A1071" s="49">
        <f t="shared" si="17"/>
        <v>1069</v>
      </c>
      <c r="B1071" s="36" t="s">
        <v>3298</v>
      </c>
      <c r="C1071" s="36" t="s">
        <v>6222</v>
      </c>
      <c r="D1071" s="9" t="s">
        <v>6297</v>
      </c>
      <c r="E1071" s="9" t="s">
        <v>6296</v>
      </c>
      <c r="G1071" s="36" t="s">
        <v>15</v>
      </c>
      <c r="I1071" s="36" t="s">
        <v>5293</v>
      </c>
      <c r="J1071" s="36" t="s">
        <v>17</v>
      </c>
      <c r="K1071" s="36" t="s">
        <v>6404</v>
      </c>
      <c r="L1071" s="36" t="e">
        <f>VLOOKUP(Table2[[#This Row],[Node]],#REF!,2,0)=Table2[[#This Row],[Name]]</f>
        <v>#REF!</v>
      </c>
      <c r="M1071" s="36" t="s">
        <v>4781</v>
      </c>
    </row>
    <row r="1072" spans="1:13" hidden="1" x14ac:dyDescent="0.25">
      <c r="A1072" s="49">
        <f t="shared" si="17"/>
        <v>1070</v>
      </c>
      <c r="B1072" s="36" t="s">
        <v>3298</v>
      </c>
      <c r="C1072" s="36" t="s">
        <v>6222</v>
      </c>
      <c r="D1072" s="9" t="s">
        <v>6298</v>
      </c>
      <c r="E1072" s="9" t="s">
        <v>6299</v>
      </c>
      <c r="G1072" s="36" t="s">
        <v>15</v>
      </c>
      <c r="I1072" s="36" t="s">
        <v>5293</v>
      </c>
      <c r="J1072" s="36" t="s">
        <v>17</v>
      </c>
      <c r="K1072" s="36" t="s">
        <v>6404</v>
      </c>
      <c r="L1072" s="36" t="e">
        <f>VLOOKUP(Table2[[#This Row],[Node]],#REF!,2,0)=Table2[[#This Row],[Name]]</f>
        <v>#REF!</v>
      </c>
      <c r="M1072" s="36" t="s">
        <v>4781</v>
      </c>
    </row>
    <row r="1073" spans="1:13" hidden="1" x14ac:dyDescent="0.25">
      <c r="A1073" s="49">
        <f t="shared" si="17"/>
        <v>1071</v>
      </c>
      <c r="B1073" s="36" t="s">
        <v>3298</v>
      </c>
      <c r="C1073" s="36" t="s">
        <v>6222</v>
      </c>
      <c r="D1073" s="9" t="s">
        <v>6300</v>
      </c>
      <c r="E1073" s="9" t="s">
        <v>6299</v>
      </c>
      <c r="G1073" s="36" t="s">
        <v>15</v>
      </c>
      <c r="I1073" s="36" t="s">
        <v>5293</v>
      </c>
      <c r="J1073" s="36" t="s">
        <v>17</v>
      </c>
      <c r="K1073" s="36" t="s">
        <v>6404</v>
      </c>
      <c r="L1073" s="36" t="e">
        <f>VLOOKUP(Table2[[#This Row],[Node]],#REF!,2,0)=Table2[[#This Row],[Name]]</f>
        <v>#REF!</v>
      </c>
      <c r="M1073" s="36" t="s">
        <v>4781</v>
      </c>
    </row>
    <row r="1074" spans="1:13" hidden="1" x14ac:dyDescent="0.25">
      <c r="A1074" s="49">
        <f t="shared" si="17"/>
        <v>1072</v>
      </c>
      <c r="B1074" s="36" t="s">
        <v>3298</v>
      </c>
      <c r="C1074" s="36" t="s">
        <v>6222</v>
      </c>
      <c r="D1074" s="9" t="s">
        <v>6301</v>
      </c>
      <c r="E1074" s="9" t="s">
        <v>6302</v>
      </c>
      <c r="G1074" s="36" t="s">
        <v>15</v>
      </c>
      <c r="I1074" s="36" t="s">
        <v>5293</v>
      </c>
      <c r="J1074" s="36" t="s">
        <v>17</v>
      </c>
      <c r="K1074" s="36" t="s">
        <v>6404</v>
      </c>
      <c r="L1074" s="36" t="e">
        <f>VLOOKUP(Table2[[#This Row],[Node]],#REF!,2,0)=Table2[[#This Row],[Name]]</f>
        <v>#REF!</v>
      </c>
      <c r="M1074" s="36" t="s">
        <v>4781</v>
      </c>
    </row>
    <row r="1075" spans="1:13" hidden="1" x14ac:dyDescent="0.25">
      <c r="A1075" s="49">
        <f t="shared" si="17"/>
        <v>1073</v>
      </c>
      <c r="B1075" s="36" t="s">
        <v>3298</v>
      </c>
      <c r="C1075" s="36" t="s">
        <v>6222</v>
      </c>
      <c r="D1075" s="9" t="s">
        <v>6303</v>
      </c>
      <c r="E1075" s="9" t="s">
        <v>6304</v>
      </c>
      <c r="G1075" s="36" t="s">
        <v>15</v>
      </c>
      <c r="I1075" s="36" t="s">
        <v>5293</v>
      </c>
      <c r="J1075" s="36" t="s">
        <v>17</v>
      </c>
      <c r="K1075" s="36" t="s">
        <v>6404</v>
      </c>
      <c r="L1075" s="36" t="e">
        <f>VLOOKUP(Table2[[#This Row],[Node]],#REF!,2,0)=Table2[[#This Row],[Name]]</f>
        <v>#REF!</v>
      </c>
      <c r="M1075" s="36" t="s">
        <v>4781</v>
      </c>
    </row>
    <row r="1076" spans="1:13" hidden="1" x14ac:dyDescent="0.25">
      <c r="A1076" s="49">
        <f t="shared" si="17"/>
        <v>1074</v>
      </c>
      <c r="B1076" s="36" t="s">
        <v>3298</v>
      </c>
      <c r="C1076" s="36" t="s">
        <v>6222</v>
      </c>
      <c r="D1076" s="9" t="s">
        <v>6305</v>
      </c>
      <c r="E1076" s="9" t="s">
        <v>6304</v>
      </c>
      <c r="G1076" s="36" t="s">
        <v>15</v>
      </c>
      <c r="I1076" s="36" t="s">
        <v>5293</v>
      </c>
      <c r="J1076" s="36" t="s">
        <v>17</v>
      </c>
      <c r="K1076" s="36" t="s">
        <v>6404</v>
      </c>
      <c r="L1076" s="36" t="e">
        <f>VLOOKUP(Table2[[#This Row],[Node]],#REF!,2,0)=Table2[[#This Row],[Name]]</f>
        <v>#REF!</v>
      </c>
      <c r="M1076" s="36" t="s">
        <v>4781</v>
      </c>
    </row>
    <row r="1077" spans="1:13" hidden="1" x14ac:dyDescent="0.25">
      <c r="A1077" s="49">
        <f t="shared" si="17"/>
        <v>1075</v>
      </c>
      <c r="B1077" s="36" t="s">
        <v>3298</v>
      </c>
      <c r="C1077" s="36" t="s">
        <v>6222</v>
      </c>
      <c r="D1077" s="9" t="s">
        <v>6306</v>
      </c>
      <c r="E1077" s="9" t="s">
        <v>6307</v>
      </c>
      <c r="G1077" s="36" t="s">
        <v>15</v>
      </c>
      <c r="I1077" s="36" t="s">
        <v>5293</v>
      </c>
      <c r="J1077" s="36" t="s">
        <v>17</v>
      </c>
      <c r="K1077" s="36" t="s">
        <v>6404</v>
      </c>
      <c r="L1077" s="36" t="e">
        <f>VLOOKUP(Table2[[#This Row],[Node]],#REF!,2,0)=Table2[[#This Row],[Name]]</f>
        <v>#REF!</v>
      </c>
      <c r="M1077" s="36" t="s">
        <v>4781</v>
      </c>
    </row>
    <row r="1078" spans="1:13" hidden="1" x14ac:dyDescent="0.25">
      <c r="A1078" s="49">
        <f t="shared" si="17"/>
        <v>1076</v>
      </c>
      <c r="B1078" s="36" t="s">
        <v>3298</v>
      </c>
      <c r="C1078" s="36" t="s">
        <v>6222</v>
      </c>
      <c r="D1078" s="9" t="s">
        <v>6308</v>
      </c>
      <c r="E1078" s="9" t="s">
        <v>6307</v>
      </c>
      <c r="G1078" s="36" t="s">
        <v>15</v>
      </c>
      <c r="I1078" s="36" t="s">
        <v>5293</v>
      </c>
      <c r="J1078" s="36" t="s">
        <v>17</v>
      </c>
      <c r="K1078" s="36" t="s">
        <v>6404</v>
      </c>
      <c r="L1078" s="36" t="e">
        <f>VLOOKUP(Table2[[#This Row],[Node]],#REF!,2,0)=Table2[[#This Row],[Name]]</f>
        <v>#REF!</v>
      </c>
      <c r="M1078" s="36" t="s">
        <v>4781</v>
      </c>
    </row>
    <row r="1079" spans="1:13" hidden="1" x14ac:dyDescent="0.25">
      <c r="A1079" s="49">
        <f t="shared" si="17"/>
        <v>1077</v>
      </c>
      <c r="B1079" s="36" t="s">
        <v>3298</v>
      </c>
      <c r="C1079" s="36" t="s">
        <v>6222</v>
      </c>
      <c r="D1079" s="9" t="s">
        <v>6309</v>
      </c>
      <c r="E1079" s="9" t="s">
        <v>6310</v>
      </c>
      <c r="G1079" s="36" t="s">
        <v>15</v>
      </c>
      <c r="I1079" s="36" t="s">
        <v>5293</v>
      </c>
      <c r="J1079" s="36" t="s">
        <v>17</v>
      </c>
      <c r="K1079" s="36" t="s">
        <v>6404</v>
      </c>
      <c r="L1079" s="36" t="e">
        <f>VLOOKUP(Table2[[#This Row],[Node]],#REF!,2,0)=Table2[[#This Row],[Name]]</f>
        <v>#REF!</v>
      </c>
      <c r="M1079" s="36" t="s">
        <v>4781</v>
      </c>
    </row>
    <row r="1080" spans="1:13" hidden="1" x14ac:dyDescent="0.25">
      <c r="A1080" s="49">
        <f t="shared" si="17"/>
        <v>1078</v>
      </c>
      <c r="B1080" s="36" t="s">
        <v>3298</v>
      </c>
      <c r="C1080" s="36" t="s">
        <v>6222</v>
      </c>
      <c r="D1080" s="9" t="s">
        <v>6311</v>
      </c>
      <c r="E1080" s="9" t="s">
        <v>6310</v>
      </c>
      <c r="G1080" s="36" t="s">
        <v>15</v>
      </c>
      <c r="I1080" s="36" t="s">
        <v>5293</v>
      </c>
      <c r="J1080" s="36" t="s">
        <v>17</v>
      </c>
      <c r="K1080" s="36" t="s">
        <v>6404</v>
      </c>
      <c r="L1080" s="36" t="e">
        <f>VLOOKUP(Table2[[#This Row],[Node]],#REF!,2,0)=Table2[[#This Row],[Name]]</f>
        <v>#REF!</v>
      </c>
      <c r="M1080" s="36" t="s">
        <v>4781</v>
      </c>
    </row>
    <row r="1081" spans="1:13" hidden="1" x14ac:dyDescent="0.25">
      <c r="A1081" s="49">
        <f t="shared" si="17"/>
        <v>1079</v>
      </c>
      <c r="B1081" s="36" t="s">
        <v>3298</v>
      </c>
      <c r="C1081" s="36" t="s">
        <v>6222</v>
      </c>
      <c r="D1081" s="9" t="s">
        <v>6312</v>
      </c>
      <c r="E1081" s="9" t="s">
        <v>6313</v>
      </c>
      <c r="G1081" s="36" t="s">
        <v>15</v>
      </c>
      <c r="I1081" s="36" t="s">
        <v>5293</v>
      </c>
      <c r="J1081" s="36" t="s">
        <v>17</v>
      </c>
      <c r="K1081" s="36" t="s">
        <v>6404</v>
      </c>
      <c r="L1081" s="36" t="e">
        <f>VLOOKUP(Table2[[#This Row],[Node]],#REF!,2,0)=Table2[[#This Row],[Name]]</f>
        <v>#REF!</v>
      </c>
      <c r="M1081" s="36" t="s">
        <v>4781</v>
      </c>
    </row>
    <row r="1082" spans="1:13" hidden="1" x14ac:dyDescent="0.25">
      <c r="A1082" s="49">
        <f t="shared" si="17"/>
        <v>1080</v>
      </c>
      <c r="B1082" s="36" t="s">
        <v>3298</v>
      </c>
      <c r="C1082" s="36" t="s">
        <v>6222</v>
      </c>
      <c r="D1082" s="9" t="s">
        <v>6314</v>
      </c>
      <c r="E1082" s="9" t="s">
        <v>6302</v>
      </c>
      <c r="G1082" s="36" t="s">
        <v>15</v>
      </c>
      <c r="I1082" s="36" t="s">
        <v>5293</v>
      </c>
      <c r="J1082" s="36" t="s">
        <v>17</v>
      </c>
      <c r="K1082" s="36" t="s">
        <v>6404</v>
      </c>
      <c r="L1082" s="36" t="e">
        <f>VLOOKUP(Table2[[#This Row],[Node]],#REF!,2,0)=Table2[[#This Row],[Name]]</f>
        <v>#REF!</v>
      </c>
      <c r="M1082" s="36" t="s">
        <v>4781</v>
      </c>
    </row>
    <row r="1083" spans="1:13" hidden="1" x14ac:dyDescent="0.25">
      <c r="A1083" s="49">
        <f t="shared" si="17"/>
        <v>1081</v>
      </c>
      <c r="B1083" s="36" t="s">
        <v>3298</v>
      </c>
      <c r="C1083" s="36" t="s">
        <v>6222</v>
      </c>
      <c r="D1083" s="9" t="s">
        <v>5702</v>
      </c>
      <c r="E1083" s="9" t="s">
        <v>6315</v>
      </c>
      <c r="G1083" s="36" t="s">
        <v>15</v>
      </c>
      <c r="I1083" s="36" t="s">
        <v>5293</v>
      </c>
      <c r="J1083" s="36" t="s">
        <v>17</v>
      </c>
      <c r="K1083" s="36" t="s">
        <v>6404</v>
      </c>
      <c r="L1083" s="36" t="e">
        <f>VLOOKUP(Table2[[#This Row],[Node]],#REF!,2,0)=Table2[[#This Row],[Name]]</f>
        <v>#REF!</v>
      </c>
      <c r="M1083" s="36" t="s">
        <v>4781</v>
      </c>
    </row>
    <row r="1084" spans="1:13" hidden="1" x14ac:dyDescent="0.25">
      <c r="A1084" s="49">
        <f t="shared" si="17"/>
        <v>1082</v>
      </c>
      <c r="B1084" s="36" t="s">
        <v>3298</v>
      </c>
      <c r="C1084" s="36" t="s">
        <v>6222</v>
      </c>
      <c r="D1084" s="9" t="s">
        <v>6316</v>
      </c>
      <c r="E1084" s="9" t="s">
        <v>6317</v>
      </c>
      <c r="G1084" s="36" t="s">
        <v>15</v>
      </c>
      <c r="I1084" s="36" t="s">
        <v>5293</v>
      </c>
      <c r="J1084" s="36" t="s">
        <v>17</v>
      </c>
      <c r="K1084" s="36" t="s">
        <v>6404</v>
      </c>
      <c r="L1084" s="36" t="e">
        <f>VLOOKUP(Table2[[#This Row],[Node]],#REF!,2,0)=Table2[[#This Row],[Name]]</f>
        <v>#REF!</v>
      </c>
      <c r="M1084" s="36" t="s">
        <v>4781</v>
      </c>
    </row>
    <row r="1085" spans="1:13" hidden="1" x14ac:dyDescent="0.25">
      <c r="A1085" s="49">
        <f t="shared" si="17"/>
        <v>1083</v>
      </c>
      <c r="B1085" s="36" t="s">
        <v>3298</v>
      </c>
      <c r="C1085" s="36" t="s">
        <v>6222</v>
      </c>
      <c r="D1085" s="9" t="s">
        <v>6318</v>
      </c>
      <c r="E1085" s="9" t="s">
        <v>6315</v>
      </c>
      <c r="G1085" s="36" t="s">
        <v>15</v>
      </c>
      <c r="I1085" s="36" t="s">
        <v>5293</v>
      </c>
      <c r="J1085" s="36" t="s">
        <v>17</v>
      </c>
      <c r="K1085" s="36" t="s">
        <v>6404</v>
      </c>
      <c r="L1085" s="36" t="e">
        <f>VLOOKUP(Table2[[#This Row],[Node]],#REF!,2,0)=Table2[[#This Row],[Name]]</f>
        <v>#REF!</v>
      </c>
      <c r="M1085" s="36" t="s">
        <v>4781</v>
      </c>
    </row>
    <row r="1086" spans="1:13" hidden="1" x14ac:dyDescent="0.25">
      <c r="A1086" s="49">
        <f t="shared" si="17"/>
        <v>1084</v>
      </c>
      <c r="B1086" s="36" t="s">
        <v>3298</v>
      </c>
      <c r="C1086" s="36" t="s">
        <v>6222</v>
      </c>
      <c r="D1086" s="9" t="s">
        <v>6319</v>
      </c>
      <c r="E1086" s="9" t="s">
        <v>6320</v>
      </c>
      <c r="G1086" s="36" t="s">
        <v>15</v>
      </c>
      <c r="I1086" s="36" t="s">
        <v>5293</v>
      </c>
      <c r="J1086" s="36" t="s">
        <v>17</v>
      </c>
      <c r="K1086" s="36" t="s">
        <v>6404</v>
      </c>
      <c r="L1086" s="36" t="e">
        <f>VLOOKUP(Table2[[#This Row],[Node]],#REF!,2,0)=Table2[[#This Row],[Name]]</f>
        <v>#REF!</v>
      </c>
      <c r="M1086" s="36" t="s">
        <v>4781</v>
      </c>
    </row>
    <row r="1087" spans="1:13" hidden="1" x14ac:dyDescent="0.25">
      <c r="A1087" s="49">
        <f t="shared" si="17"/>
        <v>1085</v>
      </c>
      <c r="B1087" s="36" t="s">
        <v>3298</v>
      </c>
      <c r="C1087" s="36" t="s">
        <v>6222</v>
      </c>
      <c r="D1087" s="9" t="s">
        <v>6321</v>
      </c>
      <c r="E1087" s="9" t="s">
        <v>6320</v>
      </c>
      <c r="G1087" s="36" t="s">
        <v>15</v>
      </c>
      <c r="I1087" s="36" t="s">
        <v>5293</v>
      </c>
      <c r="J1087" s="36" t="s">
        <v>17</v>
      </c>
      <c r="K1087" s="36" t="s">
        <v>6404</v>
      </c>
      <c r="L1087" s="36" t="e">
        <f>VLOOKUP(Table2[[#This Row],[Node]],#REF!,2,0)=Table2[[#This Row],[Name]]</f>
        <v>#REF!</v>
      </c>
      <c r="M1087" s="36" t="s">
        <v>4781</v>
      </c>
    </row>
    <row r="1088" spans="1:13" hidden="1" x14ac:dyDescent="0.25">
      <c r="A1088" s="49">
        <f t="shared" si="17"/>
        <v>1086</v>
      </c>
      <c r="B1088" s="36" t="s">
        <v>3298</v>
      </c>
      <c r="C1088" s="36" t="s">
        <v>6222</v>
      </c>
      <c r="D1088" s="9" t="s">
        <v>6322</v>
      </c>
      <c r="E1088" s="9" t="s">
        <v>6323</v>
      </c>
      <c r="G1088" s="36" t="s">
        <v>15</v>
      </c>
      <c r="I1088" s="36" t="s">
        <v>5293</v>
      </c>
      <c r="J1088" s="36" t="s">
        <v>17</v>
      </c>
      <c r="K1088" s="36" t="s">
        <v>6404</v>
      </c>
      <c r="L1088" s="36" t="e">
        <f>VLOOKUP(Table2[[#This Row],[Node]],#REF!,2,0)=Table2[[#This Row],[Name]]</f>
        <v>#REF!</v>
      </c>
      <c r="M1088" s="36" t="s">
        <v>4781</v>
      </c>
    </row>
    <row r="1089" spans="1:13" hidden="1" x14ac:dyDescent="0.25">
      <c r="A1089" s="49">
        <f t="shared" si="17"/>
        <v>1087</v>
      </c>
      <c r="B1089" s="36" t="s">
        <v>3298</v>
      </c>
      <c r="C1089" s="36" t="s">
        <v>6222</v>
      </c>
      <c r="D1089" s="9" t="s">
        <v>6324</v>
      </c>
      <c r="E1089" s="9" t="s">
        <v>6323</v>
      </c>
      <c r="G1089" s="36" t="s">
        <v>15</v>
      </c>
      <c r="I1089" s="36" t="s">
        <v>5293</v>
      </c>
      <c r="J1089" s="36" t="s">
        <v>17</v>
      </c>
      <c r="K1089" s="36" t="s">
        <v>6404</v>
      </c>
      <c r="L1089" s="36" t="e">
        <f>VLOOKUP(Table2[[#This Row],[Node]],#REF!,2,0)=Table2[[#This Row],[Name]]</f>
        <v>#REF!</v>
      </c>
      <c r="M1089" s="36" t="s">
        <v>4781</v>
      </c>
    </row>
    <row r="1090" spans="1:13" hidden="1" x14ac:dyDescent="0.25">
      <c r="A1090" s="49">
        <f t="shared" si="17"/>
        <v>1088</v>
      </c>
      <c r="B1090" s="36" t="s">
        <v>3298</v>
      </c>
      <c r="C1090" s="36" t="s">
        <v>6222</v>
      </c>
      <c r="D1090" s="9" t="s">
        <v>5295</v>
      </c>
      <c r="E1090" s="9" t="s">
        <v>6325</v>
      </c>
      <c r="G1090" s="36" t="s">
        <v>15</v>
      </c>
      <c r="I1090" s="36" t="s">
        <v>5293</v>
      </c>
      <c r="J1090" s="36" t="s">
        <v>17</v>
      </c>
      <c r="K1090" s="36" t="s">
        <v>6404</v>
      </c>
      <c r="L1090" s="36" t="e">
        <f>VLOOKUP(Table2[[#This Row],[Node]],#REF!,2,0)=Table2[[#This Row],[Name]]</f>
        <v>#REF!</v>
      </c>
      <c r="M1090" s="36" t="s">
        <v>4781</v>
      </c>
    </row>
    <row r="1091" spans="1:13" hidden="1" x14ac:dyDescent="0.25">
      <c r="A1091" s="49">
        <f t="shared" si="17"/>
        <v>1089</v>
      </c>
      <c r="B1091" s="36" t="s">
        <v>3298</v>
      </c>
      <c r="C1091" s="36" t="s">
        <v>6222</v>
      </c>
      <c r="D1091" s="9" t="s">
        <v>5294</v>
      </c>
      <c r="E1091" s="9" t="s">
        <v>6325</v>
      </c>
      <c r="G1091" s="36" t="s">
        <v>15</v>
      </c>
      <c r="I1091" s="36" t="s">
        <v>5293</v>
      </c>
      <c r="J1091" s="36" t="s">
        <v>17</v>
      </c>
      <c r="K1091" s="36" t="s">
        <v>6404</v>
      </c>
      <c r="L1091" s="36" t="e">
        <f>VLOOKUP(Table2[[#This Row],[Node]],#REF!,2,0)=Table2[[#This Row],[Name]]</f>
        <v>#REF!</v>
      </c>
      <c r="M1091" s="36" t="s">
        <v>4781</v>
      </c>
    </row>
    <row r="1092" spans="1:13" hidden="1" x14ac:dyDescent="0.25">
      <c r="A1092" s="49">
        <f t="shared" si="17"/>
        <v>1090</v>
      </c>
      <c r="B1092" s="36" t="s">
        <v>3298</v>
      </c>
      <c r="C1092" s="36" t="s">
        <v>6222</v>
      </c>
      <c r="D1092" s="9" t="s">
        <v>5297</v>
      </c>
      <c r="E1092" s="9" t="s">
        <v>6326</v>
      </c>
      <c r="G1092" s="36" t="s">
        <v>15</v>
      </c>
      <c r="I1092" s="36" t="s">
        <v>5293</v>
      </c>
      <c r="J1092" s="36" t="s">
        <v>17</v>
      </c>
      <c r="K1092" s="36" t="s">
        <v>6404</v>
      </c>
      <c r="L1092" s="36" t="e">
        <f>VLOOKUP(Table2[[#This Row],[Node]],#REF!,2,0)=Table2[[#This Row],[Name]]</f>
        <v>#REF!</v>
      </c>
      <c r="M1092" s="36" t="s">
        <v>4781</v>
      </c>
    </row>
    <row r="1093" spans="1:13" hidden="1" x14ac:dyDescent="0.25">
      <c r="A1093" s="49">
        <f t="shared" si="17"/>
        <v>1091</v>
      </c>
      <c r="B1093" s="36" t="s">
        <v>3298</v>
      </c>
      <c r="C1093" s="36" t="s">
        <v>6222</v>
      </c>
      <c r="D1093" s="9" t="s">
        <v>5296</v>
      </c>
      <c r="E1093" s="9" t="s">
        <v>6326</v>
      </c>
      <c r="G1093" s="36" t="s">
        <v>15</v>
      </c>
      <c r="I1093" s="36" t="s">
        <v>5293</v>
      </c>
      <c r="J1093" s="36" t="s">
        <v>17</v>
      </c>
      <c r="K1093" s="36" t="s">
        <v>6404</v>
      </c>
      <c r="L1093" s="36" t="e">
        <f>VLOOKUP(Table2[[#This Row],[Node]],#REF!,2,0)=Table2[[#This Row],[Name]]</f>
        <v>#REF!</v>
      </c>
      <c r="M1093" s="36" t="s">
        <v>4781</v>
      </c>
    </row>
    <row r="1094" spans="1:13" hidden="1" x14ac:dyDescent="0.25">
      <c r="A1094" s="49">
        <f t="shared" si="17"/>
        <v>1092</v>
      </c>
      <c r="B1094" s="36" t="s">
        <v>3298</v>
      </c>
      <c r="C1094" s="36" t="s">
        <v>6222</v>
      </c>
      <c r="D1094" s="9" t="s">
        <v>5700</v>
      </c>
      <c r="E1094" s="9" t="s">
        <v>6327</v>
      </c>
      <c r="G1094" s="36" t="s">
        <v>15</v>
      </c>
      <c r="I1094" s="36" t="s">
        <v>5293</v>
      </c>
      <c r="J1094" s="36" t="s">
        <v>17</v>
      </c>
      <c r="K1094" s="36" t="s">
        <v>6404</v>
      </c>
      <c r="L1094" s="36" t="e">
        <f>VLOOKUP(Table2[[#This Row],[Node]],#REF!,2,0)=Table2[[#This Row],[Name]]</f>
        <v>#REF!</v>
      </c>
      <c r="M1094" s="36" t="s">
        <v>4781</v>
      </c>
    </row>
    <row r="1095" spans="1:13" hidden="1" x14ac:dyDescent="0.25">
      <c r="A1095" s="49">
        <f t="shared" si="17"/>
        <v>1093</v>
      </c>
      <c r="B1095" s="36" t="s">
        <v>3298</v>
      </c>
      <c r="C1095" s="36" t="s">
        <v>6222</v>
      </c>
      <c r="D1095" s="9" t="s">
        <v>5703</v>
      </c>
      <c r="E1095" s="9" t="s">
        <v>6327</v>
      </c>
      <c r="G1095" s="36" t="s">
        <v>15</v>
      </c>
      <c r="I1095" s="36" t="s">
        <v>5293</v>
      </c>
      <c r="J1095" s="36" t="s">
        <v>17</v>
      </c>
      <c r="K1095" s="36" t="s">
        <v>6404</v>
      </c>
      <c r="L1095" s="36" t="e">
        <f>VLOOKUP(Table2[[#This Row],[Node]],#REF!,2,0)=Table2[[#This Row],[Name]]</f>
        <v>#REF!</v>
      </c>
      <c r="M1095" s="36" t="s">
        <v>4781</v>
      </c>
    </row>
    <row r="1096" spans="1:13" hidden="1" x14ac:dyDescent="0.25">
      <c r="A1096" s="49">
        <f t="shared" si="17"/>
        <v>1094</v>
      </c>
      <c r="B1096" s="36" t="s">
        <v>3298</v>
      </c>
      <c r="C1096" s="36" t="s">
        <v>6222</v>
      </c>
      <c r="D1096" s="9" t="s">
        <v>6328</v>
      </c>
      <c r="E1096" s="9" t="s">
        <v>6329</v>
      </c>
      <c r="G1096" s="36" t="s">
        <v>15</v>
      </c>
      <c r="I1096" s="36" t="s">
        <v>5293</v>
      </c>
      <c r="J1096" s="36" t="s">
        <v>17</v>
      </c>
      <c r="K1096" s="36" t="s">
        <v>6404</v>
      </c>
      <c r="L1096" s="36" t="e">
        <f>VLOOKUP(Table2[[#This Row],[Node]],#REF!,2,0)=Table2[[#This Row],[Name]]</f>
        <v>#REF!</v>
      </c>
      <c r="M1096" s="36" t="s">
        <v>4781</v>
      </c>
    </row>
    <row r="1097" spans="1:13" hidden="1" x14ac:dyDescent="0.25">
      <c r="A1097" s="49">
        <f t="shared" si="17"/>
        <v>1095</v>
      </c>
      <c r="B1097" s="36" t="s">
        <v>3298</v>
      </c>
      <c r="C1097" s="36" t="s">
        <v>6222</v>
      </c>
      <c r="D1097" s="9" t="s">
        <v>6330</v>
      </c>
      <c r="E1097" s="9" t="s">
        <v>6331</v>
      </c>
      <c r="G1097" s="36" t="s">
        <v>15</v>
      </c>
      <c r="I1097" s="36" t="s">
        <v>5293</v>
      </c>
      <c r="J1097" s="36" t="s">
        <v>17</v>
      </c>
      <c r="K1097" s="36" t="s">
        <v>6404</v>
      </c>
      <c r="L1097" s="36" t="e">
        <f>VLOOKUP(Table2[[#This Row],[Node]],#REF!,2,0)=Table2[[#This Row],[Name]]</f>
        <v>#REF!</v>
      </c>
      <c r="M1097" s="36" t="s">
        <v>4781</v>
      </c>
    </row>
    <row r="1098" spans="1:13" hidden="1" x14ac:dyDescent="0.25">
      <c r="A1098" s="49">
        <f t="shared" si="17"/>
        <v>1096</v>
      </c>
      <c r="B1098" s="36" t="s">
        <v>3298</v>
      </c>
      <c r="C1098" s="36" t="s">
        <v>6222</v>
      </c>
      <c r="D1098" s="9" t="s">
        <v>3337</v>
      </c>
      <c r="E1098" s="9" t="s">
        <v>6332</v>
      </c>
      <c r="G1098" s="36" t="s">
        <v>15</v>
      </c>
      <c r="I1098" s="36" t="s">
        <v>5293</v>
      </c>
      <c r="J1098" s="36" t="s">
        <v>17</v>
      </c>
      <c r="K1098" s="36" t="s">
        <v>6404</v>
      </c>
      <c r="L1098" s="36" t="e">
        <f>VLOOKUP(Table2[[#This Row],[Node]],#REF!,2,0)=Table2[[#This Row],[Name]]</f>
        <v>#REF!</v>
      </c>
      <c r="M1098" s="36" t="s">
        <v>4781</v>
      </c>
    </row>
    <row r="1099" spans="1:13" hidden="1" x14ac:dyDescent="0.25">
      <c r="A1099" s="49">
        <f t="shared" si="17"/>
        <v>1097</v>
      </c>
      <c r="B1099" s="36" t="s">
        <v>3298</v>
      </c>
      <c r="C1099" s="36" t="s">
        <v>6222</v>
      </c>
      <c r="D1099" s="9" t="s">
        <v>3336</v>
      </c>
      <c r="E1099" s="9" t="s">
        <v>6331</v>
      </c>
      <c r="G1099" s="36" t="s">
        <v>15</v>
      </c>
      <c r="I1099" s="36" t="s">
        <v>5293</v>
      </c>
      <c r="J1099" s="36" t="s">
        <v>17</v>
      </c>
      <c r="K1099" s="36" t="s">
        <v>6404</v>
      </c>
      <c r="L1099" s="36" t="e">
        <f>VLOOKUP(Table2[[#This Row],[Node]],#REF!,2,0)=Table2[[#This Row],[Name]]</f>
        <v>#REF!</v>
      </c>
      <c r="M1099" s="36" t="s">
        <v>4781</v>
      </c>
    </row>
    <row r="1100" spans="1:13" hidden="1" x14ac:dyDescent="0.25">
      <c r="A1100" s="49">
        <f t="shared" si="17"/>
        <v>1098</v>
      </c>
      <c r="B1100" s="36" t="s">
        <v>3298</v>
      </c>
      <c r="C1100" s="36" t="s">
        <v>6222</v>
      </c>
      <c r="D1100" s="9" t="s">
        <v>3718</v>
      </c>
      <c r="E1100" s="9" t="s">
        <v>6333</v>
      </c>
      <c r="G1100" s="36" t="s">
        <v>15</v>
      </c>
      <c r="I1100" s="36" t="s">
        <v>5293</v>
      </c>
      <c r="J1100" s="36" t="s">
        <v>17</v>
      </c>
      <c r="K1100" s="36" t="s">
        <v>6404</v>
      </c>
      <c r="L1100" s="36" t="e">
        <f>VLOOKUP(Table2[[#This Row],[Node]],#REF!,2,0)=Table2[[#This Row],[Name]]</f>
        <v>#REF!</v>
      </c>
      <c r="M1100" s="36" t="s">
        <v>4781</v>
      </c>
    </row>
    <row r="1101" spans="1:13" hidden="1" x14ac:dyDescent="0.25">
      <c r="A1101" s="49">
        <f t="shared" si="17"/>
        <v>1099</v>
      </c>
      <c r="B1101" s="36" t="s">
        <v>3298</v>
      </c>
      <c r="C1101" s="36" t="s">
        <v>6222</v>
      </c>
      <c r="D1101" s="9" t="s">
        <v>3716</v>
      </c>
      <c r="E1101" s="9" t="s">
        <v>6329</v>
      </c>
      <c r="G1101" s="36" t="s">
        <v>15</v>
      </c>
      <c r="I1101" s="36" t="s">
        <v>5293</v>
      </c>
      <c r="J1101" s="36" t="s">
        <v>17</v>
      </c>
      <c r="K1101" s="36" t="s">
        <v>6404</v>
      </c>
      <c r="L1101" s="36" t="e">
        <f>VLOOKUP(Table2[[#This Row],[Node]],#REF!,2,0)=Table2[[#This Row],[Name]]</f>
        <v>#REF!</v>
      </c>
      <c r="M1101" s="36" t="s">
        <v>4781</v>
      </c>
    </row>
    <row r="1102" spans="1:13" hidden="1" x14ac:dyDescent="0.25">
      <c r="A1102" s="49">
        <f t="shared" si="17"/>
        <v>1100</v>
      </c>
      <c r="B1102" s="36" t="s">
        <v>3298</v>
      </c>
      <c r="C1102" s="36" t="s">
        <v>6222</v>
      </c>
      <c r="D1102" s="9" t="s">
        <v>3840</v>
      </c>
      <c r="E1102" s="9" t="s">
        <v>6334</v>
      </c>
      <c r="G1102" s="36" t="s">
        <v>15</v>
      </c>
      <c r="I1102" s="36" t="s">
        <v>5293</v>
      </c>
      <c r="J1102" s="36" t="s">
        <v>17</v>
      </c>
      <c r="K1102" s="36" t="s">
        <v>6404</v>
      </c>
      <c r="L1102" s="36" t="e">
        <f>VLOOKUP(Table2[[#This Row],[Node]],#REF!,2,0)=Table2[[#This Row],[Name]]</f>
        <v>#REF!</v>
      </c>
      <c r="M1102" s="36" t="s">
        <v>4781</v>
      </c>
    </row>
    <row r="1103" spans="1:13" x14ac:dyDescent="0.25">
      <c r="A1103" s="49">
        <f t="shared" si="17"/>
        <v>1101</v>
      </c>
      <c r="B1103" s="36" t="s">
        <v>3298</v>
      </c>
      <c r="C1103" s="36" t="s">
        <v>6222</v>
      </c>
      <c r="D1103" s="9" t="s">
        <v>6335</v>
      </c>
      <c r="E1103" s="9" t="s">
        <v>6336</v>
      </c>
      <c r="G1103" s="36" t="s">
        <v>15</v>
      </c>
      <c r="J1103" s="36" t="s">
        <v>17</v>
      </c>
      <c r="K1103" s="36" t="s">
        <v>6404</v>
      </c>
      <c r="L1103" s="36"/>
      <c r="M1103" s="36" t="s">
        <v>4781</v>
      </c>
    </row>
    <row r="1104" spans="1:13" hidden="1" x14ac:dyDescent="0.25">
      <c r="A1104" s="49">
        <f t="shared" si="17"/>
        <v>1102</v>
      </c>
      <c r="B1104" s="36" t="s">
        <v>3298</v>
      </c>
      <c r="C1104" s="36" t="s">
        <v>6222</v>
      </c>
      <c r="D1104" s="9" t="s">
        <v>5791</v>
      </c>
      <c r="E1104" s="9" t="s">
        <v>6336</v>
      </c>
      <c r="G1104" s="36" t="s">
        <v>15</v>
      </c>
      <c r="I1104" s="36" t="s">
        <v>5293</v>
      </c>
      <c r="J1104" s="36" t="s">
        <v>17</v>
      </c>
      <c r="K1104" s="36" t="s">
        <v>6404</v>
      </c>
      <c r="L1104" s="36" t="e">
        <f>VLOOKUP(Table2[[#This Row],[Node]],#REF!,2,0)=Table2[[#This Row],[Name]]</f>
        <v>#REF!</v>
      </c>
      <c r="M1104" s="36" t="s">
        <v>4781</v>
      </c>
    </row>
    <row r="1105" spans="1:13" hidden="1" x14ac:dyDescent="0.25">
      <c r="A1105" s="49">
        <f t="shared" si="17"/>
        <v>1103</v>
      </c>
      <c r="B1105" s="36" t="s">
        <v>3298</v>
      </c>
      <c r="C1105" s="36" t="s">
        <v>6222</v>
      </c>
      <c r="D1105" s="9" t="s">
        <v>5705</v>
      </c>
      <c r="E1105" s="9" t="s">
        <v>6337</v>
      </c>
      <c r="G1105" s="36" t="s">
        <v>15</v>
      </c>
      <c r="I1105" s="36" t="s">
        <v>5293</v>
      </c>
      <c r="J1105" s="36" t="s">
        <v>17</v>
      </c>
      <c r="K1105" s="36" t="s">
        <v>6404</v>
      </c>
      <c r="L1105" s="36" t="e">
        <f>VLOOKUP(Table2[[#This Row],[Node]],#REF!,2,0)=Table2[[#This Row],[Name]]</f>
        <v>#REF!</v>
      </c>
      <c r="M1105" s="36" t="s">
        <v>4781</v>
      </c>
    </row>
    <row r="1106" spans="1:13" hidden="1" x14ac:dyDescent="0.25">
      <c r="A1106" s="49">
        <f t="shared" si="17"/>
        <v>1104</v>
      </c>
      <c r="B1106" s="36" t="s">
        <v>3298</v>
      </c>
      <c r="C1106" s="36" t="s">
        <v>6222</v>
      </c>
      <c r="D1106" s="9" t="s">
        <v>5704</v>
      </c>
      <c r="E1106" s="9" t="s">
        <v>6336</v>
      </c>
      <c r="G1106" s="36" t="s">
        <v>15</v>
      </c>
      <c r="I1106" s="36" t="s">
        <v>5293</v>
      </c>
      <c r="J1106" s="36" t="s">
        <v>17</v>
      </c>
      <c r="K1106" s="36" t="s">
        <v>6404</v>
      </c>
      <c r="L1106" s="36" t="e">
        <f>VLOOKUP(Table2[[#This Row],[Node]],#REF!,2,0)=Table2[[#This Row],[Name]]</f>
        <v>#REF!</v>
      </c>
      <c r="M1106" s="36" t="s">
        <v>4781</v>
      </c>
    </row>
    <row r="1107" spans="1:13" hidden="1" x14ac:dyDescent="0.25">
      <c r="A1107" s="49">
        <f t="shared" si="17"/>
        <v>1105</v>
      </c>
      <c r="B1107" s="36" t="s">
        <v>3298</v>
      </c>
      <c r="C1107" s="36" t="s">
        <v>6222</v>
      </c>
      <c r="D1107" s="9" t="s">
        <v>5707</v>
      </c>
      <c r="E1107" s="9" t="s">
        <v>6338</v>
      </c>
      <c r="G1107" s="36" t="s">
        <v>15</v>
      </c>
      <c r="I1107" s="36" t="s">
        <v>5293</v>
      </c>
      <c r="J1107" s="36" t="s">
        <v>17</v>
      </c>
      <c r="K1107" s="36" t="s">
        <v>6404</v>
      </c>
      <c r="L1107" s="36" t="e">
        <f>VLOOKUP(Table2[[#This Row],[Node]],#REF!,2,0)=Table2[[#This Row],[Name]]</f>
        <v>#REF!</v>
      </c>
      <c r="M1107" s="36" t="s">
        <v>4781</v>
      </c>
    </row>
    <row r="1108" spans="1:13" hidden="1" x14ac:dyDescent="0.25">
      <c r="A1108" s="49">
        <f t="shared" si="17"/>
        <v>1106</v>
      </c>
      <c r="B1108" s="36" t="s">
        <v>3298</v>
      </c>
      <c r="C1108" s="36" t="s">
        <v>6222</v>
      </c>
      <c r="D1108" s="9" t="s">
        <v>5706</v>
      </c>
      <c r="E1108" s="9" t="s">
        <v>6338</v>
      </c>
      <c r="G1108" s="36" t="s">
        <v>15</v>
      </c>
      <c r="I1108" s="36" t="s">
        <v>5293</v>
      </c>
      <c r="J1108" s="36" t="s">
        <v>17</v>
      </c>
      <c r="K1108" s="36" t="s">
        <v>6404</v>
      </c>
      <c r="L1108" s="36" t="e">
        <f>VLOOKUP(Table2[[#This Row],[Node]],#REF!,2,0)=Table2[[#This Row],[Name]]</f>
        <v>#REF!</v>
      </c>
      <c r="M1108" s="36" t="s">
        <v>4781</v>
      </c>
    </row>
    <row r="1109" spans="1:13" hidden="1" x14ac:dyDescent="0.25">
      <c r="A1109" s="49">
        <f t="shared" si="17"/>
        <v>1107</v>
      </c>
      <c r="B1109" s="36" t="s">
        <v>3298</v>
      </c>
      <c r="C1109" s="36" t="s">
        <v>6222</v>
      </c>
      <c r="D1109" s="9" t="s">
        <v>5709</v>
      </c>
      <c r="E1109" s="9" t="s">
        <v>6339</v>
      </c>
      <c r="G1109" s="36" t="s">
        <v>15</v>
      </c>
      <c r="I1109" s="36" t="s">
        <v>5293</v>
      </c>
      <c r="J1109" s="36" t="s">
        <v>17</v>
      </c>
      <c r="K1109" s="36" t="s">
        <v>6404</v>
      </c>
      <c r="L1109" s="36" t="e">
        <f>VLOOKUP(Table2[[#This Row],[Node]],#REF!,2,0)=Table2[[#This Row],[Name]]</f>
        <v>#REF!</v>
      </c>
      <c r="M1109" s="36" t="s">
        <v>4781</v>
      </c>
    </row>
    <row r="1110" spans="1:13" hidden="1" x14ac:dyDescent="0.25">
      <c r="A1110" s="49">
        <f t="shared" si="17"/>
        <v>1108</v>
      </c>
      <c r="B1110" s="36" t="s">
        <v>3298</v>
      </c>
      <c r="C1110" s="36" t="s">
        <v>6222</v>
      </c>
      <c r="D1110" s="9" t="s">
        <v>5708</v>
      </c>
      <c r="E1110" s="9" t="s">
        <v>6339</v>
      </c>
      <c r="G1110" s="36" t="s">
        <v>15</v>
      </c>
      <c r="I1110" s="36" t="s">
        <v>5293</v>
      </c>
      <c r="J1110" s="36" t="s">
        <v>17</v>
      </c>
      <c r="K1110" s="36" t="s">
        <v>6404</v>
      </c>
      <c r="L1110" s="36" t="e">
        <f>VLOOKUP(Table2[[#This Row],[Node]],#REF!,2,0)=Table2[[#This Row],[Name]]</f>
        <v>#REF!</v>
      </c>
      <c r="M1110" s="36" t="s">
        <v>4781</v>
      </c>
    </row>
    <row r="1111" spans="1:13" hidden="1" x14ac:dyDescent="0.25">
      <c r="A1111" s="49">
        <f t="shared" si="17"/>
        <v>1109</v>
      </c>
      <c r="B1111" s="36" t="s">
        <v>3298</v>
      </c>
      <c r="C1111" s="36" t="s">
        <v>6222</v>
      </c>
      <c r="D1111" s="9" t="s">
        <v>5711</v>
      </c>
      <c r="E1111" s="9" t="s">
        <v>6340</v>
      </c>
      <c r="G1111" s="36" t="s">
        <v>15</v>
      </c>
      <c r="I1111" s="36" t="s">
        <v>5293</v>
      </c>
      <c r="J1111" s="36" t="s">
        <v>17</v>
      </c>
      <c r="K1111" s="36" t="s">
        <v>6404</v>
      </c>
      <c r="L1111" s="36" t="e">
        <f>VLOOKUP(Table2[[#This Row],[Node]],#REF!,2,0)=Table2[[#This Row],[Name]]</f>
        <v>#REF!</v>
      </c>
      <c r="M1111" s="36" t="s">
        <v>4781</v>
      </c>
    </row>
    <row r="1112" spans="1:13" hidden="1" x14ac:dyDescent="0.25">
      <c r="A1112" s="49">
        <f t="shared" si="17"/>
        <v>1110</v>
      </c>
      <c r="B1112" s="36" t="s">
        <v>3298</v>
      </c>
      <c r="C1112" s="36" t="s">
        <v>6222</v>
      </c>
      <c r="D1112" s="9" t="s">
        <v>5710</v>
      </c>
      <c r="E1112" s="9" t="s">
        <v>6340</v>
      </c>
      <c r="G1112" s="36" t="s">
        <v>15</v>
      </c>
      <c r="I1112" s="36" t="s">
        <v>5293</v>
      </c>
      <c r="J1112" s="36" t="s">
        <v>17</v>
      </c>
      <c r="K1112" s="36" t="s">
        <v>6404</v>
      </c>
      <c r="L1112" s="36" t="e">
        <f>VLOOKUP(Table2[[#This Row],[Node]],#REF!,2,0)=Table2[[#This Row],[Name]]</f>
        <v>#REF!</v>
      </c>
      <c r="M1112" s="36" t="s">
        <v>4781</v>
      </c>
    </row>
    <row r="1113" spans="1:13" hidden="1" x14ac:dyDescent="0.25">
      <c r="A1113" s="49">
        <f t="shared" si="17"/>
        <v>1111</v>
      </c>
      <c r="B1113" s="36" t="s">
        <v>3298</v>
      </c>
      <c r="C1113" s="36" t="s">
        <v>6222</v>
      </c>
      <c r="D1113" s="9" t="s">
        <v>5713</v>
      </c>
      <c r="E1113" s="9" t="s">
        <v>6341</v>
      </c>
      <c r="G1113" s="36" t="s">
        <v>15</v>
      </c>
      <c r="I1113" s="36" t="s">
        <v>5293</v>
      </c>
      <c r="J1113" s="36" t="s">
        <v>17</v>
      </c>
      <c r="K1113" s="36" t="s">
        <v>6404</v>
      </c>
      <c r="L1113" s="36" t="e">
        <f>VLOOKUP(Table2[[#This Row],[Node]],#REF!,2,0)=Table2[[#This Row],[Name]]</f>
        <v>#REF!</v>
      </c>
      <c r="M1113" s="36" t="s">
        <v>4781</v>
      </c>
    </row>
    <row r="1114" spans="1:13" hidden="1" x14ac:dyDescent="0.25">
      <c r="A1114" s="49">
        <f t="shared" si="17"/>
        <v>1112</v>
      </c>
      <c r="B1114" s="36" t="s">
        <v>3298</v>
      </c>
      <c r="C1114" s="36" t="s">
        <v>6222</v>
      </c>
      <c r="D1114" s="9" t="s">
        <v>5712</v>
      </c>
      <c r="E1114" s="9" t="s">
        <v>6341</v>
      </c>
      <c r="G1114" s="36" t="s">
        <v>15</v>
      </c>
      <c r="I1114" s="36" t="s">
        <v>5293</v>
      </c>
      <c r="J1114" s="36" t="s">
        <v>17</v>
      </c>
      <c r="K1114" s="36" t="s">
        <v>6404</v>
      </c>
      <c r="L1114" s="36" t="e">
        <f>VLOOKUP(Table2[[#This Row],[Node]],#REF!,2,0)=Table2[[#This Row],[Name]]</f>
        <v>#REF!</v>
      </c>
      <c r="M1114" s="36" t="s">
        <v>4781</v>
      </c>
    </row>
    <row r="1115" spans="1:13" hidden="1" x14ac:dyDescent="0.25">
      <c r="A1115" s="49">
        <f t="shared" si="17"/>
        <v>1113</v>
      </c>
      <c r="B1115" s="36" t="s">
        <v>3298</v>
      </c>
      <c r="C1115" s="36" t="s">
        <v>6222</v>
      </c>
      <c r="D1115" s="9" t="s">
        <v>5717</v>
      </c>
      <c r="E1115" s="9" t="s">
        <v>6342</v>
      </c>
      <c r="G1115" s="36" t="s">
        <v>15</v>
      </c>
      <c r="I1115" s="36" t="s">
        <v>5293</v>
      </c>
      <c r="J1115" s="36" t="s">
        <v>17</v>
      </c>
      <c r="K1115" s="36" t="s">
        <v>6404</v>
      </c>
      <c r="L1115" s="36" t="e">
        <f>VLOOKUP(Table2[[#This Row],[Node]],#REF!,2,0)=Table2[[#This Row],[Name]]</f>
        <v>#REF!</v>
      </c>
      <c r="M1115" s="36" t="s">
        <v>4781</v>
      </c>
    </row>
    <row r="1116" spans="1:13" hidden="1" x14ac:dyDescent="0.25">
      <c r="A1116" s="49">
        <f t="shared" si="17"/>
        <v>1114</v>
      </c>
      <c r="B1116" s="36" t="s">
        <v>3298</v>
      </c>
      <c r="C1116" s="36" t="s">
        <v>6222</v>
      </c>
      <c r="D1116" s="9" t="s">
        <v>5716</v>
      </c>
      <c r="E1116" s="9" t="s">
        <v>6342</v>
      </c>
      <c r="G1116" s="36" t="s">
        <v>15</v>
      </c>
      <c r="I1116" s="36" t="s">
        <v>5293</v>
      </c>
      <c r="J1116" s="36" t="s">
        <v>17</v>
      </c>
      <c r="K1116" s="36" t="s">
        <v>6404</v>
      </c>
      <c r="L1116" s="36" t="e">
        <f>VLOOKUP(Table2[[#This Row],[Node]],#REF!,2,0)=Table2[[#This Row],[Name]]</f>
        <v>#REF!</v>
      </c>
      <c r="M1116" s="36" t="s">
        <v>4781</v>
      </c>
    </row>
    <row r="1117" spans="1:13" hidden="1" x14ac:dyDescent="0.25">
      <c r="A1117" s="49">
        <f t="shared" si="17"/>
        <v>1115</v>
      </c>
      <c r="B1117" s="36" t="s">
        <v>3298</v>
      </c>
      <c r="C1117" s="36" t="s">
        <v>6222</v>
      </c>
      <c r="D1117" s="9" t="s">
        <v>5721</v>
      </c>
      <c r="E1117" s="9" t="s">
        <v>6343</v>
      </c>
      <c r="G1117" s="36" t="s">
        <v>15</v>
      </c>
      <c r="I1117" s="36" t="s">
        <v>5293</v>
      </c>
      <c r="J1117" s="36" t="s">
        <v>17</v>
      </c>
      <c r="K1117" s="36" t="s">
        <v>6404</v>
      </c>
      <c r="L1117" s="36" t="e">
        <f>VLOOKUP(Table2[[#This Row],[Node]],#REF!,2,0)=Table2[[#This Row],[Name]]</f>
        <v>#REF!</v>
      </c>
      <c r="M1117" s="36" t="s">
        <v>4781</v>
      </c>
    </row>
    <row r="1118" spans="1:13" hidden="1" x14ac:dyDescent="0.25">
      <c r="A1118" s="49">
        <f t="shared" si="17"/>
        <v>1116</v>
      </c>
      <c r="B1118" s="36" t="s">
        <v>3298</v>
      </c>
      <c r="C1118" s="36" t="s">
        <v>6222</v>
      </c>
      <c r="D1118" s="9" t="s">
        <v>5720</v>
      </c>
      <c r="E1118" s="9" t="s">
        <v>6343</v>
      </c>
      <c r="G1118" s="36" t="s">
        <v>15</v>
      </c>
      <c r="I1118" s="36" t="s">
        <v>5293</v>
      </c>
      <c r="J1118" s="36" t="s">
        <v>17</v>
      </c>
      <c r="K1118" s="36" t="s">
        <v>6404</v>
      </c>
      <c r="L1118" s="36" t="e">
        <f>VLOOKUP(Table2[[#This Row],[Node]],#REF!,2,0)=Table2[[#This Row],[Name]]</f>
        <v>#REF!</v>
      </c>
      <c r="M1118" s="36" t="s">
        <v>4781</v>
      </c>
    </row>
    <row r="1119" spans="1:13" hidden="1" x14ac:dyDescent="0.25">
      <c r="A1119" s="49">
        <f t="shared" si="17"/>
        <v>1117</v>
      </c>
      <c r="B1119" s="36" t="s">
        <v>3298</v>
      </c>
      <c r="C1119" s="36" t="s">
        <v>6222</v>
      </c>
      <c r="D1119" s="9" t="s">
        <v>5723</v>
      </c>
      <c r="E1119" s="9" t="s">
        <v>6344</v>
      </c>
      <c r="G1119" s="36" t="s">
        <v>15</v>
      </c>
      <c r="I1119" s="36" t="s">
        <v>5293</v>
      </c>
      <c r="J1119" s="36" t="s">
        <v>17</v>
      </c>
      <c r="K1119" s="36" t="s">
        <v>6404</v>
      </c>
      <c r="L1119" s="36" t="e">
        <f>VLOOKUP(Table2[[#This Row],[Node]],#REF!,2,0)=Table2[[#This Row],[Name]]</f>
        <v>#REF!</v>
      </c>
      <c r="M1119" s="36" t="s">
        <v>4781</v>
      </c>
    </row>
    <row r="1120" spans="1:13" hidden="1" x14ac:dyDescent="0.25">
      <c r="A1120" s="49">
        <f t="shared" si="17"/>
        <v>1118</v>
      </c>
      <c r="B1120" s="36" t="s">
        <v>3298</v>
      </c>
      <c r="C1120" s="36" t="s">
        <v>6222</v>
      </c>
      <c r="D1120" s="9" t="s">
        <v>5722</v>
      </c>
      <c r="E1120" s="9" t="s">
        <v>6344</v>
      </c>
      <c r="G1120" s="36" t="s">
        <v>15</v>
      </c>
      <c r="I1120" s="36" t="s">
        <v>5293</v>
      </c>
      <c r="J1120" s="36" t="s">
        <v>17</v>
      </c>
      <c r="K1120" s="36" t="s">
        <v>6404</v>
      </c>
      <c r="L1120" s="36" t="e">
        <f>VLOOKUP(Table2[[#This Row],[Node]],#REF!,2,0)=Table2[[#This Row],[Name]]</f>
        <v>#REF!</v>
      </c>
      <c r="M1120" s="36" t="s">
        <v>4781</v>
      </c>
    </row>
    <row r="1121" spans="1:13" hidden="1" x14ac:dyDescent="0.25">
      <c r="A1121" s="49">
        <f t="shared" ref="A1121:A1184" si="18">1+A1120</f>
        <v>1119</v>
      </c>
      <c r="B1121" s="36" t="s">
        <v>3298</v>
      </c>
      <c r="C1121" s="36" t="s">
        <v>6222</v>
      </c>
      <c r="D1121" s="9" t="s">
        <v>5513</v>
      </c>
      <c r="E1121" s="9" t="s">
        <v>6345</v>
      </c>
      <c r="G1121" s="36" t="s">
        <v>15</v>
      </c>
      <c r="I1121" s="36" t="s">
        <v>5293</v>
      </c>
      <c r="J1121" s="36" t="s">
        <v>17</v>
      </c>
      <c r="K1121" s="36" t="s">
        <v>6404</v>
      </c>
      <c r="L1121" s="36" t="e">
        <f>VLOOKUP(Table2[[#This Row],[Node]],#REF!,2,0)=Table2[[#This Row],[Name]]</f>
        <v>#REF!</v>
      </c>
      <c r="M1121" s="36" t="s">
        <v>4781</v>
      </c>
    </row>
    <row r="1122" spans="1:13" hidden="1" x14ac:dyDescent="0.25">
      <c r="A1122" s="49">
        <f t="shared" si="18"/>
        <v>1120</v>
      </c>
      <c r="B1122" s="36" t="s">
        <v>3298</v>
      </c>
      <c r="C1122" s="36" t="s">
        <v>6222</v>
      </c>
      <c r="D1122" s="9" t="s">
        <v>6346</v>
      </c>
      <c r="E1122" s="9" t="s">
        <v>6347</v>
      </c>
      <c r="G1122" s="36" t="s">
        <v>15</v>
      </c>
      <c r="I1122" s="36" t="s">
        <v>5293</v>
      </c>
      <c r="J1122" s="36" t="s">
        <v>17</v>
      </c>
      <c r="K1122" s="36" t="s">
        <v>6404</v>
      </c>
      <c r="L1122" s="36" t="e">
        <f>VLOOKUP(Table2[[#This Row],[Node]],#REF!,2,0)=Table2[[#This Row],[Name]]</f>
        <v>#REF!</v>
      </c>
      <c r="M1122" s="36" t="s">
        <v>4781</v>
      </c>
    </row>
    <row r="1123" spans="1:13" hidden="1" x14ac:dyDescent="0.25">
      <c r="A1123" s="49">
        <f t="shared" si="18"/>
        <v>1121</v>
      </c>
      <c r="B1123" s="36" t="s">
        <v>3298</v>
      </c>
      <c r="C1123" s="36" t="s">
        <v>6222</v>
      </c>
      <c r="D1123" s="9" t="s">
        <v>6348</v>
      </c>
      <c r="E1123" s="9" t="s">
        <v>6349</v>
      </c>
      <c r="G1123" s="36" t="s">
        <v>15</v>
      </c>
      <c r="I1123" s="36" t="s">
        <v>5293</v>
      </c>
      <c r="J1123" s="36" t="s">
        <v>17</v>
      </c>
      <c r="K1123" s="36" t="s">
        <v>6404</v>
      </c>
      <c r="L1123" s="36" t="e">
        <f>VLOOKUP(Table2[[#This Row],[Node]],#REF!,2,0)=Table2[[#This Row],[Name]]</f>
        <v>#REF!</v>
      </c>
      <c r="M1123" s="36" t="s">
        <v>4781</v>
      </c>
    </row>
    <row r="1124" spans="1:13" hidden="1" x14ac:dyDescent="0.25">
      <c r="A1124" s="49">
        <f t="shared" si="18"/>
        <v>1122</v>
      </c>
      <c r="B1124" s="36" t="s">
        <v>3298</v>
      </c>
      <c r="C1124" s="36" t="s">
        <v>6222</v>
      </c>
      <c r="D1124" s="9" t="s">
        <v>6350</v>
      </c>
      <c r="E1124" s="9" t="s">
        <v>6351</v>
      </c>
      <c r="G1124" s="36" t="s">
        <v>15</v>
      </c>
      <c r="I1124" s="36" t="s">
        <v>5293</v>
      </c>
      <c r="J1124" s="36" t="s">
        <v>17</v>
      </c>
      <c r="K1124" s="36" t="s">
        <v>6404</v>
      </c>
      <c r="L1124" s="36" t="e">
        <f>VLOOKUP(Table2[[#This Row],[Node]],#REF!,2,0)=Table2[[#This Row],[Name]]</f>
        <v>#REF!</v>
      </c>
      <c r="M1124" s="36" t="s">
        <v>4781</v>
      </c>
    </row>
    <row r="1125" spans="1:13" hidden="1" x14ac:dyDescent="0.25">
      <c r="A1125" s="49">
        <f t="shared" si="18"/>
        <v>1123</v>
      </c>
      <c r="B1125" s="36" t="s">
        <v>3298</v>
      </c>
      <c r="C1125" s="36" t="s">
        <v>6222</v>
      </c>
      <c r="D1125" s="9" t="s">
        <v>6352</v>
      </c>
      <c r="E1125" s="9" t="s">
        <v>6353</v>
      </c>
      <c r="G1125" s="36" t="s">
        <v>15</v>
      </c>
      <c r="I1125" s="36" t="s">
        <v>5293</v>
      </c>
      <c r="J1125" s="36" t="s">
        <v>17</v>
      </c>
      <c r="K1125" s="36" t="s">
        <v>6404</v>
      </c>
      <c r="L1125" s="36" t="e">
        <f>VLOOKUP(Table2[[#This Row],[Node]],#REF!,2,0)=Table2[[#This Row],[Name]]</f>
        <v>#REF!</v>
      </c>
      <c r="M1125" s="36" t="s">
        <v>4781</v>
      </c>
    </row>
    <row r="1126" spans="1:13" hidden="1" x14ac:dyDescent="0.25">
      <c r="A1126" s="49">
        <f t="shared" si="18"/>
        <v>1124</v>
      </c>
      <c r="B1126" s="36" t="s">
        <v>3298</v>
      </c>
      <c r="C1126" s="36" t="s">
        <v>6222</v>
      </c>
      <c r="D1126" s="9" t="s">
        <v>6220</v>
      </c>
      <c r="E1126" s="9" t="s">
        <v>6217</v>
      </c>
      <c r="G1126" s="36" t="s">
        <v>15</v>
      </c>
      <c r="I1126" s="36" t="s">
        <v>5293</v>
      </c>
      <c r="J1126" s="36" t="s">
        <v>17</v>
      </c>
      <c r="K1126" s="36" t="s">
        <v>6404</v>
      </c>
      <c r="L1126" s="36" t="e">
        <f>VLOOKUP(Table2[[#This Row],[Node]],#REF!,2,0)=Table2[[#This Row],[Name]]</f>
        <v>#REF!</v>
      </c>
      <c r="M1126" s="36" t="s">
        <v>4781</v>
      </c>
    </row>
    <row r="1127" spans="1:13" hidden="1" x14ac:dyDescent="0.25">
      <c r="A1127" s="49">
        <f t="shared" si="18"/>
        <v>1125</v>
      </c>
      <c r="B1127" s="36" t="s">
        <v>3298</v>
      </c>
      <c r="C1127" s="36" t="s">
        <v>6222</v>
      </c>
      <c r="D1127" s="9" t="s">
        <v>6221</v>
      </c>
      <c r="E1127" s="9" t="s">
        <v>6218</v>
      </c>
      <c r="G1127" s="36" t="s">
        <v>15</v>
      </c>
      <c r="I1127" s="36" t="s">
        <v>5293</v>
      </c>
      <c r="J1127" s="36" t="s">
        <v>17</v>
      </c>
      <c r="K1127" s="36" t="s">
        <v>6404</v>
      </c>
      <c r="L1127" s="36" t="e">
        <f>VLOOKUP(Table2[[#This Row],[Node]],#REF!,2,0)=Table2[[#This Row],[Name]]</f>
        <v>#REF!</v>
      </c>
      <c r="M1127" s="36" t="s">
        <v>4781</v>
      </c>
    </row>
    <row r="1128" spans="1:13" x14ac:dyDescent="0.25">
      <c r="A1128" s="49">
        <f t="shared" si="18"/>
        <v>1126</v>
      </c>
      <c r="B1128" s="36" t="s">
        <v>3298</v>
      </c>
      <c r="C1128" s="36" t="s">
        <v>6222</v>
      </c>
      <c r="D1128" s="9" t="s">
        <v>6354</v>
      </c>
      <c r="E1128" s="9" t="s">
        <v>6355</v>
      </c>
      <c r="G1128" s="36" t="s">
        <v>15</v>
      </c>
      <c r="J1128" s="36" t="s">
        <v>17</v>
      </c>
      <c r="K1128" s="36" t="s">
        <v>6404</v>
      </c>
      <c r="L1128" s="36"/>
      <c r="M1128" s="36" t="s">
        <v>4781</v>
      </c>
    </row>
    <row r="1129" spans="1:13" hidden="1" x14ac:dyDescent="0.25">
      <c r="A1129" s="49">
        <f t="shared" si="18"/>
        <v>1127</v>
      </c>
      <c r="B1129" s="36" t="s">
        <v>3298</v>
      </c>
      <c r="C1129" s="36" t="s">
        <v>6222</v>
      </c>
      <c r="D1129" s="9" t="s">
        <v>1241</v>
      </c>
      <c r="E1129" s="9" t="s">
        <v>6216</v>
      </c>
      <c r="F1129" s="9" t="s">
        <v>5287</v>
      </c>
      <c r="G1129" s="9" t="s">
        <v>16</v>
      </c>
      <c r="I1129" s="36" t="s">
        <v>5293</v>
      </c>
      <c r="J1129" s="36" t="s">
        <v>17</v>
      </c>
      <c r="K1129" s="9" t="s">
        <v>6464</v>
      </c>
      <c r="L1129" s="36" t="e">
        <f>VLOOKUP(Table2[[#This Row],[Node]],#REF!,2,0)=Table2[[#This Row],[Parent]]</f>
        <v>#REF!</v>
      </c>
      <c r="M1129" s="36" t="s">
        <v>4781</v>
      </c>
    </row>
    <row r="1130" spans="1:13" hidden="1" x14ac:dyDescent="0.25">
      <c r="A1130" s="49">
        <f t="shared" si="18"/>
        <v>1128</v>
      </c>
      <c r="B1130" s="36" t="s">
        <v>3298</v>
      </c>
      <c r="C1130" s="36" t="s">
        <v>6222</v>
      </c>
      <c r="D1130" s="9" t="s">
        <v>6219</v>
      </c>
      <c r="E1130" s="9" t="s">
        <v>6356</v>
      </c>
      <c r="F1130" s="9" t="s">
        <v>5287</v>
      </c>
      <c r="G1130" s="36" t="s">
        <v>16</v>
      </c>
      <c r="I1130" s="36" t="s">
        <v>5293</v>
      </c>
      <c r="J1130" s="36" t="s">
        <v>17</v>
      </c>
      <c r="K1130" s="36" t="s">
        <v>6464</v>
      </c>
      <c r="L1130" s="36" t="e">
        <f>VLOOKUP(Table2[[#This Row],[Node]],#REF!,2,0)=Table2[[#This Row],[Parent]]</f>
        <v>#REF!</v>
      </c>
      <c r="M1130" s="36" t="s">
        <v>4781</v>
      </c>
    </row>
    <row r="1131" spans="1:13" hidden="1" x14ac:dyDescent="0.25">
      <c r="A1131" s="49">
        <f t="shared" si="18"/>
        <v>1129</v>
      </c>
      <c r="B1131" s="36" t="s">
        <v>3298</v>
      </c>
      <c r="C1131" s="36" t="s">
        <v>6222</v>
      </c>
      <c r="D1131" s="9" t="s">
        <v>3830</v>
      </c>
      <c r="E1131" s="9" t="s">
        <v>6334</v>
      </c>
      <c r="F1131" s="9" t="s">
        <v>5275</v>
      </c>
      <c r="G1131" s="36" t="s">
        <v>16</v>
      </c>
      <c r="I1131" s="36" t="s">
        <v>5293</v>
      </c>
      <c r="J1131" s="36" t="s">
        <v>17</v>
      </c>
      <c r="K1131" s="36" t="s">
        <v>6464</v>
      </c>
      <c r="L1131" s="36" t="e">
        <f>VLOOKUP(Table2[[#This Row],[Node]],#REF!,2,0)=Table2[[#This Row],[Parent]]</f>
        <v>#REF!</v>
      </c>
      <c r="M1131" s="36" t="s">
        <v>4781</v>
      </c>
    </row>
    <row r="1132" spans="1:13" hidden="1" x14ac:dyDescent="0.25">
      <c r="A1132" s="49">
        <f t="shared" si="18"/>
        <v>1130</v>
      </c>
      <c r="B1132" s="36" t="s">
        <v>3298</v>
      </c>
      <c r="C1132" s="36" t="s">
        <v>6222</v>
      </c>
      <c r="D1132" s="9" t="s">
        <v>3223</v>
      </c>
      <c r="E1132" s="9" t="s">
        <v>6224</v>
      </c>
      <c r="F1132" s="9" t="s">
        <v>5275</v>
      </c>
      <c r="G1132" s="36" t="s">
        <v>16</v>
      </c>
      <c r="I1132" s="36" t="s">
        <v>5293</v>
      </c>
      <c r="J1132" s="36" t="s">
        <v>17</v>
      </c>
      <c r="K1132" s="36" t="s">
        <v>6464</v>
      </c>
      <c r="L1132" s="36" t="e">
        <f>VLOOKUP(Table2[[#This Row],[Node]],#REF!,2,0)=Table2[[#This Row],[Parent]]</f>
        <v>#REF!</v>
      </c>
      <c r="M1132" s="36" t="s">
        <v>4781</v>
      </c>
    </row>
    <row r="1133" spans="1:13" hidden="1" x14ac:dyDescent="0.25">
      <c r="A1133" s="49">
        <f t="shared" si="18"/>
        <v>1131</v>
      </c>
      <c r="B1133" s="36" t="s">
        <v>3298</v>
      </c>
      <c r="C1133" s="36" t="s">
        <v>6222</v>
      </c>
      <c r="D1133" s="9" t="s">
        <v>5287</v>
      </c>
      <c r="E1133" s="9" t="s">
        <v>6357</v>
      </c>
      <c r="F1133" s="9" t="s">
        <v>5275</v>
      </c>
      <c r="G1133" s="36" t="s">
        <v>16</v>
      </c>
      <c r="I1133" s="36" t="s">
        <v>5293</v>
      </c>
      <c r="J1133" s="36" t="s">
        <v>17</v>
      </c>
      <c r="K1133" s="36" t="s">
        <v>6464</v>
      </c>
      <c r="L1133" s="36" t="e">
        <f>VLOOKUP(Table2[[#This Row],[Node]],#REF!,2,0)=Table2[[#This Row],[Parent]]</f>
        <v>#REF!</v>
      </c>
      <c r="M1133" s="36" t="s">
        <v>4781</v>
      </c>
    </row>
    <row r="1134" spans="1:13" hidden="1" x14ac:dyDescent="0.25">
      <c r="A1134" s="49">
        <f t="shared" si="18"/>
        <v>1132</v>
      </c>
      <c r="B1134" s="36" t="s">
        <v>3298</v>
      </c>
      <c r="C1134" s="36" t="s">
        <v>6222</v>
      </c>
      <c r="D1134" s="9" t="s">
        <v>5281</v>
      </c>
      <c r="E1134" s="9" t="s">
        <v>6358</v>
      </c>
      <c r="F1134" s="9" t="s">
        <v>5275</v>
      </c>
      <c r="G1134" s="36" t="s">
        <v>16</v>
      </c>
      <c r="I1134" s="36" t="s">
        <v>5293</v>
      </c>
      <c r="J1134" s="36" t="s">
        <v>17</v>
      </c>
      <c r="K1134" s="36" t="s">
        <v>6464</v>
      </c>
      <c r="L1134" s="36" t="e">
        <f>VLOOKUP(Table2[[#This Row],[Node]],#REF!,2,0)=Table2[[#This Row],[Parent]]</f>
        <v>#REF!</v>
      </c>
      <c r="M1134" s="36" t="s">
        <v>4781</v>
      </c>
    </row>
    <row r="1135" spans="1:13" hidden="1" x14ac:dyDescent="0.25">
      <c r="A1135" s="49">
        <f t="shared" si="18"/>
        <v>1133</v>
      </c>
      <c r="B1135" s="36" t="s">
        <v>3298</v>
      </c>
      <c r="C1135" s="36" t="s">
        <v>6222</v>
      </c>
      <c r="D1135" s="9" t="s">
        <v>3697</v>
      </c>
      <c r="F1135" s="9" t="s">
        <v>5275</v>
      </c>
      <c r="G1135" s="9" t="s">
        <v>13</v>
      </c>
      <c r="I1135" s="36" t="s">
        <v>5293</v>
      </c>
      <c r="J1135" s="36" t="s">
        <v>17</v>
      </c>
      <c r="K1135" s="36" t="s">
        <v>6464</v>
      </c>
      <c r="L1135" s="36" t="e">
        <f>VLOOKUP(Table2[[#This Row],[Node]],#REF!,2,0)=Table2[[#This Row],[Parent]]</f>
        <v>#REF!</v>
      </c>
      <c r="M1135" s="36" t="s">
        <v>4781</v>
      </c>
    </row>
    <row r="1136" spans="1:13" hidden="1" x14ac:dyDescent="0.25">
      <c r="A1136" s="49">
        <f t="shared" si="18"/>
        <v>1134</v>
      </c>
      <c r="B1136" s="36" t="s">
        <v>3298</v>
      </c>
      <c r="C1136" s="36" t="s">
        <v>6222</v>
      </c>
      <c r="D1136" s="9" t="s">
        <v>5277</v>
      </c>
      <c r="F1136" s="9" t="s">
        <v>278</v>
      </c>
      <c r="G1136" s="9" t="s">
        <v>12</v>
      </c>
      <c r="I1136" s="36" t="s">
        <v>5293</v>
      </c>
      <c r="J1136" s="36" t="s">
        <v>17</v>
      </c>
      <c r="K1136" s="36" t="s">
        <v>6464</v>
      </c>
      <c r="L1136" s="36" t="e">
        <f>VLOOKUP(Table2[[#This Row],[Node]],#REF!,2,0)=Table2[[#This Row],[Parent]]</f>
        <v>#REF!</v>
      </c>
      <c r="M1136" s="36" t="s">
        <v>4781</v>
      </c>
    </row>
    <row r="1137" spans="1:13" hidden="1" x14ac:dyDescent="0.25">
      <c r="A1137" s="49">
        <f t="shared" si="18"/>
        <v>1135</v>
      </c>
      <c r="B1137" s="36" t="s">
        <v>3298</v>
      </c>
      <c r="C1137" s="36" t="s">
        <v>6222</v>
      </c>
      <c r="D1137" s="9" t="s">
        <v>5279</v>
      </c>
      <c r="F1137" s="36" t="s">
        <v>278</v>
      </c>
      <c r="G1137" s="36" t="s">
        <v>12</v>
      </c>
      <c r="I1137" s="36" t="s">
        <v>5293</v>
      </c>
      <c r="J1137" s="36" t="s">
        <v>17</v>
      </c>
      <c r="K1137" s="36" t="s">
        <v>6464</v>
      </c>
      <c r="L1137" s="36" t="e">
        <f>VLOOKUP(Table2[[#This Row],[Node]],#REF!,2,0)=Table2[[#This Row],[Parent]]</f>
        <v>#REF!</v>
      </c>
      <c r="M1137" s="36" t="s">
        <v>4781</v>
      </c>
    </row>
    <row r="1138" spans="1:13" hidden="1" x14ac:dyDescent="0.25">
      <c r="A1138" s="49">
        <f t="shared" si="18"/>
        <v>1136</v>
      </c>
      <c r="B1138" s="36" t="s">
        <v>3298</v>
      </c>
      <c r="C1138" s="9" t="s">
        <v>6359</v>
      </c>
      <c r="D1138" s="9" t="s">
        <v>6360</v>
      </c>
      <c r="E1138" s="9" t="s">
        <v>6345</v>
      </c>
      <c r="F1138" s="9" t="s">
        <v>5513</v>
      </c>
      <c r="G1138" s="9" t="s">
        <v>14</v>
      </c>
      <c r="I1138" s="36" t="s">
        <v>5293</v>
      </c>
      <c r="J1138" s="36" t="s">
        <v>18</v>
      </c>
      <c r="K1138" s="36" t="s">
        <v>6403</v>
      </c>
      <c r="L1138" s="36"/>
      <c r="M1138" s="9" t="s">
        <v>6361</v>
      </c>
    </row>
    <row r="1139" spans="1:13" hidden="1" x14ac:dyDescent="0.25">
      <c r="A1139" s="49">
        <f t="shared" si="18"/>
        <v>1137</v>
      </c>
      <c r="B1139" s="36" t="s">
        <v>3298</v>
      </c>
      <c r="C1139" s="9" t="s">
        <v>6414</v>
      </c>
      <c r="D1139" s="36" t="s">
        <v>6422</v>
      </c>
      <c r="E1139" s="9" t="s">
        <v>6406</v>
      </c>
      <c r="F1139" s="9" t="s">
        <v>6301</v>
      </c>
      <c r="G1139" s="36" t="s">
        <v>14</v>
      </c>
      <c r="I1139" s="36" t="s">
        <v>5293</v>
      </c>
      <c r="J1139" s="36" t="s">
        <v>17</v>
      </c>
      <c r="K1139" s="36" t="s">
        <v>6403</v>
      </c>
      <c r="L1139" s="36" t="e">
        <f>VLOOKUP(Table2[[#This Row],[Node]],#REF!,2,0)=Table2[[#This Row],[Parent]]</f>
        <v>#REF!</v>
      </c>
      <c r="M1139" s="36" t="s">
        <v>4781</v>
      </c>
    </row>
    <row r="1140" spans="1:13" hidden="1" x14ac:dyDescent="0.25">
      <c r="A1140" s="49">
        <f t="shared" si="18"/>
        <v>1138</v>
      </c>
      <c r="B1140" s="36" t="s">
        <v>3298</v>
      </c>
      <c r="C1140" s="36" t="s">
        <v>6414</v>
      </c>
      <c r="D1140" s="9" t="s">
        <v>6405</v>
      </c>
      <c r="E1140" s="9" t="s">
        <v>6406</v>
      </c>
      <c r="F1140" s="36" t="s">
        <v>6422</v>
      </c>
      <c r="G1140" s="36" t="s">
        <v>14</v>
      </c>
      <c r="I1140" s="36" t="s">
        <v>5293</v>
      </c>
      <c r="J1140" s="36" t="s">
        <v>17</v>
      </c>
      <c r="K1140" s="36" t="s">
        <v>6403</v>
      </c>
      <c r="L1140" s="36" t="e">
        <f>VLOOKUP(Table2[[#This Row],[Node]],#REF!,2,0)=Table2[[#This Row],[Parent]]</f>
        <v>#REF!</v>
      </c>
      <c r="M1140" s="36" t="s">
        <v>4781</v>
      </c>
    </row>
    <row r="1141" spans="1:13" hidden="1" x14ac:dyDescent="0.25">
      <c r="A1141" s="49">
        <f t="shared" si="18"/>
        <v>1139</v>
      </c>
      <c r="B1141" s="36" t="s">
        <v>3298</v>
      </c>
      <c r="C1141" s="36" t="s">
        <v>6414</v>
      </c>
      <c r="D1141" s="36" t="s">
        <v>6423</v>
      </c>
      <c r="E1141" s="9" t="s">
        <v>6407</v>
      </c>
      <c r="F1141" s="9" t="s">
        <v>6430</v>
      </c>
      <c r="G1141" s="36" t="s">
        <v>14</v>
      </c>
      <c r="I1141" s="36" t="s">
        <v>5293</v>
      </c>
      <c r="J1141" s="36" t="s">
        <v>17</v>
      </c>
      <c r="K1141" s="36" t="s">
        <v>6403</v>
      </c>
      <c r="L1141" s="36"/>
      <c r="M1141" s="36" t="s">
        <v>4781</v>
      </c>
    </row>
    <row r="1142" spans="1:13" hidden="1" x14ac:dyDescent="0.25">
      <c r="A1142" s="49">
        <f t="shared" si="18"/>
        <v>1140</v>
      </c>
      <c r="B1142" s="36" t="s">
        <v>3298</v>
      </c>
      <c r="C1142" s="36" t="s">
        <v>6414</v>
      </c>
      <c r="D1142" s="36" t="s">
        <v>6424</v>
      </c>
      <c r="E1142" s="9" t="s">
        <v>6408</v>
      </c>
      <c r="F1142" s="9" t="s">
        <v>3682</v>
      </c>
      <c r="G1142" s="36" t="s">
        <v>14</v>
      </c>
      <c r="I1142" s="36" t="s">
        <v>5293</v>
      </c>
      <c r="J1142" s="36" t="s">
        <v>17</v>
      </c>
      <c r="K1142" s="36" t="s">
        <v>6403</v>
      </c>
      <c r="L1142" s="36"/>
      <c r="M1142" s="36" t="s">
        <v>4781</v>
      </c>
    </row>
    <row r="1143" spans="1:13" hidden="1" x14ac:dyDescent="0.25">
      <c r="A1143" s="49">
        <f t="shared" si="18"/>
        <v>1141</v>
      </c>
      <c r="B1143" s="36" t="s">
        <v>3298</v>
      </c>
      <c r="C1143" s="36" t="s">
        <v>6414</v>
      </c>
      <c r="D1143" s="36" t="s">
        <v>6425</v>
      </c>
      <c r="E1143" s="9" t="s">
        <v>6409</v>
      </c>
      <c r="F1143" s="36" t="s">
        <v>6424</v>
      </c>
      <c r="G1143" s="36" t="s">
        <v>14</v>
      </c>
      <c r="I1143" s="36" t="s">
        <v>5293</v>
      </c>
      <c r="J1143" s="36" t="s">
        <v>17</v>
      </c>
      <c r="K1143" s="36" t="s">
        <v>6403</v>
      </c>
      <c r="L1143" s="36"/>
      <c r="M1143" s="36" t="s">
        <v>4781</v>
      </c>
    </row>
    <row r="1144" spans="1:13" hidden="1" x14ac:dyDescent="0.25">
      <c r="A1144" s="49">
        <f t="shared" si="18"/>
        <v>1142</v>
      </c>
      <c r="B1144" s="36" t="s">
        <v>3298</v>
      </c>
      <c r="C1144" s="36" t="s">
        <v>6414</v>
      </c>
      <c r="D1144" s="36" t="s">
        <v>6426</v>
      </c>
      <c r="E1144" s="9" t="s">
        <v>6410</v>
      </c>
      <c r="F1144" s="36" t="s">
        <v>6424</v>
      </c>
      <c r="G1144" s="36" t="s">
        <v>14</v>
      </c>
      <c r="I1144" s="36" t="s">
        <v>5293</v>
      </c>
      <c r="J1144" s="36" t="s">
        <v>17</v>
      </c>
      <c r="K1144" s="36" t="s">
        <v>6403</v>
      </c>
      <c r="L1144" s="36"/>
      <c r="M1144" s="36" t="s">
        <v>4781</v>
      </c>
    </row>
    <row r="1145" spans="1:13" hidden="1" x14ac:dyDescent="0.25">
      <c r="A1145" s="49">
        <f t="shared" si="18"/>
        <v>1143</v>
      </c>
      <c r="B1145" s="36" t="s">
        <v>3298</v>
      </c>
      <c r="C1145" s="36" t="s">
        <v>6414</v>
      </c>
      <c r="D1145" s="36" t="s">
        <v>6427</v>
      </c>
      <c r="E1145" s="9" t="s">
        <v>6411</v>
      </c>
      <c r="F1145" s="36" t="s">
        <v>6425</v>
      </c>
      <c r="G1145" s="36" t="s">
        <v>14</v>
      </c>
      <c r="I1145" s="36" t="s">
        <v>5293</v>
      </c>
      <c r="J1145" s="36" t="s">
        <v>17</v>
      </c>
      <c r="K1145" s="36" t="s">
        <v>6403</v>
      </c>
      <c r="L1145" s="36"/>
      <c r="M1145" s="36" t="s">
        <v>4781</v>
      </c>
    </row>
    <row r="1146" spans="1:13" hidden="1" x14ac:dyDescent="0.25">
      <c r="A1146" s="49">
        <f t="shared" si="18"/>
        <v>1144</v>
      </c>
      <c r="B1146" s="36" t="s">
        <v>3298</v>
      </c>
      <c r="C1146" s="36" t="s">
        <v>6414</v>
      </c>
      <c r="D1146" s="36" t="s">
        <v>6428</v>
      </c>
      <c r="E1146" s="9" t="s">
        <v>6412</v>
      </c>
      <c r="F1146" s="36" t="s">
        <v>6426</v>
      </c>
      <c r="G1146" s="36" t="s">
        <v>14</v>
      </c>
      <c r="I1146" s="36" t="s">
        <v>5293</v>
      </c>
      <c r="J1146" s="36" t="s">
        <v>17</v>
      </c>
      <c r="K1146" s="36" t="s">
        <v>6403</v>
      </c>
      <c r="L1146" s="36"/>
      <c r="M1146" s="36" t="s">
        <v>4781</v>
      </c>
    </row>
    <row r="1147" spans="1:13" hidden="1" x14ac:dyDescent="0.25">
      <c r="A1147" s="49">
        <f t="shared" si="18"/>
        <v>1145</v>
      </c>
      <c r="B1147" s="36" t="s">
        <v>3298</v>
      </c>
      <c r="C1147" s="36" t="s">
        <v>6414</v>
      </c>
      <c r="D1147" s="36" t="s">
        <v>6429</v>
      </c>
      <c r="E1147" s="9" t="s">
        <v>6413</v>
      </c>
      <c r="F1147" s="36" t="s">
        <v>6426</v>
      </c>
      <c r="G1147" s="36" t="s">
        <v>14</v>
      </c>
      <c r="I1147" s="36" t="s">
        <v>5293</v>
      </c>
      <c r="J1147" s="36" t="s">
        <v>17</v>
      </c>
      <c r="K1147" s="36" t="s">
        <v>6403</v>
      </c>
      <c r="L1147" s="36"/>
      <c r="M1147" s="36" t="s">
        <v>4781</v>
      </c>
    </row>
    <row r="1148" spans="1:13" hidden="1" x14ac:dyDescent="0.25">
      <c r="A1148" s="49">
        <f t="shared" si="18"/>
        <v>1146</v>
      </c>
      <c r="B1148" s="36" t="s">
        <v>3298</v>
      </c>
      <c r="C1148" s="36" t="s">
        <v>6414</v>
      </c>
      <c r="D1148" s="9" t="s">
        <v>4810</v>
      </c>
      <c r="E1148" s="9" t="s">
        <v>6415</v>
      </c>
      <c r="G1148" s="9" t="s">
        <v>15</v>
      </c>
      <c r="I1148" s="36" t="s">
        <v>5293</v>
      </c>
      <c r="J1148" s="36" t="s">
        <v>17</v>
      </c>
      <c r="K1148" s="36" t="s">
        <v>6403</v>
      </c>
      <c r="L1148" s="36" t="e">
        <f>VLOOKUP(Table2[[#This Row],[Node]],#REF!,2,0)=Table2[[#This Row],[Name]]</f>
        <v>#REF!</v>
      </c>
      <c r="M1148" s="36" t="s">
        <v>4781</v>
      </c>
    </row>
    <row r="1149" spans="1:13" hidden="1" x14ac:dyDescent="0.25">
      <c r="A1149" s="49">
        <f t="shared" si="18"/>
        <v>1147</v>
      </c>
      <c r="B1149" s="36" t="s">
        <v>3298</v>
      </c>
      <c r="C1149" s="36" t="s">
        <v>6414</v>
      </c>
      <c r="D1149" s="9" t="s">
        <v>4812</v>
      </c>
      <c r="E1149" s="9" t="s">
        <v>6416</v>
      </c>
      <c r="G1149" s="36" t="s">
        <v>15</v>
      </c>
      <c r="I1149" s="36" t="s">
        <v>5293</v>
      </c>
      <c r="J1149" s="36" t="s">
        <v>17</v>
      </c>
      <c r="K1149" s="36" t="s">
        <v>6403</v>
      </c>
      <c r="L1149" s="36" t="e">
        <f>VLOOKUP(Table2[[#This Row],[Node]],#REF!,2,0)=Table2[[#This Row],[Name]]</f>
        <v>#REF!</v>
      </c>
      <c r="M1149" s="36" t="s">
        <v>4781</v>
      </c>
    </row>
    <row r="1150" spans="1:13" hidden="1" x14ac:dyDescent="0.25">
      <c r="A1150" s="49">
        <f t="shared" si="18"/>
        <v>1148</v>
      </c>
      <c r="B1150" s="36" t="s">
        <v>3298</v>
      </c>
      <c r="C1150" s="36" t="s">
        <v>6414</v>
      </c>
      <c r="D1150" s="9" t="s">
        <v>4814</v>
      </c>
      <c r="E1150" s="9" t="s">
        <v>6417</v>
      </c>
      <c r="G1150" s="36" t="s">
        <v>15</v>
      </c>
      <c r="I1150" s="36" t="s">
        <v>5293</v>
      </c>
      <c r="J1150" s="36" t="s">
        <v>17</v>
      </c>
      <c r="K1150" s="36" t="s">
        <v>6403</v>
      </c>
      <c r="L1150" s="36" t="e">
        <f>VLOOKUP(Table2[[#This Row],[Node]],#REF!,2,0)=Table2[[#This Row],[Name]]</f>
        <v>#REF!</v>
      </c>
      <c r="M1150" s="36" t="s">
        <v>4781</v>
      </c>
    </row>
    <row r="1151" spans="1:13" hidden="1" x14ac:dyDescent="0.25">
      <c r="A1151" s="49">
        <f t="shared" si="18"/>
        <v>1149</v>
      </c>
      <c r="B1151" s="36" t="s">
        <v>3298</v>
      </c>
      <c r="C1151" s="36" t="s">
        <v>6414</v>
      </c>
      <c r="D1151" s="9" t="s">
        <v>4816</v>
      </c>
      <c r="E1151" s="9" t="s">
        <v>6418</v>
      </c>
      <c r="G1151" s="36" t="s">
        <v>15</v>
      </c>
      <c r="I1151" s="36" t="s">
        <v>5293</v>
      </c>
      <c r="J1151" s="36" t="s">
        <v>17</v>
      </c>
      <c r="K1151" s="36" t="s">
        <v>6403</v>
      </c>
      <c r="L1151" s="36" t="e">
        <f>VLOOKUP(Table2[[#This Row],[Node]],#REF!,2,0)=Table2[[#This Row],[Name]]</f>
        <v>#REF!</v>
      </c>
      <c r="M1151" s="36" t="s">
        <v>4781</v>
      </c>
    </row>
    <row r="1152" spans="1:13" hidden="1" x14ac:dyDescent="0.25">
      <c r="A1152" s="49">
        <f t="shared" si="18"/>
        <v>1150</v>
      </c>
      <c r="B1152" s="36" t="s">
        <v>3298</v>
      </c>
      <c r="C1152" s="36" t="s">
        <v>6414</v>
      </c>
      <c r="D1152" s="9" t="s">
        <v>4819</v>
      </c>
      <c r="E1152" s="9" t="s">
        <v>6419</v>
      </c>
      <c r="G1152" s="36" t="s">
        <v>15</v>
      </c>
      <c r="I1152" s="36" t="s">
        <v>5293</v>
      </c>
      <c r="J1152" s="36" t="s">
        <v>17</v>
      </c>
      <c r="K1152" s="36" t="s">
        <v>6403</v>
      </c>
      <c r="L1152" s="36" t="e">
        <f>VLOOKUP(Table2[[#This Row],[Node]],#REF!,2,0)=Table2[[#This Row],[Name]]</f>
        <v>#REF!</v>
      </c>
      <c r="M1152" s="36" t="s">
        <v>4781</v>
      </c>
    </row>
    <row r="1153" spans="1:13" hidden="1" x14ac:dyDescent="0.25">
      <c r="A1153" s="49">
        <f t="shared" si="18"/>
        <v>1151</v>
      </c>
      <c r="B1153" s="36" t="s">
        <v>3298</v>
      </c>
      <c r="C1153" s="36" t="s">
        <v>6414</v>
      </c>
      <c r="D1153" s="9" t="s">
        <v>4821</v>
      </c>
      <c r="E1153" s="9" t="s">
        <v>6420</v>
      </c>
      <c r="G1153" s="36" t="s">
        <v>15</v>
      </c>
      <c r="I1153" s="36" t="s">
        <v>5293</v>
      </c>
      <c r="J1153" s="36" t="s">
        <v>17</v>
      </c>
      <c r="K1153" s="36" t="s">
        <v>6403</v>
      </c>
      <c r="L1153" s="36" t="e">
        <f>VLOOKUP(Table2[[#This Row],[Node]],#REF!,2,0)=Table2[[#This Row],[Name]]</f>
        <v>#REF!</v>
      </c>
      <c r="M1153" s="36" t="s">
        <v>4781</v>
      </c>
    </row>
    <row r="1154" spans="1:13" hidden="1" x14ac:dyDescent="0.25">
      <c r="A1154" s="49">
        <f t="shared" si="18"/>
        <v>1152</v>
      </c>
      <c r="B1154" s="36" t="s">
        <v>3298</v>
      </c>
      <c r="C1154" s="36" t="s">
        <v>6414</v>
      </c>
      <c r="D1154" s="9" t="s">
        <v>4823</v>
      </c>
      <c r="E1154" s="9" t="s">
        <v>6421</v>
      </c>
      <c r="G1154" s="36" t="s">
        <v>15</v>
      </c>
      <c r="I1154" s="36" t="s">
        <v>5293</v>
      </c>
      <c r="J1154" s="36" t="s">
        <v>17</v>
      </c>
      <c r="K1154" s="36" t="s">
        <v>6403</v>
      </c>
      <c r="L1154" s="36" t="e">
        <f>VLOOKUP(Table2[[#This Row],[Node]],#REF!,2,0)=Table2[[#This Row],[Name]]</f>
        <v>#REF!</v>
      </c>
      <c r="M1154" s="36" t="s">
        <v>4781</v>
      </c>
    </row>
    <row r="1155" spans="1:13" hidden="1" x14ac:dyDescent="0.25">
      <c r="A1155" s="49">
        <f t="shared" si="18"/>
        <v>1153</v>
      </c>
      <c r="B1155" s="36" t="s">
        <v>3298</v>
      </c>
      <c r="C1155" s="36" t="s">
        <v>6414</v>
      </c>
      <c r="D1155" s="9" t="s">
        <v>5603</v>
      </c>
      <c r="F1155" s="36" t="s">
        <v>6423</v>
      </c>
      <c r="G1155" s="9" t="s">
        <v>13</v>
      </c>
      <c r="I1155" s="36" t="s">
        <v>5293</v>
      </c>
      <c r="J1155" s="36" t="s">
        <v>17</v>
      </c>
      <c r="K1155" s="36" t="s">
        <v>6464</v>
      </c>
      <c r="L1155" s="36" t="e">
        <f>VLOOKUP(Table2[[#This Row],[Node]],#REF!,2,0)=Table2[[#This Row],[Parent]]</f>
        <v>#REF!</v>
      </c>
      <c r="M1155" s="36" t="s">
        <v>4781</v>
      </c>
    </row>
    <row r="1156" spans="1:13" hidden="1" x14ac:dyDescent="0.25">
      <c r="A1156" s="49">
        <f t="shared" si="18"/>
        <v>1154</v>
      </c>
      <c r="B1156" s="36" t="s">
        <v>3298</v>
      </c>
      <c r="C1156" s="36" t="s">
        <v>6414</v>
      </c>
      <c r="D1156" s="9" t="s">
        <v>6431</v>
      </c>
      <c r="F1156" s="36" t="s">
        <v>6423</v>
      </c>
      <c r="G1156" s="36" t="s">
        <v>13</v>
      </c>
      <c r="I1156" s="36" t="s">
        <v>5293</v>
      </c>
      <c r="J1156" s="36" t="s">
        <v>17</v>
      </c>
      <c r="K1156" s="36" t="s">
        <v>6464</v>
      </c>
      <c r="L1156" s="36" t="e">
        <f>VLOOKUP(Table2[[#This Row],[Node]],#REF!,2,0)=Table2[[#This Row],[Parent]]</f>
        <v>#REF!</v>
      </c>
      <c r="M1156" s="36" t="s">
        <v>4781</v>
      </c>
    </row>
    <row r="1157" spans="1:13" hidden="1" x14ac:dyDescent="0.25">
      <c r="A1157" s="49">
        <f t="shared" si="18"/>
        <v>1155</v>
      </c>
      <c r="B1157" s="36" t="s">
        <v>3298</v>
      </c>
      <c r="C1157" s="9" t="s">
        <v>6452</v>
      </c>
      <c r="D1157" s="9" t="s">
        <v>6442</v>
      </c>
      <c r="E1157" s="9" t="s">
        <v>6432</v>
      </c>
      <c r="F1157" s="9" t="s">
        <v>4860</v>
      </c>
      <c r="G1157" s="9" t="s">
        <v>14</v>
      </c>
      <c r="I1157" s="36" t="s">
        <v>5293</v>
      </c>
      <c r="J1157" s="36" t="str">
        <f>VLOOKUP(Table2[[#This Row], [Author]],People!A:B,2,0)</f>
        <v>EL</v>
      </c>
      <c r="K1157" s="9" t="s">
        <v>6403</v>
      </c>
      <c r="L1157" s="36"/>
      <c r="M1157" s="9" t="s">
        <v>6116</v>
      </c>
    </row>
    <row r="1158" spans="1:13" hidden="1" x14ac:dyDescent="0.25">
      <c r="A1158" s="49">
        <f t="shared" si="18"/>
        <v>1156</v>
      </c>
      <c r="B1158" s="36" t="s">
        <v>3298</v>
      </c>
      <c r="C1158" s="36" t="s">
        <v>6452</v>
      </c>
      <c r="D1158" s="9" t="s">
        <v>6443</v>
      </c>
      <c r="E1158" s="9" t="s">
        <v>6433</v>
      </c>
      <c r="F1158" s="36" t="s">
        <v>6442</v>
      </c>
      <c r="G1158" s="36" t="s">
        <v>14</v>
      </c>
      <c r="I1158" s="36" t="s">
        <v>5293</v>
      </c>
      <c r="J1158" s="36" t="str">
        <f>VLOOKUP(Table2[[#This Row], [Author]],People!A:B,2,0)</f>
        <v>EL</v>
      </c>
      <c r="K1158" s="36" t="s">
        <v>6403</v>
      </c>
      <c r="L1158" s="36"/>
      <c r="M1158" s="36" t="s">
        <v>6116</v>
      </c>
    </row>
    <row r="1159" spans="1:13" hidden="1" x14ac:dyDescent="0.25">
      <c r="A1159" s="49">
        <f t="shared" si="18"/>
        <v>1157</v>
      </c>
      <c r="B1159" s="36" t="s">
        <v>3298</v>
      </c>
      <c r="C1159" s="36" t="s">
        <v>6452</v>
      </c>
      <c r="D1159" s="9" t="s">
        <v>6444</v>
      </c>
      <c r="E1159" s="9" t="s">
        <v>6434</v>
      </c>
      <c r="F1159" s="36" t="s">
        <v>6442</v>
      </c>
      <c r="G1159" s="36" t="s">
        <v>14</v>
      </c>
      <c r="I1159" s="36" t="s">
        <v>5293</v>
      </c>
      <c r="J1159" s="36" t="str">
        <f>VLOOKUP(Table2[[#This Row], [Author]],People!A:B,2,0)</f>
        <v>EL</v>
      </c>
      <c r="K1159" s="36" t="s">
        <v>6403</v>
      </c>
      <c r="L1159" s="36"/>
      <c r="M1159" s="36" t="s">
        <v>6116</v>
      </c>
    </row>
    <row r="1160" spans="1:13" hidden="1" x14ac:dyDescent="0.25">
      <c r="A1160" s="49">
        <f t="shared" si="18"/>
        <v>1158</v>
      </c>
      <c r="B1160" s="36" t="s">
        <v>3298</v>
      </c>
      <c r="C1160" s="36" t="s">
        <v>6452</v>
      </c>
      <c r="D1160" s="9" t="s">
        <v>6445</v>
      </c>
      <c r="E1160" s="9" t="s">
        <v>6435</v>
      </c>
      <c r="F1160" s="36" t="s">
        <v>6442</v>
      </c>
      <c r="G1160" s="36" t="s">
        <v>14</v>
      </c>
      <c r="I1160" s="36" t="s">
        <v>5293</v>
      </c>
      <c r="J1160" s="36" t="str">
        <f>VLOOKUP(Table2[[#This Row], [Author]],People!A:B,2,0)</f>
        <v>EL</v>
      </c>
      <c r="K1160" s="36" t="s">
        <v>6403</v>
      </c>
      <c r="L1160" s="36"/>
      <c r="M1160" s="36" t="s">
        <v>6116</v>
      </c>
    </row>
    <row r="1161" spans="1:13" hidden="1" x14ac:dyDescent="0.25">
      <c r="A1161" s="49">
        <f t="shared" si="18"/>
        <v>1159</v>
      </c>
      <c r="B1161" s="36" t="s">
        <v>3298</v>
      </c>
      <c r="C1161" s="36" t="s">
        <v>6452</v>
      </c>
      <c r="D1161" s="9" t="s">
        <v>6446</v>
      </c>
      <c r="E1161" s="9" t="s">
        <v>6436</v>
      </c>
      <c r="F1161" s="9" t="s">
        <v>4635</v>
      </c>
      <c r="G1161" s="36" t="s">
        <v>14</v>
      </c>
      <c r="I1161" s="36" t="s">
        <v>5293</v>
      </c>
      <c r="J1161" s="36" t="str">
        <f>VLOOKUP(Table2[[#This Row], [Author]],People!A:B,2,0)</f>
        <v>EL</v>
      </c>
      <c r="K1161" s="36" t="s">
        <v>6403</v>
      </c>
      <c r="L1161" s="36"/>
      <c r="M1161" s="36" t="s">
        <v>6116</v>
      </c>
    </row>
    <row r="1162" spans="1:13" hidden="1" x14ac:dyDescent="0.25">
      <c r="A1162" s="49">
        <f t="shared" si="18"/>
        <v>1160</v>
      </c>
      <c r="B1162" s="36" t="s">
        <v>3298</v>
      </c>
      <c r="C1162" s="36" t="s">
        <v>6452</v>
      </c>
      <c r="D1162" s="9" t="s">
        <v>6447</v>
      </c>
      <c r="E1162" s="9" t="s">
        <v>6437</v>
      </c>
      <c r="F1162" s="9" t="s">
        <v>4635</v>
      </c>
      <c r="G1162" s="36" t="s">
        <v>14</v>
      </c>
      <c r="I1162" s="36" t="s">
        <v>5293</v>
      </c>
      <c r="J1162" s="36" t="str">
        <f>VLOOKUP(Table2[[#This Row], [Author]],People!A:B,2,0)</f>
        <v>EL</v>
      </c>
      <c r="K1162" s="36" t="s">
        <v>6403</v>
      </c>
      <c r="L1162" s="36"/>
      <c r="M1162" s="36" t="s">
        <v>6116</v>
      </c>
    </row>
    <row r="1163" spans="1:13" hidden="1" x14ac:dyDescent="0.25">
      <c r="A1163" s="49">
        <f t="shared" si="18"/>
        <v>1161</v>
      </c>
      <c r="B1163" s="36" t="s">
        <v>3298</v>
      </c>
      <c r="C1163" s="36" t="s">
        <v>6452</v>
      </c>
      <c r="D1163" s="9" t="s">
        <v>6448</v>
      </c>
      <c r="E1163" s="9" t="s">
        <v>6438</v>
      </c>
      <c r="F1163" s="9" t="s">
        <v>4635</v>
      </c>
      <c r="G1163" s="36" t="s">
        <v>14</v>
      </c>
      <c r="I1163" s="36" t="s">
        <v>5293</v>
      </c>
      <c r="J1163" s="36" t="str">
        <f>VLOOKUP(Table2[[#This Row], [Author]],People!A:B,2,0)</f>
        <v>EL</v>
      </c>
      <c r="K1163" s="36" t="s">
        <v>6403</v>
      </c>
      <c r="L1163" s="36"/>
      <c r="M1163" s="36" t="s">
        <v>6116</v>
      </c>
    </row>
    <row r="1164" spans="1:13" hidden="1" x14ac:dyDescent="0.25">
      <c r="A1164" s="49">
        <f t="shared" si="18"/>
        <v>1162</v>
      </c>
      <c r="B1164" s="36" t="s">
        <v>3298</v>
      </c>
      <c r="C1164" s="36" t="s">
        <v>6452</v>
      </c>
      <c r="D1164" s="9" t="s">
        <v>6449</v>
      </c>
      <c r="E1164" s="9" t="s">
        <v>6439</v>
      </c>
      <c r="F1164" s="9" t="s">
        <v>4635</v>
      </c>
      <c r="G1164" s="36" t="s">
        <v>14</v>
      </c>
      <c r="I1164" s="36" t="s">
        <v>5293</v>
      </c>
      <c r="J1164" s="36" t="str">
        <f>VLOOKUP(Table2[[#This Row], [Author]],People!A:B,2,0)</f>
        <v>EL</v>
      </c>
      <c r="K1164" s="36" t="s">
        <v>6403</v>
      </c>
      <c r="L1164" s="36"/>
      <c r="M1164" s="36" t="s">
        <v>6116</v>
      </c>
    </row>
    <row r="1165" spans="1:13" hidden="1" x14ac:dyDescent="0.25">
      <c r="A1165" s="49">
        <f t="shared" si="18"/>
        <v>1163</v>
      </c>
      <c r="B1165" s="36" t="s">
        <v>3298</v>
      </c>
      <c r="C1165" s="36" t="s">
        <v>6452</v>
      </c>
      <c r="D1165" s="9" t="s">
        <v>6450</v>
      </c>
      <c r="E1165" s="9" t="s">
        <v>6440</v>
      </c>
      <c r="F1165" s="36" t="s">
        <v>6447</v>
      </c>
      <c r="G1165" s="36" t="s">
        <v>14</v>
      </c>
      <c r="I1165" s="36" t="s">
        <v>5293</v>
      </c>
      <c r="J1165" s="36" t="str">
        <f>VLOOKUP(Table2[[#This Row], [Author]],People!A:B,2,0)</f>
        <v>EL</v>
      </c>
      <c r="K1165" s="36" t="s">
        <v>6403</v>
      </c>
      <c r="L1165" s="36"/>
      <c r="M1165" s="36" t="s">
        <v>6116</v>
      </c>
    </row>
    <row r="1166" spans="1:13" hidden="1" x14ac:dyDescent="0.25">
      <c r="A1166" s="49">
        <f t="shared" si="18"/>
        <v>1164</v>
      </c>
      <c r="B1166" s="36" t="s">
        <v>3298</v>
      </c>
      <c r="C1166" s="36" t="s">
        <v>6452</v>
      </c>
      <c r="D1166" s="9" t="s">
        <v>6451</v>
      </c>
      <c r="E1166" s="9" t="s">
        <v>6441</v>
      </c>
      <c r="F1166" s="36" t="s">
        <v>6447</v>
      </c>
      <c r="G1166" s="36" t="s">
        <v>14</v>
      </c>
      <c r="I1166" s="36" t="s">
        <v>5293</v>
      </c>
      <c r="J1166" s="36" t="str">
        <f>VLOOKUP(Table2[[#This Row], [Author]],People!A:B,2,0)</f>
        <v>EL</v>
      </c>
      <c r="K1166" s="36" t="s">
        <v>6403</v>
      </c>
      <c r="L1166" s="36"/>
      <c r="M1166" s="36" t="s">
        <v>6116</v>
      </c>
    </row>
    <row r="1167" spans="1:13" hidden="1" x14ac:dyDescent="0.25">
      <c r="A1167" s="49">
        <f t="shared" si="18"/>
        <v>1165</v>
      </c>
      <c r="B1167" s="36" t="s">
        <v>3298</v>
      </c>
      <c r="C1167" s="36" t="s">
        <v>6452</v>
      </c>
      <c r="D1167" s="9" t="s">
        <v>2308</v>
      </c>
      <c r="E1167" s="9" t="s">
        <v>6453</v>
      </c>
      <c r="G1167" s="9" t="s">
        <v>15</v>
      </c>
      <c r="I1167" s="36" t="s">
        <v>5293</v>
      </c>
      <c r="J1167" s="36" t="str">
        <f>VLOOKUP(Table2[[#This Row], [Author]],People!A:B,2,0)</f>
        <v>EL</v>
      </c>
      <c r="K1167" s="9" t="s">
        <v>6463</v>
      </c>
      <c r="L1167" s="36" t="e">
        <f>VLOOKUP(Table2[[#This Row],[Node]],#REF!,2,0)=Table2[[#This Row],[Name]]</f>
        <v>#REF!</v>
      </c>
      <c r="M1167" s="36" t="s">
        <v>6116</v>
      </c>
    </row>
    <row r="1168" spans="1:13" hidden="1" x14ac:dyDescent="0.25">
      <c r="A1168" s="49">
        <f t="shared" si="18"/>
        <v>1166</v>
      </c>
      <c r="B1168" s="36" t="s">
        <v>3298</v>
      </c>
      <c r="C1168" s="36" t="s">
        <v>6452</v>
      </c>
      <c r="D1168" s="9" t="s">
        <v>2226</v>
      </c>
      <c r="E1168" s="9" t="s">
        <v>6454</v>
      </c>
      <c r="G1168" s="36" t="s">
        <v>15</v>
      </c>
      <c r="I1168" s="36" t="s">
        <v>5293</v>
      </c>
      <c r="J1168" s="36" t="str">
        <f>VLOOKUP(Table2[[#This Row], [Author]],People!A:B,2,0)</f>
        <v>EL</v>
      </c>
      <c r="K1168" s="36" t="s">
        <v>6463</v>
      </c>
      <c r="L1168" s="36" t="e">
        <f>VLOOKUP(Table2[[#This Row],[Node]],#REF!,2,0)=Table2[[#This Row],[Name]]</f>
        <v>#REF!</v>
      </c>
      <c r="M1168" s="36" t="s">
        <v>6116</v>
      </c>
    </row>
    <row r="1169" spans="1:13" hidden="1" x14ac:dyDescent="0.25">
      <c r="A1169" s="49">
        <f t="shared" si="18"/>
        <v>1167</v>
      </c>
      <c r="B1169" s="36" t="s">
        <v>3298</v>
      </c>
      <c r="C1169" s="36" t="s">
        <v>6452</v>
      </c>
      <c r="D1169" s="9" t="s">
        <v>6455</v>
      </c>
      <c r="E1169" s="9" t="s">
        <v>6456</v>
      </c>
      <c r="G1169" s="36" t="s">
        <v>15</v>
      </c>
      <c r="I1169" s="36" t="s">
        <v>5293</v>
      </c>
      <c r="J1169" s="36" t="str">
        <f>VLOOKUP(Table2[[#This Row], [Author]],People!A:B,2,0)</f>
        <v>EL</v>
      </c>
      <c r="K1169" s="36" t="s">
        <v>6463</v>
      </c>
      <c r="L1169" s="36" t="e">
        <f>VLOOKUP(Table2[[#This Row],[Node]],#REF!,2,0)=Table2[[#This Row],[Name]]</f>
        <v>#REF!</v>
      </c>
      <c r="M1169" s="36" t="s">
        <v>6116</v>
      </c>
    </row>
    <row r="1170" spans="1:13" hidden="1" x14ac:dyDescent="0.25">
      <c r="A1170" s="49">
        <f t="shared" si="18"/>
        <v>1168</v>
      </c>
      <c r="B1170" s="36" t="s">
        <v>3298</v>
      </c>
      <c r="C1170" s="36" t="s">
        <v>6452</v>
      </c>
      <c r="D1170" s="9" t="s">
        <v>5942</v>
      </c>
      <c r="E1170" s="9" t="s">
        <v>6457</v>
      </c>
      <c r="G1170" s="36" t="s">
        <v>15</v>
      </c>
      <c r="I1170" s="36" t="s">
        <v>5293</v>
      </c>
      <c r="J1170" s="36" t="str">
        <f>VLOOKUP(Table2[[#This Row], [Author]],People!A:B,2,0)</f>
        <v>EL</v>
      </c>
      <c r="K1170" s="36" t="s">
        <v>6463</v>
      </c>
      <c r="L1170" s="36" t="e">
        <f>VLOOKUP(Table2[[#This Row],[Node]],#REF!,2,0)=Table2[[#This Row],[Name]]</f>
        <v>#REF!</v>
      </c>
      <c r="M1170" s="36" t="s">
        <v>6116</v>
      </c>
    </row>
    <row r="1171" spans="1:13" hidden="1" x14ac:dyDescent="0.25">
      <c r="A1171" s="49">
        <f t="shared" si="18"/>
        <v>1169</v>
      </c>
      <c r="B1171" s="36" t="s">
        <v>3298</v>
      </c>
      <c r="C1171" s="36" t="s">
        <v>6452</v>
      </c>
      <c r="D1171" s="9" t="s">
        <v>2561</v>
      </c>
      <c r="E1171" s="9" t="s">
        <v>6458</v>
      </c>
      <c r="G1171" s="36" t="s">
        <v>15</v>
      </c>
      <c r="I1171" s="36" t="s">
        <v>5293</v>
      </c>
      <c r="J1171" s="36" t="str">
        <f>VLOOKUP(Table2[[#This Row], [Author]],People!A:B,2,0)</f>
        <v>EL</v>
      </c>
      <c r="K1171" s="36" t="s">
        <v>6463</v>
      </c>
      <c r="L1171" s="36" t="e">
        <f>VLOOKUP(Table2[[#This Row],[Node]],#REF!,2,0)=Table2[[#This Row],[Name]]</f>
        <v>#REF!</v>
      </c>
      <c r="M1171" s="36" t="s">
        <v>6116</v>
      </c>
    </row>
    <row r="1172" spans="1:13" hidden="1" x14ac:dyDescent="0.25">
      <c r="A1172" s="49">
        <f t="shared" si="18"/>
        <v>1170</v>
      </c>
      <c r="B1172" s="36" t="s">
        <v>3298</v>
      </c>
      <c r="C1172" s="36" t="s">
        <v>6452</v>
      </c>
      <c r="D1172" s="9" t="s">
        <v>2421</v>
      </c>
      <c r="E1172" s="9" t="s">
        <v>6459</v>
      </c>
      <c r="G1172" s="36" t="s">
        <v>15</v>
      </c>
      <c r="I1172" s="36" t="s">
        <v>5293</v>
      </c>
      <c r="J1172" s="36" t="str">
        <f>VLOOKUP(Table2[[#This Row], [Author]],People!A:B,2,0)</f>
        <v>EL</v>
      </c>
      <c r="K1172" s="36" t="s">
        <v>6463</v>
      </c>
      <c r="L1172" s="36" t="e">
        <f>VLOOKUP(Table2[[#This Row],[Node]],#REF!,2,0)=Table2[[#This Row],[Name]]</f>
        <v>#REF!</v>
      </c>
      <c r="M1172" s="36" t="s">
        <v>6116</v>
      </c>
    </row>
    <row r="1173" spans="1:13" hidden="1" x14ac:dyDescent="0.25">
      <c r="A1173" s="49">
        <f t="shared" si="18"/>
        <v>1171</v>
      </c>
      <c r="B1173" s="36" t="s">
        <v>3298</v>
      </c>
      <c r="C1173" s="36" t="s">
        <v>6452</v>
      </c>
      <c r="D1173" s="9" t="s">
        <v>2315</v>
      </c>
      <c r="E1173" s="9" t="s">
        <v>6460</v>
      </c>
      <c r="G1173" s="36" t="s">
        <v>15</v>
      </c>
      <c r="I1173" s="36" t="s">
        <v>5293</v>
      </c>
      <c r="J1173" s="36" t="str">
        <f>VLOOKUP(Table2[[#This Row], [Author]],People!A:B,2,0)</f>
        <v>EL</v>
      </c>
      <c r="K1173" s="36" t="s">
        <v>6463</v>
      </c>
      <c r="L1173" s="36" t="e">
        <f>VLOOKUP(Table2[[#This Row],[Node]],#REF!,2,0)=Table2[[#This Row],[Name]]</f>
        <v>#REF!</v>
      </c>
      <c r="M1173" s="36" t="s">
        <v>6116</v>
      </c>
    </row>
    <row r="1174" spans="1:13" hidden="1" x14ac:dyDescent="0.25">
      <c r="A1174" s="49">
        <f t="shared" si="18"/>
        <v>1172</v>
      </c>
      <c r="B1174" s="36" t="s">
        <v>3298</v>
      </c>
      <c r="C1174" s="36" t="s">
        <v>6452</v>
      </c>
      <c r="D1174" s="9" t="s">
        <v>4922</v>
      </c>
      <c r="E1174" s="9" t="s">
        <v>6461</v>
      </c>
      <c r="G1174" s="36" t="s">
        <v>15</v>
      </c>
      <c r="I1174" s="36" t="s">
        <v>5293</v>
      </c>
      <c r="J1174" s="36" t="str">
        <f>VLOOKUP(Table2[[#This Row], [Author]],People!A:B,2,0)</f>
        <v>EL</v>
      </c>
      <c r="K1174" s="36" t="s">
        <v>6463</v>
      </c>
      <c r="L1174" s="36" t="e">
        <f>VLOOKUP(Table2[[#This Row],[Node]],#REF!,2,0)=Table2[[#This Row],[Name]]</f>
        <v>#REF!</v>
      </c>
      <c r="M1174" s="36" t="s">
        <v>6116</v>
      </c>
    </row>
    <row r="1175" spans="1:13" hidden="1" x14ac:dyDescent="0.25">
      <c r="A1175" s="49">
        <f t="shared" si="18"/>
        <v>1173</v>
      </c>
      <c r="B1175" s="36" t="s">
        <v>3298</v>
      </c>
      <c r="C1175" s="36" t="s">
        <v>6452</v>
      </c>
      <c r="D1175" s="9" t="s">
        <v>4921</v>
      </c>
      <c r="E1175" s="9" t="s">
        <v>6462</v>
      </c>
      <c r="G1175" s="36" t="s">
        <v>15</v>
      </c>
      <c r="I1175" s="36" t="s">
        <v>5293</v>
      </c>
      <c r="J1175" s="36" t="str">
        <f>VLOOKUP(Table2[[#This Row], [Author]],People!A:B,2,0)</f>
        <v>EL</v>
      </c>
      <c r="K1175" s="36" t="s">
        <v>6463</v>
      </c>
      <c r="L1175" s="36" t="e">
        <f>VLOOKUP(Table2[[#This Row],[Node]],#REF!,2,0)=Table2[[#This Row],[Name]]</f>
        <v>#REF!</v>
      </c>
      <c r="M1175" s="36" t="s">
        <v>6116</v>
      </c>
    </row>
    <row r="1176" spans="1:13" hidden="1" x14ac:dyDescent="0.25">
      <c r="A1176" s="49">
        <f t="shared" si="18"/>
        <v>1174</v>
      </c>
      <c r="B1176" s="36" t="s">
        <v>3298</v>
      </c>
      <c r="C1176" s="9" t="s">
        <v>6465</v>
      </c>
      <c r="D1176" s="9" t="s">
        <v>6422</v>
      </c>
      <c r="E1176" s="9" t="s">
        <v>6466</v>
      </c>
      <c r="G1176" s="36" t="s">
        <v>15</v>
      </c>
      <c r="I1176" s="36" t="s">
        <v>5293</v>
      </c>
      <c r="J1176" s="36" t="str">
        <f>VLOOKUP(Table2[[#This Row], [Author]],People!A:B,2,0)</f>
        <v>MGF</v>
      </c>
      <c r="K1176" s="9" t="s">
        <v>6404</v>
      </c>
      <c r="L1176" s="36" t="e">
        <f>VLOOKUP(Table2[[#This Row],[Node]],#REF!,2,0)=Table2[[#This Row],[Name]]</f>
        <v>#REF!</v>
      </c>
      <c r="M1176" s="9" t="s">
        <v>4781</v>
      </c>
    </row>
    <row r="1177" spans="1:13" hidden="1" x14ac:dyDescent="0.25">
      <c r="A1177" s="49">
        <f t="shared" si="18"/>
        <v>1175</v>
      </c>
      <c r="B1177" s="36" t="s">
        <v>3298</v>
      </c>
      <c r="C1177" s="36" t="s">
        <v>6465</v>
      </c>
      <c r="D1177" s="9" t="s">
        <v>6405</v>
      </c>
      <c r="E1177" s="9" t="s">
        <v>6466</v>
      </c>
      <c r="G1177" s="36" t="s">
        <v>15</v>
      </c>
      <c r="I1177" s="36" t="s">
        <v>5293</v>
      </c>
      <c r="J1177" s="36" t="str">
        <f>VLOOKUP(Table2[[#This Row], [Author]],People!A:B,2,0)</f>
        <v>MGF</v>
      </c>
      <c r="K1177" s="36" t="s">
        <v>6404</v>
      </c>
      <c r="L1177" s="36" t="e">
        <f>VLOOKUP(Table2[[#This Row],[Node]],#REF!,2,0)=Table2[[#This Row],[Name]]</f>
        <v>#REF!</v>
      </c>
      <c r="M1177" s="36" t="s">
        <v>4781</v>
      </c>
    </row>
    <row r="1178" spans="1:13" hidden="1" x14ac:dyDescent="0.25">
      <c r="A1178" s="49">
        <f t="shared" si="18"/>
        <v>1176</v>
      </c>
      <c r="B1178" s="36" t="s">
        <v>3298</v>
      </c>
      <c r="C1178" s="9" t="s">
        <v>6467</v>
      </c>
      <c r="D1178" s="9" t="s">
        <v>6557</v>
      </c>
      <c r="E1178" s="9" t="s">
        <v>6468</v>
      </c>
      <c r="F1178" s="9" t="s">
        <v>1347</v>
      </c>
      <c r="G1178" s="9" t="s">
        <v>14</v>
      </c>
      <c r="I1178" s="36" t="s">
        <v>5293</v>
      </c>
      <c r="J1178" s="36" t="str">
        <f>VLOOKUP(Table2[[#This Row], [Author]],People!A:B,2,0)</f>
        <v>LS</v>
      </c>
      <c r="K1178" s="9" t="s">
        <v>6403</v>
      </c>
      <c r="L1178" s="36"/>
      <c r="M1178" s="9" t="s">
        <v>4802</v>
      </c>
    </row>
    <row r="1179" spans="1:13" hidden="1" x14ac:dyDescent="0.25">
      <c r="A1179" s="49">
        <f t="shared" si="18"/>
        <v>1177</v>
      </c>
      <c r="B1179" s="36" t="s">
        <v>3298</v>
      </c>
      <c r="C1179" s="36" t="s">
        <v>6467</v>
      </c>
      <c r="D1179" s="9" t="s">
        <v>6558</v>
      </c>
      <c r="E1179" s="9" t="s">
        <v>6469</v>
      </c>
      <c r="F1179" s="9" t="s">
        <v>1347</v>
      </c>
      <c r="G1179" s="36" t="s">
        <v>14</v>
      </c>
      <c r="I1179" s="36" t="s">
        <v>5293</v>
      </c>
      <c r="J1179" s="36" t="str">
        <f>VLOOKUP(Table2[[#This Row], [Author]],People!A:B,2,0)</f>
        <v>LS</v>
      </c>
      <c r="K1179" s="36" t="s">
        <v>6403</v>
      </c>
      <c r="L1179" s="36"/>
      <c r="M1179" s="36" t="s">
        <v>4802</v>
      </c>
    </row>
    <row r="1180" spans="1:13" hidden="1" x14ac:dyDescent="0.25">
      <c r="A1180" s="49">
        <f t="shared" si="18"/>
        <v>1178</v>
      </c>
      <c r="B1180" s="36" t="s">
        <v>3298</v>
      </c>
      <c r="C1180" s="36" t="s">
        <v>6467</v>
      </c>
      <c r="D1180" s="36" t="s">
        <v>6559</v>
      </c>
      <c r="E1180" s="9" t="s">
        <v>6470</v>
      </c>
      <c r="F1180" s="9" t="s">
        <v>1343</v>
      </c>
      <c r="G1180" s="36" t="s">
        <v>14</v>
      </c>
      <c r="I1180" s="36" t="s">
        <v>5293</v>
      </c>
      <c r="J1180" s="36" t="str">
        <f>VLOOKUP(Table2[[#This Row], [Author]],People!A:B,2,0)</f>
        <v>LS</v>
      </c>
      <c r="K1180" s="36" t="s">
        <v>6403</v>
      </c>
      <c r="L1180" s="36"/>
      <c r="M1180" s="36" t="s">
        <v>4802</v>
      </c>
    </row>
    <row r="1181" spans="1:13" hidden="1" x14ac:dyDescent="0.25">
      <c r="A1181" s="49">
        <f t="shared" si="18"/>
        <v>1179</v>
      </c>
      <c r="B1181" s="36" t="s">
        <v>3298</v>
      </c>
      <c r="C1181" s="36" t="s">
        <v>6467</v>
      </c>
      <c r="D1181" s="36" t="s">
        <v>6560</v>
      </c>
      <c r="E1181" s="9" t="s">
        <v>6471</v>
      </c>
      <c r="F1181" s="9" t="s">
        <v>1343</v>
      </c>
      <c r="G1181" s="36" t="s">
        <v>14</v>
      </c>
      <c r="I1181" s="36" t="s">
        <v>5293</v>
      </c>
      <c r="J1181" s="36" t="str">
        <f>VLOOKUP(Table2[[#This Row], [Author]],People!A:B,2,0)</f>
        <v>LS</v>
      </c>
      <c r="K1181" s="36" t="s">
        <v>6403</v>
      </c>
      <c r="L1181" s="36"/>
      <c r="M1181" s="36" t="s">
        <v>4802</v>
      </c>
    </row>
    <row r="1182" spans="1:13" hidden="1" x14ac:dyDescent="0.25">
      <c r="A1182" s="49">
        <f t="shared" si="18"/>
        <v>1180</v>
      </c>
      <c r="B1182" s="36" t="s">
        <v>3298</v>
      </c>
      <c r="C1182" s="36" t="s">
        <v>6467</v>
      </c>
      <c r="D1182" s="36" t="s">
        <v>6561</v>
      </c>
      <c r="E1182" s="9" t="s">
        <v>6472</v>
      </c>
      <c r="F1182" s="9" t="s">
        <v>1349</v>
      </c>
      <c r="G1182" s="36" t="s">
        <v>14</v>
      </c>
      <c r="I1182" s="36" t="s">
        <v>5293</v>
      </c>
      <c r="J1182" s="36" t="str">
        <f>VLOOKUP(Table2[[#This Row], [Author]],People!A:B,2,0)</f>
        <v>LS</v>
      </c>
      <c r="K1182" s="36" t="s">
        <v>6403</v>
      </c>
      <c r="L1182" s="36"/>
      <c r="M1182" s="36" t="s">
        <v>4802</v>
      </c>
    </row>
    <row r="1183" spans="1:13" hidden="1" x14ac:dyDescent="0.25">
      <c r="A1183" s="49">
        <f t="shared" si="18"/>
        <v>1181</v>
      </c>
      <c r="B1183" s="36" t="s">
        <v>3298</v>
      </c>
      <c r="C1183" s="36" t="s">
        <v>6467</v>
      </c>
      <c r="D1183" s="36" t="s">
        <v>6562</v>
      </c>
      <c r="E1183" s="9" t="s">
        <v>6473</v>
      </c>
      <c r="F1183" s="9" t="s">
        <v>3959</v>
      </c>
      <c r="G1183" s="36" t="s">
        <v>14</v>
      </c>
      <c r="I1183" s="36" t="s">
        <v>5293</v>
      </c>
      <c r="J1183" s="36" t="str">
        <f>VLOOKUP(Table2[[#This Row], [Author]],People!A:B,2,0)</f>
        <v>LS</v>
      </c>
      <c r="K1183" s="36" t="s">
        <v>6403</v>
      </c>
      <c r="L1183" s="36"/>
      <c r="M1183" s="36" t="s">
        <v>4802</v>
      </c>
    </row>
    <row r="1184" spans="1:13" hidden="1" x14ac:dyDescent="0.25">
      <c r="A1184" s="49">
        <f t="shared" si="18"/>
        <v>1182</v>
      </c>
      <c r="B1184" s="36" t="s">
        <v>3298</v>
      </c>
      <c r="C1184" s="36" t="s">
        <v>6467</v>
      </c>
      <c r="D1184" s="36" t="s">
        <v>6563</v>
      </c>
      <c r="E1184" s="9" t="s">
        <v>6474</v>
      </c>
      <c r="F1184" s="9" t="s">
        <v>4831</v>
      </c>
      <c r="G1184" s="36" t="s">
        <v>14</v>
      </c>
      <c r="I1184" s="36" t="s">
        <v>5293</v>
      </c>
      <c r="J1184" s="36" t="str">
        <f>VLOOKUP(Table2[[#This Row], [Author]],People!A:B,2,0)</f>
        <v>LS</v>
      </c>
      <c r="K1184" s="36" t="s">
        <v>6403</v>
      </c>
      <c r="L1184" s="36"/>
      <c r="M1184" s="36" t="s">
        <v>4802</v>
      </c>
    </row>
    <row r="1185" spans="1:13" hidden="1" x14ac:dyDescent="0.25">
      <c r="A1185" s="49">
        <f t="shared" ref="A1185:A1248" si="19">1+A1184</f>
        <v>1183</v>
      </c>
      <c r="B1185" s="36" t="s">
        <v>3298</v>
      </c>
      <c r="C1185" s="36" t="s">
        <v>6467</v>
      </c>
      <c r="D1185" s="36" t="s">
        <v>6564</v>
      </c>
      <c r="E1185" s="9" t="s">
        <v>6475</v>
      </c>
      <c r="F1185" s="9" t="s">
        <v>4831</v>
      </c>
      <c r="G1185" s="36" t="s">
        <v>14</v>
      </c>
      <c r="I1185" s="36" t="s">
        <v>5293</v>
      </c>
      <c r="J1185" s="36" t="str">
        <f>VLOOKUP(Table2[[#This Row], [Author]],People!A:B,2,0)</f>
        <v>LS</v>
      </c>
      <c r="K1185" s="36" t="s">
        <v>6403</v>
      </c>
      <c r="L1185" s="36"/>
      <c r="M1185" s="36" t="s">
        <v>4802</v>
      </c>
    </row>
    <row r="1186" spans="1:13" hidden="1" x14ac:dyDescent="0.25">
      <c r="A1186" s="49">
        <f t="shared" si="19"/>
        <v>1184</v>
      </c>
      <c r="B1186" s="36" t="s">
        <v>3298</v>
      </c>
      <c r="C1186" s="36" t="s">
        <v>6467</v>
      </c>
      <c r="D1186" s="36" t="s">
        <v>6565</v>
      </c>
      <c r="E1186" s="9" t="s">
        <v>6476</v>
      </c>
      <c r="F1186" s="36" t="s">
        <v>6564</v>
      </c>
      <c r="G1186" s="36" t="s">
        <v>14</v>
      </c>
      <c r="I1186" s="36" t="s">
        <v>5293</v>
      </c>
      <c r="J1186" s="36" t="str">
        <f>VLOOKUP(Table2[[#This Row], [Author]],People!A:B,2,0)</f>
        <v>LS</v>
      </c>
      <c r="K1186" s="36" t="s">
        <v>6403</v>
      </c>
      <c r="L1186" s="36"/>
      <c r="M1186" s="36" t="s">
        <v>4802</v>
      </c>
    </row>
    <row r="1187" spans="1:13" hidden="1" x14ac:dyDescent="0.25">
      <c r="A1187" s="49">
        <f t="shared" si="19"/>
        <v>1185</v>
      </c>
      <c r="B1187" s="36" t="s">
        <v>3298</v>
      </c>
      <c r="C1187" s="36" t="s">
        <v>6467</v>
      </c>
      <c r="D1187" s="36" t="s">
        <v>6566</v>
      </c>
      <c r="E1187" s="9" t="s">
        <v>6477</v>
      </c>
      <c r="F1187" s="9" t="s">
        <v>959</v>
      </c>
      <c r="G1187" s="36" t="s">
        <v>14</v>
      </c>
      <c r="I1187" s="36" t="s">
        <v>5293</v>
      </c>
      <c r="J1187" s="36" t="str">
        <f>VLOOKUP(Table2[[#This Row], [Author]],People!A:B,2,0)</f>
        <v>LS</v>
      </c>
      <c r="K1187" s="36" t="s">
        <v>6403</v>
      </c>
      <c r="L1187" s="36"/>
      <c r="M1187" s="36" t="s">
        <v>4802</v>
      </c>
    </row>
    <row r="1188" spans="1:13" hidden="1" x14ac:dyDescent="0.25">
      <c r="A1188" s="49">
        <f t="shared" si="19"/>
        <v>1186</v>
      </c>
      <c r="B1188" s="36" t="s">
        <v>3298</v>
      </c>
      <c r="C1188" s="36" t="s">
        <v>6467</v>
      </c>
      <c r="D1188" s="36" t="s">
        <v>6567</v>
      </c>
      <c r="E1188" s="9" t="s">
        <v>6478</v>
      </c>
      <c r="F1188" s="9" t="s">
        <v>956</v>
      </c>
      <c r="G1188" s="36" t="s">
        <v>14</v>
      </c>
      <c r="I1188" s="36" t="s">
        <v>5293</v>
      </c>
      <c r="J1188" s="36" t="str">
        <f>VLOOKUP(Table2[[#This Row], [Author]],People!A:B,2,0)</f>
        <v>LS</v>
      </c>
      <c r="K1188" s="36" t="s">
        <v>6403</v>
      </c>
      <c r="L1188" s="36"/>
      <c r="M1188" s="36" t="s">
        <v>4802</v>
      </c>
    </row>
    <row r="1189" spans="1:13" hidden="1" x14ac:dyDescent="0.25">
      <c r="A1189" s="49">
        <f t="shared" si="19"/>
        <v>1187</v>
      </c>
      <c r="B1189" s="36" t="s">
        <v>3298</v>
      </c>
      <c r="C1189" s="36" t="s">
        <v>6467</v>
      </c>
      <c r="D1189" s="36" t="s">
        <v>6568</v>
      </c>
      <c r="E1189" s="9" t="s">
        <v>6479</v>
      </c>
      <c r="F1189" s="9" t="s">
        <v>956</v>
      </c>
      <c r="G1189" s="36" t="s">
        <v>14</v>
      </c>
      <c r="I1189" s="36" t="s">
        <v>5293</v>
      </c>
      <c r="J1189" s="36" t="str">
        <f>VLOOKUP(Table2[[#This Row], [Author]],People!A:B,2,0)</f>
        <v>LS</v>
      </c>
      <c r="K1189" s="36" t="s">
        <v>6403</v>
      </c>
      <c r="L1189" s="36"/>
      <c r="M1189" s="36" t="s">
        <v>4802</v>
      </c>
    </row>
    <row r="1190" spans="1:13" hidden="1" x14ac:dyDescent="0.25">
      <c r="A1190" s="49">
        <f t="shared" si="19"/>
        <v>1188</v>
      </c>
      <c r="B1190" s="36" t="s">
        <v>3298</v>
      </c>
      <c r="C1190" s="36" t="s">
        <v>6467</v>
      </c>
      <c r="D1190" s="36" t="s">
        <v>6569</v>
      </c>
      <c r="E1190" s="9" t="s">
        <v>6480</v>
      </c>
      <c r="F1190" s="9" t="s">
        <v>951</v>
      </c>
      <c r="G1190" s="36" t="s">
        <v>14</v>
      </c>
      <c r="I1190" s="36" t="s">
        <v>5293</v>
      </c>
      <c r="J1190" s="36" t="str">
        <f>VLOOKUP(Table2[[#This Row], [Author]],People!A:B,2,0)</f>
        <v>LS</v>
      </c>
      <c r="K1190" s="36" t="s">
        <v>6403</v>
      </c>
      <c r="L1190" s="36"/>
      <c r="M1190" s="36" t="s">
        <v>4802</v>
      </c>
    </row>
    <row r="1191" spans="1:13" hidden="1" x14ac:dyDescent="0.25">
      <c r="A1191" s="49">
        <f t="shared" si="19"/>
        <v>1189</v>
      </c>
      <c r="B1191" s="36" t="s">
        <v>3298</v>
      </c>
      <c r="C1191" s="36" t="s">
        <v>6467</v>
      </c>
      <c r="D1191" s="36" t="s">
        <v>6570</v>
      </c>
      <c r="E1191" s="9" t="s">
        <v>6481</v>
      </c>
      <c r="F1191" s="9" t="s">
        <v>951</v>
      </c>
      <c r="G1191" s="36" t="s">
        <v>14</v>
      </c>
      <c r="I1191" s="36" t="s">
        <v>5293</v>
      </c>
      <c r="J1191" s="36" t="str">
        <f>VLOOKUP(Table2[[#This Row], [Author]],People!A:B,2,0)</f>
        <v>LS</v>
      </c>
      <c r="K1191" s="36" t="s">
        <v>6403</v>
      </c>
      <c r="L1191" s="36"/>
      <c r="M1191" s="36" t="s">
        <v>4802</v>
      </c>
    </row>
    <row r="1192" spans="1:13" hidden="1" x14ac:dyDescent="0.25">
      <c r="A1192" s="49">
        <f t="shared" si="19"/>
        <v>1190</v>
      </c>
      <c r="B1192" s="36" t="s">
        <v>3298</v>
      </c>
      <c r="C1192" s="36" t="s">
        <v>6467</v>
      </c>
      <c r="D1192" s="36" t="s">
        <v>6571</v>
      </c>
      <c r="E1192" s="9" t="s">
        <v>6482</v>
      </c>
      <c r="F1192" s="9" t="s">
        <v>951</v>
      </c>
      <c r="G1192" s="36" t="s">
        <v>14</v>
      </c>
      <c r="I1192" s="36" t="s">
        <v>5293</v>
      </c>
      <c r="J1192" s="36" t="str">
        <f>VLOOKUP(Table2[[#This Row], [Author]],People!A:B,2,0)</f>
        <v>LS</v>
      </c>
      <c r="K1192" s="36" t="s">
        <v>6403</v>
      </c>
      <c r="L1192" s="36"/>
      <c r="M1192" s="36" t="s">
        <v>4802</v>
      </c>
    </row>
    <row r="1193" spans="1:13" hidden="1" x14ac:dyDescent="0.25">
      <c r="A1193" s="49">
        <f t="shared" si="19"/>
        <v>1191</v>
      </c>
      <c r="B1193" s="36" t="s">
        <v>3298</v>
      </c>
      <c r="C1193" s="36" t="s">
        <v>6467</v>
      </c>
      <c r="D1193" s="36" t="s">
        <v>6572</v>
      </c>
      <c r="E1193" s="9" t="s">
        <v>6483</v>
      </c>
      <c r="F1193" s="9" t="s">
        <v>951</v>
      </c>
      <c r="G1193" s="36" t="s">
        <v>14</v>
      </c>
      <c r="I1193" s="36" t="s">
        <v>5293</v>
      </c>
      <c r="J1193" s="36" t="str">
        <f>VLOOKUP(Table2[[#This Row], [Author]],People!A:B,2,0)</f>
        <v>LS</v>
      </c>
      <c r="K1193" s="36" t="s">
        <v>6403</v>
      </c>
      <c r="L1193" s="36"/>
      <c r="M1193" s="36" t="s">
        <v>4802</v>
      </c>
    </row>
    <row r="1194" spans="1:13" hidden="1" x14ac:dyDescent="0.25">
      <c r="A1194" s="49">
        <f t="shared" si="19"/>
        <v>1192</v>
      </c>
      <c r="B1194" s="36" t="s">
        <v>3298</v>
      </c>
      <c r="C1194" s="36" t="s">
        <v>6467</v>
      </c>
      <c r="D1194" s="36" t="s">
        <v>6573</v>
      </c>
      <c r="E1194" s="9" t="s">
        <v>6484</v>
      </c>
      <c r="F1194" s="9" t="s">
        <v>6485</v>
      </c>
      <c r="G1194" s="36" t="s">
        <v>14</v>
      </c>
      <c r="I1194" s="36" t="s">
        <v>5293</v>
      </c>
      <c r="J1194" s="36" t="str">
        <f>VLOOKUP(Table2[[#This Row], [Author]],People!A:B,2,0)</f>
        <v>LS</v>
      </c>
      <c r="K1194" s="36" t="s">
        <v>6403</v>
      </c>
      <c r="L1194" s="36"/>
      <c r="M1194" s="36" t="s">
        <v>4802</v>
      </c>
    </row>
    <row r="1195" spans="1:13" hidden="1" x14ac:dyDescent="0.25">
      <c r="A1195" s="49">
        <f t="shared" si="19"/>
        <v>1193</v>
      </c>
      <c r="B1195" s="36" t="s">
        <v>3298</v>
      </c>
      <c r="C1195" s="36" t="s">
        <v>6467</v>
      </c>
      <c r="D1195" s="36" t="s">
        <v>6574</v>
      </c>
      <c r="E1195" s="9" t="s">
        <v>6486</v>
      </c>
      <c r="F1195" s="9" t="s">
        <v>6485</v>
      </c>
      <c r="G1195" s="36" t="s">
        <v>14</v>
      </c>
      <c r="I1195" s="36" t="s">
        <v>5293</v>
      </c>
      <c r="J1195" s="36" t="str">
        <f>VLOOKUP(Table2[[#This Row], [Author]],People!A:B,2,0)</f>
        <v>LS</v>
      </c>
      <c r="K1195" s="36" t="s">
        <v>6403</v>
      </c>
      <c r="L1195" s="36"/>
      <c r="M1195" s="36" t="s">
        <v>4802</v>
      </c>
    </row>
    <row r="1196" spans="1:13" hidden="1" x14ac:dyDescent="0.25">
      <c r="A1196" s="49">
        <f t="shared" si="19"/>
        <v>1194</v>
      </c>
      <c r="B1196" s="36" t="s">
        <v>3298</v>
      </c>
      <c r="C1196" s="36" t="s">
        <v>6467</v>
      </c>
      <c r="D1196" s="36" t="s">
        <v>6575</v>
      </c>
      <c r="E1196" s="9" t="s">
        <v>6487</v>
      </c>
      <c r="F1196" s="9" t="s">
        <v>6485</v>
      </c>
      <c r="G1196" s="36" t="s">
        <v>14</v>
      </c>
      <c r="I1196" s="36" t="s">
        <v>5293</v>
      </c>
      <c r="J1196" s="36" t="str">
        <f>VLOOKUP(Table2[[#This Row], [Author]],People!A:B,2,0)</f>
        <v>LS</v>
      </c>
      <c r="K1196" s="36" t="s">
        <v>6403</v>
      </c>
      <c r="L1196" s="36"/>
      <c r="M1196" s="36" t="s">
        <v>4802</v>
      </c>
    </row>
    <row r="1197" spans="1:13" hidden="1" x14ac:dyDescent="0.25">
      <c r="A1197" s="49">
        <f t="shared" si="19"/>
        <v>1195</v>
      </c>
      <c r="B1197" s="36" t="s">
        <v>3298</v>
      </c>
      <c r="C1197" s="36" t="s">
        <v>6467</v>
      </c>
      <c r="D1197" s="9" t="s">
        <v>4060</v>
      </c>
      <c r="E1197" s="9" t="s">
        <v>6488</v>
      </c>
      <c r="G1197" s="9" t="s">
        <v>15</v>
      </c>
      <c r="I1197" s="36" t="s">
        <v>5293</v>
      </c>
      <c r="J1197" s="36" t="str">
        <f>VLOOKUP(Table2[[#This Row], [Author]],People!A:B,2,0)</f>
        <v>LS</v>
      </c>
      <c r="K1197" s="36" t="s">
        <v>6404</v>
      </c>
      <c r="L1197" s="36" t="e">
        <f>VLOOKUP(Table2[[#This Row],[Node]],#REF!,2,0)=Table2[[#This Row],[Name]]</f>
        <v>#REF!</v>
      </c>
      <c r="M1197" s="36" t="s">
        <v>4802</v>
      </c>
    </row>
    <row r="1198" spans="1:13" hidden="1" x14ac:dyDescent="0.25">
      <c r="A1198" s="49">
        <f t="shared" si="19"/>
        <v>1196</v>
      </c>
      <c r="B1198" s="36" t="s">
        <v>3298</v>
      </c>
      <c r="C1198" s="36" t="s">
        <v>6467</v>
      </c>
      <c r="D1198" s="9" t="s">
        <v>3487</v>
      </c>
      <c r="E1198" s="9" t="s">
        <v>6489</v>
      </c>
      <c r="G1198" s="36" t="s">
        <v>15</v>
      </c>
      <c r="I1198" s="36" t="s">
        <v>5293</v>
      </c>
      <c r="J1198" s="36" t="str">
        <f>VLOOKUP(Table2[[#This Row], [Author]],People!A:B,2,0)</f>
        <v>LS</v>
      </c>
      <c r="K1198" s="36" t="s">
        <v>6404</v>
      </c>
      <c r="L1198" s="36" t="e">
        <f>VLOOKUP(Table2[[#This Row],[Node]],#REF!,2,0)=Table2[[#This Row],[Name]]</f>
        <v>#REF!</v>
      </c>
      <c r="M1198" s="36" t="s">
        <v>4802</v>
      </c>
    </row>
    <row r="1199" spans="1:13" hidden="1" x14ac:dyDescent="0.25">
      <c r="A1199" s="49">
        <f t="shared" si="19"/>
        <v>1197</v>
      </c>
      <c r="B1199" s="36" t="s">
        <v>3298</v>
      </c>
      <c r="C1199" s="36" t="s">
        <v>6467</v>
      </c>
      <c r="D1199" s="9" t="s">
        <v>3921</v>
      </c>
      <c r="E1199" s="9" t="s">
        <v>6490</v>
      </c>
      <c r="G1199" s="36" t="s">
        <v>15</v>
      </c>
      <c r="I1199" s="36" t="s">
        <v>5293</v>
      </c>
      <c r="J1199" s="36" t="str">
        <f>VLOOKUP(Table2[[#This Row], [Author]],People!A:B,2,0)</f>
        <v>LS</v>
      </c>
      <c r="K1199" s="36" t="s">
        <v>6404</v>
      </c>
      <c r="L1199" s="36" t="e">
        <f>VLOOKUP(Table2[[#This Row],[Node]],#REF!,2,0)=Table2[[#This Row],[Name]]</f>
        <v>#REF!</v>
      </c>
      <c r="M1199" s="36" t="s">
        <v>4802</v>
      </c>
    </row>
    <row r="1200" spans="1:13" hidden="1" x14ac:dyDescent="0.25">
      <c r="A1200" s="49">
        <f t="shared" si="19"/>
        <v>1198</v>
      </c>
      <c r="B1200" s="36" t="s">
        <v>3298</v>
      </c>
      <c r="C1200" s="36" t="s">
        <v>6467</v>
      </c>
      <c r="D1200" s="9" t="s">
        <v>3492</v>
      </c>
      <c r="E1200" s="9" t="s">
        <v>6491</v>
      </c>
      <c r="G1200" s="36" t="s">
        <v>15</v>
      </c>
      <c r="I1200" s="36" t="s">
        <v>5293</v>
      </c>
      <c r="J1200" s="36" t="str">
        <f>VLOOKUP(Table2[[#This Row], [Author]],People!A:B,2,0)</f>
        <v>LS</v>
      </c>
      <c r="K1200" s="36" t="s">
        <v>6404</v>
      </c>
      <c r="L1200" s="36" t="e">
        <f>VLOOKUP(Table2[[#This Row],[Node]],#REF!,2,0)=Table2[[#This Row],[Name]]</f>
        <v>#REF!</v>
      </c>
      <c r="M1200" s="36" t="s">
        <v>4802</v>
      </c>
    </row>
    <row r="1201" spans="1:13" hidden="1" x14ac:dyDescent="0.25">
      <c r="A1201" s="49">
        <f t="shared" si="19"/>
        <v>1199</v>
      </c>
      <c r="B1201" s="36" t="s">
        <v>3298</v>
      </c>
      <c r="C1201" s="36" t="s">
        <v>6467</v>
      </c>
      <c r="D1201" s="9" t="s">
        <v>3994</v>
      </c>
      <c r="E1201" s="9" t="s">
        <v>6492</v>
      </c>
      <c r="G1201" s="36" t="s">
        <v>15</v>
      </c>
      <c r="I1201" s="36" t="s">
        <v>5293</v>
      </c>
      <c r="J1201" s="36" t="str">
        <f>VLOOKUP(Table2[[#This Row], [Author]],People!A:B,2,0)</f>
        <v>LS</v>
      </c>
      <c r="K1201" s="36" t="s">
        <v>6404</v>
      </c>
      <c r="L1201" s="36" t="e">
        <f>VLOOKUP(Table2[[#This Row],[Node]],#REF!,2,0)=Table2[[#This Row],[Name]]</f>
        <v>#REF!</v>
      </c>
      <c r="M1201" s="36" t="s">
        <v>4802</v>
      </c>
    </row>
    <row r="1202" spans="1:13" hidden="1" x14ac:dyDescent="0.25">
      <c r="A1202" s="49">
        <f t="shared" si="19"/>
        <v>1200</v>
      </c>
      <c r="B1202" s="36" t="s">
        <v>3298</v>
      </c>
      <c r="C1202" s="36" t="s">
        <v>6467</v>
      </c>
      <c r="D1202" s="9" t="s">
        <v>3565</v>
      </c>
      <c r="E1202" s="9" t="s">
        <v>6493</v>
      </c>
      <c r="G1202" s="36" t="s">
        <v>15</v>
      </c>
      <c r="I1202" s="36" t="s">
        <v>5293</v>
      </c>
      <c r="J1202" s="36" t="str">
        <f>VLOOKUP(Table2[[#This Row], [Author]],People!A:B,2,0)</f>
        <v>LS</v>
      </c>
      <c r="K1202" s="36" t="s">
        <v>6404</v>
      </c>
      <c r="L1202" s="36" t="e">
        <f>VLOOKUP(Table2[[#This Row],[Node]],#REF!,2,0)=Table2[[#This Row],[Name]]</f>
        <v>#REF!</v>
      </c>
      <c r="M1202" s="36" t="s">
        <v>4802</v>
      </c>
    </row>
    <row r="1203" spans="1:13" hidden="1" x14ac:dyDescent="0.25">
      <c r="A1203" s="49">
        <f t="shared" si="19"/>
        <v>1201</v>
      </c>
      <c r="B1203" s="36" t="s">
        <v>3298</v>
      </c>
      <c r="C1203" s="36" t="s">
        <v>6467</v>
      </c>
      <c r="D1203" s="9" t="s">
        <v>956</v>
      </c>
      <c r="E1203" s="9" t="s">
        <v>6494</v>
      </c>
      <c r="G1203" s="36" t="s">
        <v>15</v>
      </c>
      <c r="I1203" s="36" t="s">
        <v>5293</v>
      </c>
      <c r="J1203" s="36" t="str">
        <f>VLOOKUP(Table2[[#This Row], [Author]],People!A:B,2,0)</f>
        <v>LS</v>
      </c>
      <c r="K1203" s="36" t="s">
        <v>6404</v>
      </c>
      <c r="L1203" s="36" t="e">
        <f>VLOOKUP(Table2[[#This Row],[Node]],#REF!,2,0)=Table2[[#This Row],[Name]]</f>
        <v>#REF!</v>
      </c>
      <c r="M1203" s="36" t="s">
        <v>4802</v>
      </c>
    </row>
    <row r="1204" spans="1:13" hidden="1" x14ac:dyDescent="0.25">
      <c r="A1204" s="49">
        <f t="shared" si="19"/>
        <v>1202</v>
      </c>
      <c r="B1204" s="36" t="s">
        <v>3298</v>
      </c>
      <c r="C1204" s="36" t="s">
        <v>6467</v>
      </c>
      <c r="D1204" s="9" t="s">
        <v>1388</v>
      </c>
      <c r="E1204" s="9" t="s">
        <v>6495</v>
      </c>
      <c r="G1204" s="36" t="s">
        <v>15</v>
      </c>
      <c r="I1204" s="36" t="s">
        <v>5293</v>
      </c>
      <c r="J1204" s="36" t="str">
        <f>VLOOKUP(Table2[[#This Row], [Author]],People!A:B,2,0)</f>
        <v>LS</v>
      </c>
      <c r="K1204" s="36" t="s">
        <v>6404</v>
      </c>
      <c r="L1204" s="36" t="e">
        <f>VLOOKUP(Table2[[#This Row],[Node]],#REF!,2,0)=Table2[[#This Row],[Name]]</f>
        <v>#REF!</v>
      </c>
      <c r="M1204" s="36" t="s">
        <v>4802</v>
      </c>
    </row>
    <row r="1205" spans="1:13" hidden="1" x14ac:dyDescent="0.25">
      <c r="A1205" s="49">
        <f t="shared" si="19"/>
        <v>1203</v>
      </c>
      <c r="B1205" s="36" t="s">
        <v>3298</v>
      </c>
      <c r="C1205" s="36" t="s">
        <v>6467</v>
      </c>
      <c r="D1205" s="9" t="s">
        <v>1735</v>
      </c>
      <c r="E1205" s="9" t="s">
        <v>6496</v>
      </c>
      <c r="G1205" s="36" t="s">
        <v>15</v>
      </c>
      <c r="I1205" s="36" t="s">
        <v>5293</v>
      </c>
      <c r="J1205" s="36" t="str">
        <f>VLOOKUP(Table2[[#This Row], [Author]],People!A:B,2,0)</f>
        <v>LS</v>
      </c>
      <c r="K1205" s="36" t="s">
        <v>6404</v>
      </c>
      <c r="L1205" s="36" t="e">
        <f>VLOOKUP(Table2[[#This Row],[Node]],#REF!,2,0)=Table2[[#This Row],[Name]]</f>
        <v>#REF!</v>
      </c>
      <c r="M1205" s="36" t="s">
        <v>4802</v>
      </c>
    </row>
    <row r="1206" spans="1:13" hidden="1" x14ac:dyDescent="0.25">
      <c r="A1206" s="49">
        <f t="shared" si="19"/>
        <v>1204</v>
      </c>
      <c r="B1206" s="36" t="s">
        <v>3298</v>
      </c>
      <c r="C1206" s="36" t="s">
        <v>6467</v>
      </c>
      <c r="D1206" s="9" t="s">
        <v>1733</v>
      </c>
      <c r="E1206" s="9" t="s">
        <v>6497</v>
      </c>
      <c r="G1206" s="36" t="s">
        <v>15</v>
      </c>
      <c r="I1206" s="36" t="s">
        <v>5293</v>
      </c>
      <c r="J1206" s="36" t="str">
        <f>VLOOKUP(Table2[[#This Row], [Author]],People!A:B,2,0)</f>
        <v>LS</v>
      </c>
      <c r="K1206" s="36" t="s">
        <v>6404</v>
      </c>
      <c r="L1206" s="36" t="e">
        <f>VLOOKUP(Table2[[#This Row],[Node]],#REF!,2,0)=Table2[[#This Row],[Name]]</f>
        <v>#REF!</v>
      </c>
      <c r="M1206" s="36" t="s">
        <v>4802</v>
      </c>
    </row>
    <row r="1207" spans="1:13" hidden="1" x14ac:dyDescent="0.25">
      <c r="A1207" s="49">
        <f t="shared" si="19"/>
        <v>1205</v>
      </c>
      <c r="B1207" s="36" t="s">
        <v>3298</v>
      </c>
      <c r="C1207" s="36" t="s">
        <v>6467</v>
      </c>
      <c r="D1207" s="9" t="s">
        <v>1394</v>
      </c>
      <c r="E1207" s="9" t="s">
        <v>6498</v>
      </c>
      <c r="G1207" s="36" t="s">
        <v>15</v>
      </c>
      <c r="I1207" s="36" t="s">
        <v>5293</v>
      </c>
      <c r="J1207" s="36" t="str">
        <f>VLOOKUP(Table2[[#This Row], [Author]],People!A:B,2,0)</f>
        <v>LS</v>
      </c>
      <c r="K1207" s="36" t="s">
        <v>6404</v>
      </c>
      <c r="L1207" s="36" t="e">
        <f>VLOOKUP(Table2[[#This Row],[Node]],#REF!,2,0)=Table2[[#This Row],[Name]]</f>
        <v>#REF!</v>
      </c>
      <c r="M1207" s="36" t="s">
        <v>4802</v>
      </c>
    </row>
    <row r="1208" spans="1:13" hidden="1" x14ac:dyDescent="0.25">
      <c r="A1208" s="49">
        <f t="shared" si="19"/>
        <v>1206</v>
      </c>
      <c r="B1208" s="36" t="s">
        <v>3298</v>
      </c>
      <c r="C1208" s="36" t="s">
        <v>6467</v>
      </c>
      <c r="D1208" s="9" t="s">
        <v>6499</v>
      </c>
      <c r="E1208" s="9" t="s">
        <v>6500</v>
      </c>
      <c r="G1208" s="36" t="s">
        <v>15</v>
      </c>
      <c r="I1208" s="36" t="s">
        <v>5293</v>
      </c>
      <c r="J1208" s="36" t="str">
        <f>VLOOKUP(Table2[[#This Row], [Author]],People!A:B,2,0)</f>
        <v>LS</v>
      </c>
      <c r="K1208" s="36" t="s">
        <v>6404</v>
      </c>
      <c r="L1208" s="36" t="e">
        <f>VLOOKUP(Table2[[#This Row],[Node]],#REF!,2,0)=Table2[[#This Row],[Name]]</f>
        <v>#REF!</v>
      </c>
      <c r="M1208" s="36" t="s">
        <v>4802</v>
      </c>
    </row>
    <row r="1209" spans="1:13" hidden="1" x14ac:dyDescent="0.25">
      <c r="A1209" s="49">
        <f t="shared" si="19"/>
        <v>1207</v>
      </c>
      <c r="B1209" s="36" t="s">
        <v>3298</v>
      </c>
      <c r="C1209" s="36" t="s">
        <v>6467</v>
      </c>
      <c r="D1209" s="9" t="s">
        <v>6501</v>
      </c>
      <c r="E1209" s="9" t="s">
        <v>6502</v>
      </c>
      <c r="G1209" s="36" t="s">
        <v>15</v>
      </c>
      <c r="I1209" s="36" t="s">
        <v>5293</v>
      </c>
      <c r="J1209" s="36" t="str">
        <f>VLOOKUP(Table2[[#This Row], [Author]],People!A:B,2,0)</f>
        <v>LS</v>
      </c>
      <c r="K1209" s="36" t="s">
        <v>6404</v>
      </c>
      <c r="L1209" s="36" t="e">
        <f>VLOOKUP(Table2[[#This Row],[Node]],#REF!,2,0)=Table2[[#This Row],[Name]]</f>
        <v>#REF!</v>
      </c>
      <c r="M1209" s="36" t="s">
        <v>4802</v>
      </c>
    </row>
    <row r="1210" spans="1:13" hidden="1" x14ac:dyDescent="0.25">
      <c r="A1210" s="49">
        <f t="shared" si="19"/>
        <v>1208</v>
      </c>
      <c r="B1210" s="36" t="s">
        <v>3298</v>
      </c>
      <c r="C1210" s="36" t="s">
        <v>6467</v>
      </c>
      <c r="D1210" s="9" t="s">
        <v>6503</v>
      </c>
      <c r="E1210" s="9" t="s">
        <v>6504</v>
      </c>
      <c r="G1210" s="36" t="s">
        <v>15</v>
      </c>
      <c r="I1210" s="36" t="s">
        <v>5293</v>
      </c>
      <c r="J1210" s="36" t="str">
        <f>VLOOKUP(Table2[[#This Row], [Author]],People!A:B,2,0)</f>
        <v>LS</v>
      </c>
      <c r="K1210" s="36" t="s">
        <v>6404</v>
      </c>
      <c r="L1210" s="36" t="e">
        <f>VLOOKUP(Table2[[#This Row],[Node]],#REF!,2,0)=Table2[[#This Row],[Name]]</f>
        <v>#REF!</v>
      </c>
      <c r="M1210" s="36" t="s">
        <v>4802</v>
      </c>
    </row>
    <row r="1211" spans="1:13" hidden="1" x14ac:dyDescent="0.25">
      <c r="A1211" s="49">
        <f t="shared" si="19"/>
        <v>1209</v>
      </c>
      <c r="B1211" s="36" t="s">
        <v>3298</v>
      </c>
      <c r="C1211" s="36" t="s">
        <v>6467</v>
      </c>
      <c r="D1211" s="9" t="s">
        <v>1396</v>
      </c>
      <c r="E1211" s="9" t="s">
        <v>6505</v>
      </c>
      <c r="G1211" s="36" t="s">
        <v>15</v>
      </c>
      <c r="I1211" s="36" t="s">
        <v>5293</v>
      </c>
      <c r="J1211" s="36" t="str">
        <f>VLOOKUP(Table2[[#This Row], [Author]],People!A:B,2,0)</f>
        <v>LS</v>
      </c>
      <c r="K1211" s="36" t="s">
        <v>6404</v>
      </c>
      <c r="L1211" s="36" t="e">
        <f>VLOOKUP(Table2[[#This Row],[Node]],#REF!,2,0)=Table2[[#This Row],[Name]]</f>
        <v>#REF!</v>
      </c>
      <c r="M1211" s="36" t="s">
        <v>4802</v>
      </c>
    </row>
    <row r="1212" spans="1:13" hidden="1" x14ac:dyDescent="0.25">
      <c r="A1212" s="49">
        <f t="shared" si="19"/>
        <v>1210</v>
      </c>
      <c r="B1212" s="36" t="s">
        <v>3298</v>
      </c>
      <c r="C1212" s="36" t="s">
        <v>6467</v>
      </c>
      <c r="D1212" s="9" t="s">
        <v>1392</v>
      </c>
      <c r="E1212" s="9" t="s">
        <v>6506</v>
      </c>
      <c r="G1212" s="36" t="s">
        <v>15</v>
      </c>
      <c r="I1212" s="36" t="s">
        <v>5293</v>
      </c>
      <c r="J1212" s="36" t="str">
        <f>VLOOKUP(Table2[[#This Row], [Author]],People!A:B,2,0)</f>
        <v>LS</v>
      </c>
      <c r="K1212" s="36" t="s">
        <v>6404</v>
      </c>
      <c r="L1212" s="36" t="e">
        <f>VLOOKUP(Table2[[#This Row],[Node]],#REF!,2,0)=Table2[[#This Row],[Name]]</f>
        <v>#REF!</v>
      </c>
      <c r="M1212" s="36" t="s">
        <v>4802</v>
      </c>
    </row>
    <row r="1213" spans="1:13" hidden="1" x14ac:dyDescent="0.25">
      <c r="A1213" s="49">
        <f t="shared" si="19"/>
        <v>1211</v>
      </c>
      <c r="B1213" s="36" t="s">
        <v>3298</v>
      </c>
      <c r="C1213" s="36" t="s">
        <v>6467</v>
      </c>
      <c r="D1213" s="9" t="s">
        <v>1390</v>
      </c>
      <c r="E1213" s="9" t="s">
        <v>6507</v>
      </c>
      <c r="G1213" s="36" t="s">
        <v>15</v>
      </c>
      <c r="I1213" s="36" t="s">
        <v>5293</v>
      </c>
      <c r="J1213" s="36" t="str">
        <f>VLOOKUP(Table2[[#This Row], [Author]],People!A:B,2,0)</f>
        <v>LS</v>
      </c>
      <c r="K1213" s="36" t="s">
        <v>6404</v>
      </c>
      <c r="L1213" s="36" t="e">
        <f>VLOOKUP(Table2[[#This Row],[Node]],#REF!,2,0)=Table2[[#This Row],[Name]]</f>
        <v>#REF!</v>
      </c>
      <c r="M1213" s="36" t="s">
        <v>4802</v>
      </c>
    </row>
    <row r="1214" spans="1:13" hidden="1" x14ac:dyDescent="0.25">
      <c r="A1214" s="49">
        <f t="shared" si="19"/>
        <v>1212</v>
      </c>
      <c r="B1214" s="36" t="s">
        <v>3298</v>
      </c>
      <c r="C1214" s="36" t="s">
        <v>6467</v>
      </c>
      <c r="D1214" s="9" t="s">
        <v>6508</v>
      </c>
      <c r="E1214" s="9" t="s">
        <v>6509</v>
      </c>
      <c r="G1214" s="36" t="s">
        <v>15</v>
      </c>
      <c r="I1214" s="36" t="s">
        <v>5293</v>
      </c>
      <c r="J1214" s="36" t="str">
        <f>VLOOKUP(Table2[[#This Row], [Author]],People!A:B,2,0)</f>
        <v>LS</v>
      </c>
      <c r="K1214" s="36" t="s">
        <v>6404</v>
      </c>
      <c r="L1214" s="36" t="e">
        <f>VLOOKUP(Table2[[#This Row],[Node]],#REF!,2,0)=Table2[[#This Row],[Name]]</f>
        <v>#REF!</v>
      </c>
      <c r="M1214" s="36" t="s">
        <v>4802</v>
      </c>
    </row>
    <row r="1215" spans="1:13" hidden="1" x14ac:dyDescent="0.25">
      <c r="A1215" s="49">
        <f t="shared" si="19"/>
        <v>1213</v>
      </c>
      <c r="B1215" s="36" t="s">
        <v>3298</v>
      </c>
      <c r="C1215" s="36" t="s">
        <v>6467</v>
      </c>
      <c r="D1215" s="9" t="s">
        <v>954</v>
      </c>
      <c r="E1215" s="9" t="s">
        <v>6510</v>
      </c>
      <c r="G1215" s="36" t="s">
        <v>15</v>
      </c>
      <c r="I1215" s="36" t="s">
        <v>5293</v>
      </c>
      <c r="J1215" s="36" t="str">
        <f>VLOOKUP(Table2[[#This Row], [Author]],People!A:B,2,0)</f>
        <v>LS</v>
      </c>
      <c r="K1215" s="36" t="s">
        <v>6404</v>
      </c>
      <c r="L1215" s="36" t="e">
        <f>VLOOKUP(Table2[[#This Row],[Node]],#REF!,2,0)=Table2[[#This Row],[Name]]</f>
        <v>#REF!</v>
      </c>
      <c r="M1215" s="36" t="s">
        <v>4802</v>
      </c>
    </row>
    <row r="1216" spans="1:13" hidden="1" x14ac:dyDescent="0.25">
      <c r="A1216" s="49">
        <f t="shared" si="19"/>
        <v>1214</v>
      </c>
      <c r="B1216" s="36" t="s">
        <v>3298</v>
      </c>
      <c r="C1216" s="36" t="s">
        <v>6467</v>
      </c>
      <c r="D1216" s="9" t="s">
        <v>6511</v>
      </c>
      <c r="E1216" s="9" t="s">
        <v>6512</v>
      </c>
      <c r="G1216" s="36" t="s">
        <v>15</v>
      </c>
      <c r="I1216" s="36" t="s">
        <v>5293</v>
      </c>
      <c r="J1216" s="36" t="str">
        <f>VLOOKUP(Table2[[#This Row], [Author]],People!A:B,2,0)</f>
        <v>LS</v>
      </c>
      <c r="K1216" s="36" t="s">
        <v>6404</v>
      </c>
      <c r="L1216" s="36" t="e">
        <f>VLOOKUP(Table2[[#This Row],[Node]],#REF!,2,0)=Table2[[#This Row],[Name]]</f>
        <v>#REF!</v>
      </c>
      <c r="M1216" s="36" t="s">
        <v>4802</v>
      </c>
    </row>
    <row r="1217" spans="1:13" hidden="1" x14ac:dyDescent="0.25">
      <c r="A1217" s="49">
        <f t="shared" si="19"/>
        <v>1215</v>
      </c>
      <c r="B1217" s="36" t="s">
        <v>3298</v>
      </c>
      <c r="C1217" s="36" t="s">
        <v>6467</v>
      </c>
      <c r="D1217" s="9" t="s">
        <v>1675</v>
      </c>
      <c r="E1217" s="9" t="s">
        <v>6513</v>
      </c>
      <c r="G1217" s="36" t="s">
        <v>15</v>
      </c>
      <c r="I1217" s="36" t="s">
        <v>5293</v>
      </c>
      <c r="J1217" s="36" t="str">
        <f>VLOOKUP(Table2[[#This Row], [Author]],People!A:B,2,0)</f>
        <v>LS</v>
      </c>
      <c r="K1217" s="36" t="s">
        <v>6404</v>
      </c>
      <c r="L1217" s="36" t="e">
        <f>VLOOKUP(Table2[[#This Row],[Node]],#REF!,2,0)=Table2[[#This Row],[Name]]</f>
        <v>#REF!</v>
      </c>
      <c r="M1217" s="36" t="s">
        <v>4802</v>
      </c>
    </row>
    <row r="1218" spans="1:13" hidden="1" x14ac:dyDescent="0.25">
      <c r="A1218" s="49">
        <f t="shared" si="19"/>
        <v>1216</v>
      </c>
      <c r="B1218" s="36" t="s">
        <v>3298</v>
      </c>
      <c r="C1218" s="36" t="s">
        <v>6467</v>
      </c>
      <c r="D1218" s="9" t="s">
        <v>1945</v>
      </c>
      <c r="E1218" s="9" t="s">
        <v>6514</v>
      </c>
      <c r="G1218" s="36" t="s">
        <v>15</v>
      </c>
      <c r="I1218" s="36" t="s">
        <v>5293</v>
      </c>
      <c r="J1218" s="36" t="str">
        <f>VLOOKUP(Table2[[#This Row], [Author]],People!A:B,2,0)</f>
        <v>LS</v>
      </c>
      <c r="K1218" s="36" t="s">
        <v>6404</v>
      </c>
      <c r="L1218" s="36" t="e">
        <f>VLOOKUP(Table2[[#This Row],[Node]],#REF!,2,0)=Table2[[#This Row],[Name]]</f>
        <v>#REF!</v>
      </c>
      <c r="M1218" s="36" t="s">
        <v>4802</v>
      </c>
    </row>
    <row r="1219" spans="1:13" hidden="1" x14ac:dyDescent="0.25">
      <c r="A1219" s="49">
        <f t="shared" si="19"/>
        <v>1217</v>
      </c>
      <c r="B1219" s="36" t="s">
        <v>3298</v>
      </c>
      <c r="C1219" s="36" t="s">
        <v>6467</v>
      </c>
      <c r="D1219" s="9" t="s">
        <v>6515</v>
      </c>
      <c r="E1219" s="9" t="s">
        <v>6516</v>
      </c>
      <c r="G1219" s="36" t="s">
        <v>15</v>
      </c>
      <c r="I1219" s="36" t="s">
        <v>5293</v>
      </c>
      <c r="J1219" s="36" t="str">
        <f>VLOOKUP(Table2[[#This Row], [Author]],People!A:B,2,0)</f>
        <v>LS</v>
      </c>
      <c r="K1219" s="36" t="s">
        <v>6404</v>
      </c>
      <c r="L1219" s="36" t="e">
        <f>VLOOKUP(Table2[[#This Row],[Node]],#REF!,2,0)=Table2[[#This Row],[Name]]</f>
        <v>#REF!</v>
      </c>
      <c r="M1219" s="36" t="s">
        <v>4802</v>
      </c>
    </row>
    <row r="1220" spans="1:13" hidden="1" x14ac:dyDescent="0.25">
      <c r="A1220" s="49">
        <f t="shared" si="19"/>
        <v>1218</v>
      </c>
      <c r="B1220" s="36" t="s">
        <v>3298</v>
      </c>
      <c r="C1220" s="36" t="s">
        <v>6467</v>
      </c>
      <c r="D1220" s="9" t="s">
        <v>6517</v>
      </c>
      <c r="E1220" s="9" t="s">
        <v>6518</v>
      </c>
      <c r="G1220" s="36" t="s">
        <v>15</v>
      </c>
      <c r="I1220" s="36" t="s">
        <v>5293</v>
      </c>
      <c r="J1220" s="36" t="str">
        <f>VLOOKUP(Table2[[#This Row], [Author]],People!A:B,2,0)</f>
        <v>LS</v>
      </c>
      <c r="K1220" s="36" t="s">
        <v>6404</v>
      </c>
      <c r="L1220" s="36" t="e">
        <f>VLOOKUP(Table2[[#This Row],[Node]],#REF!,2,0)=Table2[[#This Row],[Name]]</f>
        <v>#REF!</v>
      </c>
      <c r="M1220" s="36" t="s">
        <v>4802</v>
      </c>
    </row>
    <row r="1221" spans="1:13" hidden="1" x14ac:dyDescent="0.25">
      <c r="A1221" s="49">
        <f t="shared" si="19"/>
        <v>1219</v>
      </c>
      <c r="B1221" s="36" t="s">
        <v>3298</v>
      </c>
      <c r="C1221" s="36" t="s">
        <v>6467</v>
      </c>
      <c r="D1221" s="9" t="s">
        <v>6519</v>
      </c>
      <c r="E1221" s="9" t="s">
        <v>6520</v>
      </c>
      <c r="G1221" s="36" t="s">
        <v>15</v>
      </c>
      <c r="I1221" s="36" t="s">
        <v>5293</v>
      </c>
      <c r="J1221" s="36" t="str">
        <f>VLOOKUP(Table2[[#This Row], [Author]],People!A:B,2,0)</f>
        <v>LS</v>
      </c>
      <c r="K1221" s="36" t="s">
        <v>6404</v>
      </c>
      <c r="L1221" s="36" t="e">
        <f>VLOOKUP(Table2[[#This Row],[Node]],#REF!,2,0)=Table2[[#This Row],[Name]]</f>
        <v>#REF!</v>
      </c>
      <c r="M1221" s="36" t="s">
        <v>4802</v>
      </c>
    </row>
    <row r="1222" spans="1:13" hidden="1" x14ac:dyDescent="0.25">
      <c r="A1222" s="49">
        <f t="shared" si="19"/>
        <v>1220</v>
      </c>
      <c r="B1222" s="36" t="s">
        <v>3298</v>
      </c>
      <c r="C1222" s="36" t="s">
        <v>6467</v>
      </c>
      <c r="D1222" s="9" t="s">
        <v>6521</v>
      </c>
      <c r="E1222" s="9" t="s">
        <v>6522</v>
      </c>
      <c r="G1222" s="36" t="s">
        <v>15</v>
      </c>
      <c r="I1222" s="36" t="s">
        <v>5293</v>
      </c>
      <c r="J1222" s="36" t="str">
        <f>VLOOKUP(Table2[[#This Row], [Author]],People!A:B,2,0)</f>
        <v>LS</v>
      </c>
      <c r="K1222" s="36" t="s">
        <v>6404</v>
      </c>
      <c r="L1222" s="36" t="e">
        <f>VLOOKUP(Table2[[#This Row],[Node]],#REF!,2,0)=Table2[[#This Row],[Name]]</f>
        <v>#REF!</v>
      </c>
      <c r="M1222" s="36" t="s">
        <v>4802</v>
      </c>
    </row>
    <row r="1223" spans="1:13" hidden="1" x14ac:dyDescent="0.25">
      <c r="A1223" s="49">
        <f t="shared" si="19"/>
        <v>1221</v>
      </c>
      <c r="B1223" s="36" t="s">
        <v>3298</v>
      </c>
      <c r="C1223" s="36" t="s">
        <v>6467</v>
      </c>
      <c r="D1223" s="9" t="s">
        <v>5585</v>
      </c>
      <c r="E1223" s="9" t="s">
        <v>6523</v>
      </c>
      <c r="G1223" s="36" t="s">
        <v>15</v>
      </c>
      <c r="I1223" s="36" t="s">
        <v>5293</v>
      </c>
      <c r="J1223" s="36" t="str">
        <f>VLOOKUP(Table2[[#This Row], [Author]],People!A:B,2,0)</f>
        <v>LS</v>
      </c>
      <c r="K1223" s="36" t="s">
        <v>6404</v>
      </c>
      <c r="L1223" s="36" t="e">
        <f>VLOOKUP(Table2[[#This Row],[Node]],#REF!,2,0)=Table2[[#This Row],[Name]]</f>
        <v>#REF!</v>
      </c>
      <c r="M1223" s="36" t="s">
        <v>4802</v>
      </c>
    </row>
    <row r="1224" spans="1:13" hidden="1" x14ac:dyDescent="0.25">
      <c r="A1224" s="49">
        <f t="shared" si="19"/>
        <v>1222</v>
      </c>
      <c r="B1224" s="36" t="s">
        <v>3298</v>
      </c>
      <c r="C1224" s="36" t="s">
        <v>6467</v>
      </c>
      <c r="D1224" s="9" t="s">
        <v>6524</v>
      </c>
      <c r="E1224" s="9" t="s">
        <v>6525</v>
      </c>
      <c r="G1224" s="36" t="s">
        <v>15</v>
      </c>
      <c r="I1224" s="36" t="s">
        <v>5293</v>
      </c>
      <c r="J1224" s="36" t="str">
        <f>VLOOKUP(Table2[[#This Row], [Author]],People!A:B,2,0)</f>
        <v>LS</v>
      </c>
      <c r="K1224" s="36" t="s">
        <v>6404</v>
      </c>
      <c r="L1224" s="36" t="e">
        <f>VLOOKUP(Table2[[#This Row],[Node]],#REF!,2,0)=Table2[[#This Row],[Name]]</f>
        <v>#REF!</v>
      </c>
      <c r="M1224" s="36" t="s">
        <v>4802</v>
      </c>
    </row>
    <row r="1225" spans="1:13" hidden="1" x14ac:dyDescent="0.25">
      <c r="A1225" s="49">
        <f t="shared" si="19"/>
        <v>1223</v>
      </c>
      <c r="B1225" s="36" t="s">
        <v>3298</v>
      </c>
      <c r="C1225" s="36" t="s">
        <v>6467</v>
      </c>
      <c r="D1225" s="9" t="s">
        <v>6526</v>
      </c>
      <c r="E1225" s="9" t="s">
        <v>6527</v>
      </c>
      <c r="G1225" s="36" t="s">
        <v>15</v>
      </c>
      <c r="I1225" s="36" t="s">
        <v>5293</v>
      </c>
      <c r="J1225" s="36" t="str">
        <f>VLOOKUP(Table2[[#This Row], [Author]],People!A:B,2,0)</f>
        <v>LS</v>
      </c>
      <c r="K1225" s="36" t="s">
        <v>6404</v>
      </c>
      <c r="L1225" s="36" t="e">
        <f>VLOOKUP(Table2[[#This Row],[Node]],#REF!,2,0)=Table2[[#This Row],[Name]]</f>
        <v>#REF!</v>
      </c>
      <c r="M1225" s="36" t="s">
        <v>4802</v>
      </c>
    </row>
    <row r="1226" spans="1:13" hidden="1" x14ac:dyDescent="0.25">
      <c r="A1226" s="49">
        <f t="shared" si="19"/>
        <v>1224</v>
      </c>
      <c r="B1226" s="36" t="s">
        <v>3298</v>
      </c>
      <c r="C1226" s="36" t="s">
        <v>6467</v>
      </c>
      <c r="D1226" s="9" t="s">
        <v>6335</v>
      </c>
      <c r="E1226" s="9" t="s">
        <v>6528</v>
      </c>
      <c r="G1226" s="36" t="s">
        <v>15</v>
      </c>
      <c r="I1226" s="36" t="s">
        <v>5293</v>
      </c>
      <c r="J1226" s="36" t="str">
        <f>VLOOKUP(Table2[[#This Row], [Author]],People!A:B,2,0)</f>
        <v>LS</v>
      </c>
      <c r="K1226" s="36" t="s">
        <v>6404</v>
      </c>
      <c r="L1226" s="36" t="e">
        <f>VLOOKUP(Table2[[#This Row],[Node]],#REF!,2,0)=Table2[[#This Row],[Name]]</f>
        <v>#REF!</v>
      </c>
      <c r="M1226" s="36" t="s">
        <v>4802</v>
      </c>
    </row>
    <row r="1227" spans="1:13" hidden="1" x14ac:dyDescent="0.25">
      <c r="A1227" s="49">
        <f t="shared" si="19"/>
        <v>1225</v>
      </c>
      <c r="B1227" s="36" t="s">
        <v>3298</v>
      </c>
      <c r="C1227" s="36" t="s">
        <v>6467</v>
      </c>
      <c r="D1227" s="9" t="s">
        <v>4872</v>
      </c>
      <c r="F1227" s="36" t="s">
        <v>6563</v>
      </c>
      <c r="G1227" s="9" t="s">
        <v>13</v>
      </c>
      <c r="I1227" s="36" t="s">
        <v>5293</v>
      </c>
      <c r="J1227" s="36" t="str">
        <f>VLOOKUP(Table2[[#This Row], [Author]],People!A:B,2,0)</f>
        <v>LS</v>
      </c>
      <c r="K1227" s="9" t="s">
        <v>6576</v>
      </c>
      <c r="L1227" s="36" t="e">
        <f>VLOOKUP(Table2[[#This Row],[Node]],#REF!,2,0)=Table2[[#This Row],[Parent]]</f>
        <v>#REF!</v>
      </c>
      <c r="M1227" s="36" t="s">
        <v>4802</v>
      </c>
    </row>
    <row r="1228" spans="1:13" hidden="1" x14ac:dyDescent="0.25">
      <c r="A1228" s="49">
        <f t="shared" si="19"/>
        <v>1226</v>
      </c>
      <c r="B1228" s="36" t="s">
        <v>3298</v>
      </c>
      <c r="C1228" s="36" t="s">
        <v>6467</v>
      </c>
      <c r="D1228" s="9" t="s">
        <v>4080</v>
      </c>
      <c r="F1228" s="9" t="s">
        <v>3921</v>
      </c>
      <c r="G1228" s="36" t="s">
        <v>13</v>
      </c>
      <c r="I1228" s="36" t="s">
        <v>5293</v>
      </c>
      <c r="J1228" s="36" t="str">
        <f>VLOOKUP(Table2[[#This Row], [Author]],People!A:B,2,0)</f>
        <v>LS</v>
      </c>
      <c r="K1228" s="36" t="s">
        <v>6576</v>
      </c>
      <c r="L1228" s="36" t="e">
        <f>VLOOKUP(Table2[[#This Row],[Node]],#REF!,2,0)=Table2[[#This Row],[Parent]]</f>
        <v>#REF!</v>
      </c>
      <c r="M1228" s="36" t="s">
        <v>4802</v>
      </c>
    </row>
    <row r="1229" spans="1:13" hidden="1" x14ac:dyDescent="0.25">
      <c r="A1229" s="49">
        <f t="shared" si="19"/>
        <v>1227</v>
      </c>
      <c r="B1229" s="36" t="s">
        <v>3298</v>
      </c>
      <c r="C1229" s="36" t="s">
        <v>6467</v>
      </c>
      <c r="D1229" s="9" t="s">
        <v>3937</v>
      </c>
      <c r="F1229" s="36" t="s">
        <v>6564</v>
      </c>
      <c r="G1229" s="36" t="s">
        <v>13</v>
      </c>
      <c r="I1229" s="36" t="s">
        <v>5293</v>
      </c>
      <c r="J1229" s="36" t="str">
        <f>VLOOKUP(Table2[[#This Row], [Author]],People!A:B,2,0)</f>
        <v>LS</v>
      </c>
      <c r="K1229" s="36" t="s">
        <v>6576</v>
      </c>
      <c r="L1229" s="36" t="e">
        <f>VLOOKUP(Table2[[#This Row],[Node]],#REF!,2,0)=Table2[[#This Row],[Parent]]</f>
        <v>#REF!</v>
      </c>
      <c r="M1229" s="36" t="s">
        <v>4802</v>
      </c>
    </row>
    <row r="1230" spans="1:13" hidden="1" x14ac:dyDescent="0.25">
      <c r="A1230" s="49">
        <f t="shared" si="19"/>
        <v>1228</v>
      </c>
      <c r="B1230" s="36" t="s">
        <v>3298</v>
      </c>
      <c r="C1230" s="36" t="s">
        <v>6467</v>
      </c>
      <c r="D1230" s="9" t="s">
        <v>6529</v>
      </c>
      <c r="F1230" s="9" t="s">
        <v>3495</v>
      </c>
      <c r="G1230" s="36" t="s">
        <v>13</v>
      </c>
      <c r="I1230" s="36" t="s">
        <v>5293</v>
      </c>
      <c r="J1230" s="36" t="str">
        <f>VLOOKUP(Table2[[#This Row], [Author]],People!A:B,2,0)</f>
        <v>LS</v>
      </c>
      <c r="K1230" s="36" t="s">
        <v>6576</v>
      </c>
      <c r="L1230" s="36" t="e">
        <f>VLOOKUP(Table2[[#This Row],[Node]],#REF!,2,0)=Table2[[#This Row],[Parent]]</f>
        <v>#REF!</v>
      </c>
      <c r="M1230" s="36" t="s">
        <v>4802</v>
      </c>
    </row>
    <row r="1231" spans="1:13" hidden="1" x14ac:dyDescent="0.25">
      <c r="A1231" s="49">
        <f t="shared" si="19"/>
        <v>1229</v>
      </c>
      <c r="B1231" s="36" t="s">
        <v>3298</v>
      </c>
      <c r="C1231" s="36" t="s">
        <v>6467</v>
      </c>
      <c r="D1231" s="9" t="s">
        <v>6530</v>
      </c>
      <c r="F1231" s="9" t="s">
        <v>4857</v>
      </c>
      <c r="G1231" s="36" t="s">
        <v>13</v>
      </c>
      <c r="I1231" s="36" t="s">
        <v>5293</v>
      </c>
      <c r="J1231" s="36" t="str">
        <f>VLOOKUP(Table2[[#This Row], [Author]],People!A:B,2,0)</f>
        <v>LS</v>
      </c>
      <c r="K1231" s="36" t="s">
        <v>6576</v>
      </c>
      <c r="L1231" s="36" t="e">
        <f>VLOOKUP(Table2[[#This Row],[Node]],#REF!,2,0)=Table2[[#This Row],[Parent]]</f>
        <v>#REF!</v>
      </c>
      <c r="M1231" s="36" t="s">
        <v>4802</v>
      </c>
    </row>
    <row r="1232" spans="1:13" hidden="1" x14ac:dyDescent="0.25">
      <c r="A1232" s="49">
        <f t="shared" si="19"/>
        <v>1230</v>
      </c>
      <c r="B1232" s="36" t="s">
        <v>3298</v>
      </c>
      <c r="C1232" s="36" t="s">
        <v>6467</v>
      </c>
      <c r="D1232" s="9" t="s">
        <v>6531</v>
      </c>
      <c r="F1232" s="9" t="s">
        <v>4857</v>
      </c>
      <c r="G1232" s="36" t="s">
        <v>13</v>
      </c>
      <c r="I1232" s="36" t="s">
        <v>5293</v>
      </c>
      <c r="J1232" s="36" t="str">
        <f>VLOOKUP(Table2[[#This Row], [Author]],People!A:B,2,0)</f>
        <v>LS</v>
      </c>
      <c r="K1232" s="36" t="s">
        <v>6576</v>
      </c>
      <c r="L1232" s="36" t="e">
        <f>VLOOKUP(Table2[[#This Row],[Node]],#REF!,2,0)=Table2[[#This Row],[Parent]]</f>
        <v>#REF!</v>
      </c>
      <c r="M1232" s="36" t="s">
        <v>4802</v>
      </c>
    </row>
    <row r="1233" spans="1:13" hidden="1" x14ac:dyDescent="0.25">
      <c r="A1233" s="49">
        <f t="shared" si="19"/>
        <v>1231</v>
      </c>
      <c r="B1233" s="36" t="s">
        <v>3298</v>
      </c>
      <c r="C1233" s="36" t="s">
        <v>6467</v>
      </c>
      <c r="D1233" s="9" t="s">
        <v>6532</v>
      </c>
      <c r="F1233" s="9" t="s">
        <v>4857</v>
      </c>
      <c r="G1233" s="36" t="s">
        <v>13</v>
      </c>
      <c r="I1233" s="36" t="s">
        <v>5293</v>
      </c>
      <c r="J1233" s="36" t="str">
        <f>VLOOKUP(Table2[[#This Row], [Author]],People!A:B,2,0)</f>
        <v>LS</v>
      </c>
      <c r="K1233" s="36" t="s">
        <v>6576</v>
      </c>
      <c r="L1233" s="36" t="e">
        <f>VLOOKUP(Table2[[#This Row],[Node]],#REF!,2,0)=Table2[[#This Row],[Parent]]</f>
        <v>#REF!</v>
      </c>
      <c r="M1233" s="36" t="s">
        <v>4802</v>
      </c>
    </row>
    <row r="1234" spans="1:13" hidden="1" x14ac:dyDescent="0.25">
      <c r="A1234" s="49">
        <f t="shared" si="19"/>
        <v>1232</v>
      </c>
      <c r="B1234" s="36" t="s">
        <v>3298</v>
      </c>
      <c r="C1234" s="36" t="s">
        <v>6467</v>
      </c>
      <c r="D1234" s="9" t="s">
        <v>3573</v>
      </c>
      <c r="F1234" s="36" t="s">
        <v>6562</v>
      </c>
      <c r="G1234" s="36" t="s">
        <v>13</v>
      </c>
      <c r="I1234" s="36" t="s">
        <v>5293</v>
      </c>
      <c r="J1234" s="36" t="str">
        <f>VLOOKUP(Table2[[#This Row], [Author]],People!A:B,2,0)</f>
        <v>LS</v>
      </c>
      <c r="K1234" s="36" t="s">
        <v>6576</v>
      </c>
      <c r="L1234" s="36" t="e">
        <f>VLOOKUP(Table2[[#This Row],[Node]],#REF!,2,0)=Table2[[#This Row],[Parent]]</f>
        <v>#REF!</v>
      </c>
      <c r="M1234" s="36" t="s">
        <v>4802</v>
      </c>
    </row>
    <row r="1235" spans="1:13" hidden="1" x14ac:dyDescent="0.25">
      <c r="A1235" s="49">
        <f t="shared" si="19"/>
        <v>1233</v>
      </c>
      <c r="B1235" s="36" t="s">
        <v>3298</v>
      </c>
      <c r="C1235" s="36" t="s">
        <v>6467</v>
      </c>
      <c r="D1235" s="9" t="s">
        <v>6533</v>
      </c>
      <c r="F1235" s="36" t="s">
        <v>6562</v>
      </c>
      <c r="G1235" s="36" t="s">
        <v>13</v>
      </c>
      <c r="I1235" s="36" t="s">
        <v>5293</v>
      </c>
      <c r="J1235" s="36" t="str">
        <f>VLOOKUP(Table2[[#This Row], [Author]],People!A:B,2,0)</f>
        <v>LS</v>
      </c>
      <c r="K1235" s="36" t="s">
        <v>6576</v>
      </c>
      <c r="L1235" s="36" t="e">
        <f>VLOOKUP(Table2[[#This Row],[Node]],#REF!,2,0)=Table2[[#This Row],[Parent]]</f>
        <v>#REF!</v>
      </c>
      <c r="M1235" s="36" t="s">
        <v>4802</v>
      </c>
    </row>
    <row r="1236" spans="1:13" hidden="1" x14ac:dyDescent="0.25">
      <c r="A1236" s="49">
        <f t="shared" si="19"/>
        <v>1234</v>
      </c>
      <c r="B1236" s="36" t="s">
        <v>3298</v>
      </c>
      <c r="C1236" s="36" t="s">
        <v>6467</v>
      </c>
      <c r="D1236" s="9" t="s">
        <v>6534</v>
      </c>
      <c r="F1236" s="9" t="s">
        <v>6540</v>
      </c>
      <c r="G1236" s="36" t="s">
        <v>13</v>
      </c>
      <c r="I1236" s="36" t="s">
        <v>5293</v>
      </c>
      <c r="J1236" s="36" t="str">
        <f>VLOOKUP(Table2[[#This Row], [Author]],People!A:B,2,0)</f>
        <v>LS</v>
      </c>
      <c r="K1236" s="36" t="s">
        <v>6576</v>
      </c>
      <c r="L1236" s="36" t="e">
        <f>VLOOKUP(Table2[[#This Row],[Node]],#REF!,2,0)=Table2[[#This Row],[Parent]]</f>
        <v>#REF!</v>
      </c>
      <c r="M1236" s="36" t="s">
        <v>4802</v>
      </c>
    </row>
    <row r="1237" spans="1:13" hidden="1" x14ac:dyDescent="0.25">
      <c r="A1237" s="49">
        <f t="shared" si="19"/>
        <v>1235</v>
      </c>
      <c r="B1237" s="36" t="s">
        <v>3298</v>
      </c>
      <c r="C1237" s="36" t="s">
        <v>6467</v>
      </c>
      <c r="D1237" s="9" t="s">
        <v>3343</v>
      </c>
      <c r="F1237" s="9" t="s">
        <v>6335</v>
      </c>
      <c r="G1237" s="36" t="s">
        <v>13</v>
      </c>
      <c r="I1237" s="36" t="s">
        <v>5293</v>
      </c>
      <c r="J1237" s="36" t="str">
        <f>VLOOKUP(Table2[[#This Row], [Author]],People!A:B,2,0)</f>
        <v>LS</v>
      </c>
      <c r="K1237" s="36" t="s">
        <v>6576</v>
      </c>
      <c r="L1237" s="36" t="e">
        <f>VLOOKUP(Table2[[#This Row],[Node]],#REF!,2,0)=Table2[[#This Row],[Parent]]</f>
        <v>#REF!</v>
      </c>
      <c r="M1237" s="36" t="s">
        <v>4802</v>
      </c>
    </row>
    <row r="1238" spans="1:13" hidden="1" x14ac:dyDescent="0.25">
      <c r="A1238" s="49">
        <f t="shared" si="19"/>
        <v>1236</v>
      </c>
      <c r="B1238" s="36" t="s">
        <v>3298</v>
      </c>
      <c r="C1238" s="36" t="s">
        <v>6467</v>
      </c>
      <c r="D1238" s="9" t="s">
        <v>6535</v>
      </c>
      <c r="F1238" s="9" t="s">
        <v>6335</v>
      </c>
      <c r="G1238" s="36" t="s">
        <v>13</v>
      </c>
      <c r="I1238" s="36" t="s">
        <v>5293</v>
      </c>
      <c r="J1238" s="36" t="str">
        <f>VLOOKUP(Table2[[#This Row], [Author]],People!A:B,2,0)</f>
        <v>LS</v>
      </c>
      <c r="K1238" s="36" t="s">
        <v>6576</v>
      </c>
      <c r="L1238" s="36" t="e">
        <f>VLOOKUP(Table2[[#This Row],[Node]],#REF!,2,0)=Table2[[#This Row],[Parent]]</f>
        <v>#REF!</v>
      </c>
      <c r="M1238" s="36" t="s">
        <v>4802</v>
      </c>
    </row>
    <row r="1239" spans="1:13" hidden="1" x14ac:dyDescent="0.25">
      <c r="A1239" s="49">
        <f t="shared" si="19"/>
        <v>1237</v>
      </c>
      <c r="B1239" s="36" t="s">
        <v>3298</v>
      </c>
      <c r="C1239" s="36" t="s">
        <v>6467</v>
      </c>
      <c r="D1239" s="9" t="s">
        <v>6536</v>
      </c>
      <c r="F1239" s="36" t="s">
        <v>6573</v>
      </c>
      <c r="G1239" s="36" t="s">
        <v>13</v>
      </c>
      <c r="I1239" s="36" t="s">
        <v>5293</v>
      </c>
      <c r="J1239" s="36" t="str">
        <f>VLOOKUP(Table2[[#This Row], [Author]],People!A:B,2,0)</f>
        <v>LS</v>
      </c>
      <c r="K1239" s="36" t="s">
        <v>6576</v>
      </c>
      <c r="L1239" s="36" t="e">
        <f>VLOOKUP(Table2[[#This Row],[Node]],#REF!,2,0)=Table2[[#This Row],[Parent]]</f>
        <v>#REF!</v>
      </c>
      <c r="M1239" s="36" t="s">
        <v>4802</v>
      </c>
    </row>
    <row r="1240" spans="1:13" hidden="1" x14ac:dyDescent="0.25">
      <c r="A1240" s="49">
        <f t="shared" si="19"/>
        <v>1238</v>
      </c>
      <c r="B1240" s="36" t="s">
        <v>3298</v>
      </c>
      <c r="C1240" s="36" t="s">
        <v>6467</v>
      </c>
      <c r="D1240" s="9" t="s">
        <v>6537</v>
      </c>
      <c r="F1240" s="36" t="s">
        <v>6574</v>
      </c>
      <c r="G1240" s="36" t="s">
        <v>13</v>
      </c>
      <c r="I1240" s="36" t="s">
        <v>5293</v>
      </c>
      <c r="J1240" s="36" t="str">
        <f>VLOOKUP(Table2[[#This Row], [Author]],People!A:B,2,0)</f>
        <v>LS</v>
      </c>
      <c r="K1240" s="36" t="s">
        <v>6576</v>
      </c>
      <c r="L1240" s="36" t="e">
        <f>VLOOKUP(Table2[[#This Row],[Node]],#REF!,2,0)=Table2[[#This Row],[Parent]]</f>
        <v>#REF!</v>
      </c>
      <c r="M1240" s="36" t="s">
        <v>4802</v>
      </c>
    </row>
    <row r="1241" spans="1:13" hidden="1" x14ac:dyDescent="0.25">
      <c r="A1241" s="49">
        <f t="shared" si="19"/>
        <v>1239</v>
      </c>
      <c r="B1241" s="36" t="s">
        <v>3298</v>
      </c>
      <c r="C1241" s="36" t="s">
        <v>6467</v>
      </c>
      <c r="D1241" s="9" t="s">
        <v>6538</v>
      </c>
      <c r="F1241" s="36" t="s">
        <v>6575</v>
      </c>
      <c r="G1241" s="36" t="s">
        <v>13</v>
      </c>
      <c r="I1241" s="36" t="s">
        <v>5293</v>
      </c>
      <c r="J1241" s="36" t="str">
        <f>VLOOKUP(Table2[[#This Row], [Author]],People!A:B,2,0)</f>
        <v>LS</v>
      </c>
      <c r="K1241" s="36" t="s">
        <v>6576</v>
      </c>
      <c r="L1241" s="36" t="e">
        <f>VLOOKUP(Table2[[#This Row],[Node]],#REF!,2,0)=Table2[[#This Row],[Parent]]</f>
        <v>#REF!</v>
      </c>
      <c r="M1241" s="36" t="s">
        <v>4802</v>
      </c>
    </row>
    <row r="1242" spans="1:13" hidden="1" x14ac:dyDescent="0.25">
      <c r="A1242" s="49">
        <f t="shared" si="19"/>
        <v>1240</v>
      </c>
      <c r="B1242" s="36" t="s">
        <v>3298</v>
      </c>
      <c r="C1242" s="36" t="s">
        <v>6467</v>
      </c>
      <c r="D1242" s="9" t="s">
        <v>6539</v>
      </c>
      <c r="F1242" s="9" t="s">
        <v>6541</v>
      </c>
      <c r="G1242" s="36" t="s">
        <v>13</v>
      </c>
      <c r="I1242" s="36" t="s">
        <v>5293</v>
      </c>
      <c r="J1242" s="36" t="str">
        <f>VLOOKUP(Table2[[#This Row], [Author]],People!A:B,2,0)</f>
        <v>LS</v>
      </c>
      <c r="K1242" s="36" t="s">
        <v>6576</v>
      </c>
      <c r="L1242" s="36" t="e">
        <f>VLOOKUP(Table2[[#This Row],[Node]],#REF!,2,0)=Table2[[#This Row],[Parent]]</f>
        <v>#REF!</v>
      </c>
      <c r="M1242" s="36" t="s">
        <v>4802</v>
      </c>
    </row>
    <row r="1243" spans="1:13" hidden="1" x14ac:dyDescent="0.25">
      <c r="A1243" s="49">
        <f t="shared" si="19"/>
        <v>1241</v>
      </c>
      <c r="B1243" s="36" t="s">
        <v>3298</v>
      </c>
      <c r="C1243" s="36" t="s">
        <v>6467</v>
      </c>
      <c r="D1243" s="9" t="s">
        <v>3561</v>
      </c>
      <c r="F1243" s="9" t="s">
        <v>5598</v>
      </c>
      <c r="G1243" s="9" t="s">
        <v>12</v>
      </c>
      <c r="I1243" s="36" t="s">
        <v>5293</v>
      </c>
      <c r="J1243" s="36" t="str">
        <f>VLOOKUP(Table2[[#This Row], [Author]],People!A:B,2,0)</f>
        <v>LS</v>
      </c>
      <c r="K1243" s="36" t="s">
        <v>6576</v>
      </c>
      <c r="L1243" s="36" t="e">
        <f>VLOOKUP(Table2[[#This Row],[Node]],#REF!,2,0)=Table2[[#This Row],[Parent]]</f>
        <v>#REF!</v>
      </c>
      <c r="M1243" s="36" t="s">
        <v>4802</v>
      </c>
    </row>
    <row r="1244" spans="1:13" hidden="1" x14ac:dyDescent="0.25">
      <c r="A1244" s="49">
        <f t="shared" si="19"/>
        <v>1242</v>
      </c>
      <c r="B1244" s="36" t="s">
        <v>3298</v>
      </c>
      <c r="C1244" s="36" t="s">
        <v>6467</v>
      </c>
      <c r="D1244" s="9" t="s">
        <v>4161</v>
      </c>
      <c r="F1244" s="9" t="s">
        <v>5598</v>
      </c>
      <c r="G1244" s="36" t="s">
        <v>12</v>
      </c>
      <c r="I1244" s="36" t="s">
        <v>5293</v>
      </c>
      <c r="J1244" s="36" t="str">
        <f>VLOOKUP(Table2[[#This Row], [Author]],People!A:B,2,0)</f>
        <v>LS</v>
      </c>
      <c r="K1244" s="36" t="s">
        <v>6576</v>
      </c>
      <c r="L1244" s="36" t="e">
        <f>VLOOKUP(Table2[[#This Row],[Node]],#REF!,2,0)=Table2[[#This Row],[Parent]]</f>
        <v>#REF!</v>
      </c>
      <c r="M1244" s="36" t="s">
        <v>4802</v>
      </c>
    </row>
    <row r="1245" spans="1:13" hidden="1" x14ac:dyDescent="0.25">
      <c r="A1245" s="49">
        <f t="shared" si="19"/>
        <v>1243</v>
      </c>
      <c r="B1245" s="36" t="s">
        <v>3298</v>
      </c>
      <c r="C1245" s="36" t="s">
        <v>6467</v>
      </c>
      <c r="D1245" s="9" t="s">
        <v>4175</v>
      </c>
      <c r="F1245" s="9" t="s">
        <v>5598</v>
      </c>
      <c r="G1245" s="36" t="s">
        <v>12</v>
      </c>
      <c r="I1245" s="36" t="s">
        <v>5293</v>
      </c>
      <c r="J1245" s="36" t="str">
        <f>VLOOKUP(Table2[[#This Row], [Author]],People!A:B,2,0)</f>
        <v>LS</v>
      </c>
      <c r="K1245" s="36" t="s">
        <v>6576</v>
      </c>
      <c r="L1245" s="36" t="e">
        <f>VLOOKUP(Table2[[#This Row],[Node]],#REF!,2,0)=Table2[[#This Row],[Parent]]</f>
        <v>#REF!</v>
      </c>
      <c r="M1245" s="36" t="s">
        <v>4802</v>
      </c>
    </row>
    <row r="1246" spans="1:13" hidden="1" x14ac:dyDescent="0.25">
      <c r="A1246" s="49">
        <f t="shared" si="19"/>
        <v>1244</v>
      </c>
      <c r="B1246" s="36" t="s">
        <v>3298</v>
      </c>
      <c r="C1246" s="36" t="s">
        <v>6467</v>
      </c>
      <c r="D1246" s="9" t="s">
        <v>4173</v>
      </c>
      <c r="F1246" s="9" t="s">
        <v>5598</v>
      </c>
      <c r="G1246" s="36" t="s">
        <v>12</v>
      </c>
      <c r="I1246" s="36" t="s">
        <v>5293</v>
      </c>
      <c r="J1246" s="36" t="str">
        <f>VLOOKUP(Table2[[#This Row], [Author]],People!A:B,2,0)</f>
        <v>LS</v>
      </c>
      <c r="K1246" s="36" t="s">
        <v>6576</v>
      </c>
      <c r="L1246" s="36" t="e">
        <f>VLOOKUP(Table2[[#This Row],[Node]],#REF!,2,0)=Table2[[#This Row],[Parent]]</f>
        <v>#REF!</v>
      </c>
      <c r="M1246" s="36" t="s">
        <v>4802</v>
      </c>
    </row>
    <row r="1247" spans="1:13" hidden="1" x14ac:dyDescent="0.25">
      <c r="A1247" s="49">
        <f t="shared" si="19"/>
        <v>1245</v>
      </c>
      <c r="B1247" s="36" t="s">
        <v>3298</v>
      </c>
      <c r="C1247" s="36" t="s">
        <v>6467</v>
      </c>
      <c r="D1247" s="9" t="s">
        <v>4171</v>
      </c>
      <c r="F1247" s="9" t="s">
        <v>5598</v>
      </c>
      <c r="G1247" s="36" t="s">
        <v>12</v>
      </c>
      <c r="I1247" s="36" t="s">
        <v>5293</v>
      </c>
      <c r="J1247" s="36" t="str">
        <f>VLOOKUP(Table2[[#This Row], [Author]],People!A:B,2,0)</f>
        <v>LS</v>
      </c>
      <c r="K1247" s="36" t="s">
        <v>6576</v>
      </c>
      <c r="L1247" s="36" t="e">
        <f>VLOOKUP(Table2[[#This Row],[Node]],#REF!,2,0)=Table2[[#This Row],[Parent]]</f>
        <v>#REF!</v>
      </c>
      <c r="M1247" s="36" t="s">
        <v>4802</v>
      </c>
    </row>
    <row r="1248" spans="1:13" hidden="1" x14ac:dyDescent="0.25">
      <c r="A1248" s="49">
        <f t="shared" si="19"/>
        <v>1246</v>
      </c>
      <c r="B1248" s="36" t="s">
        <v>3298</v>
      </c>
      <c r="C1248" s="36" t="s">
        <v>6467</v>
      </c>
      <c r="D1248" s="9" t="s">
        <v>4169</v>
      </c>
      <c r="F1248" s="9" t="s">
        <v>5598</v>
      </c>
      <c r="G1248" s="36" t="s">
        <v>12</v>
      </c>
      <c r="I1248" s="36" t="s">
        <v>5293</v>
      </c>
      <c r="J1248" s="36" t="str">
        <f>VLOOKUP(Table2[[#This Row], [Author]],People!A:B,2,0)</f>
        <v>LS</v>
      </c>
      <c r="K1248" s="36" t="s">
        <v>6576</v>
      </c>
      <c r="L1248" s="36" t="e">
        <f>VLOOKUP(Table2[[#This Row],[Node]],#REF!,2,0)=Table2[[#This Row],[Parent]]</f>
        <v>#REF!</v>
      </c>
      <c r="M1248" s="36" t="s">
        <v>4802</v>
      </c>
    </row>
    <row r="1249" spans="1:13" hidden="1" x14ac:dyDescent="0.25">
      <c r="A1249" s="49">
        <f t="shared" ref="A1249:A1294" si="20">1+A1248</f>
        <v>1247</v>
      </c>
      <c r="B1249" s="36" t="s">
        <v>3298</v>
      </c>
      <c r="C1249" s="36" t="s">
        <v>6467</v>
      </c>
      <c r="D1249" s="9" t="s">
        <v>4167</v>
      </c>
      <c r="F1249" s="9" t="s">
        <v>5598</v>
      </c>
      <c r="G1249" s="36" t="s">
        <v>12</v>
      </c>
      <c r="I1249" s="36" t="s">
        <v>5293</v>
      </c>
      <c r="J1249" s="36" t="str">
        <f>VLOOKUP(Table2[[#This Row], [Author]],People!A:B,2,0)</f>
        <v>LS</v>
      </c>
      <c r="K1249" s="36" t="s">
        <v>6576</v>
      </c>
      <c r="L1249" s="36" t="e">
        <f>VLOOKUP(Table2[[#This Row],[Node]],#REF!,2,0)=Table2[[#This Row],[Parent]]</f>
        <v>#REF!</v>
      </c>
      <c r="M1249" s="36" t="s">
        <v>4802</v>
      </c>
    </row>
    <row r="1250" spans="1:13" hidden="1" x14ac:dyDescent="0.25">
      <c r="A1250" s="49">
        <f t="shared" si="20"/>
        <v>1248</v>
      </c>
      <c r="B1250" s="36" t="s">
        <v>3298</v>
      </c>
      <c r="C1250" s="36" t="s">
        <v>6467</v>
      </c>
      <c r="D1250" s="9" t="s">
        <v>4165</v>
      </c>
      <c r="F1250" s="9" t="s">
        <v>5598</v>
      </c>
      <c r="G1250" s="36" t="s">
        <v>12</v>
      </c>
      <c r="I1250" s="36" t="s">
        <v>5293</v>
      </c>
      <c r="J1250" s="36" t="str">
        <f>VLOOKUP(Table2[[#This Row], [Author]],People!A:B,2,0)</f>
        <v>LS</v>
      </c>
      <c r="K1250" s="36" t="s">
        <v>6576</v>
      </c>
      <c r="L1250" s="36" t="e">
        <f>VLOOKUP(Table2[[#This Row],[Node]],#REF!,2,0)=Table2[[#This Row],[Parent]]</f>
        <v>#REF!</v>
      </c>
      <c r="M1250" s="36" t="s">
        <v>4802</v>
      </c>
    </row>
    <row r="1251" spans="1:13" hidden="1" x14ac:dyDescent="0.25">
      <c r="A1251" s="49">
        <f t="shared" si="20"/>
        <v>1249</v>
      </c>
      <c r="B1251" s="36" t="s">
        <v>3298</v>
      </c>
      <c r="C1251" s="36" t="s">
        <v>6467</v>
      </c>
      <c r="D1251" s="9" t="s">
        <v>4163</v>
      </c>
      <c r="F1251" s="9" t="s">
        <v>5598</v>
      </c>
      <c r="G1251" s="36" t="s">
        <v>12</v>
      </c>
      <c r="I1251" s="36" t="s">
        <v>5293</v>
      </c>
      <c r="J1251" s="36" t="str">
        <f>VLOOKUP(Table2[[#This Row], [Author]],People!A:B,2,0)</f>
        <v>LS</v>
      </c>
      <c r="K1251" s="36" t="s">
        <v>6576</v>
      </c>
      <c r="L1251" s="36" t="e">
        <f>VLOOKUP(Table2[[#This Row],[Node]],#REF!,2,0)=Table2[[#This Row],[Parent]]</f>
        <v>#REF!</v>
      </c>
      <c r="M1251" s="36" t="s">
        <v>4802</v>
      </c>
    </row>
    <row r="1252" spans="1:13" hidden="1" x14ac:dyDescent="0.25">
      <c r="A1252" s="49">
        <f t="shared" si="20"/>
        <v>1250</v>
      </c>
      <c r="B1252" s="36" t="s">
        <v>3298</v>
      </c>
      <c r="C1252" s="36" t="s">
        <v>6467</v>
      </c>
      <c r="D1252" s="9" t="s">
        <v>6542</v>
      </c>
      <c r="F1252" s="9" t="s">
        <v>6035</v>
      </c>
      <c r="G1252" s="36" t="s">
        <v>12</v>
      </c>
      <c r="I1252" s="36" t="s">
        <v>5293</v>
      </c>
      <c r="J1252" s="36" t="str">
        <f>VLOOKUP(Table2[[#This Row], [Author]],People!A:B,2,0)</f>
        <v>LS</v>
      </c>
      <c r="K1252" s="36" t="s">
        <v>6576</v>
      </c>
      <c r="L1252" s="36" t="e">
        <f>VLOOKUP(Table2[[#This Row],[Node]],#REF!,2,0)=Table2[[#This Row],[Parent]]</f>
        <v>#REF!</v>
      </c>
      <c r="M1252" s="36" t="s">
        <v>4802</v>
      </c>
    </row>
    <row r="1253" spans="1:13" hidden="1" x14ac:dyDescent="0.25">
      <c r="A1253" s="49">
        <f t="shared" si="20"/>
        <v>1251</v>
      </c>
      <c r="B1253" s="36" t="s">
        <v>3298</v>
      </c>
      <c r="C1253" s="36" t="s">
        <v>6467</v>
      </c>
      <c r="D1253" s="9" t="s">
        <v>6543</v>
      </c>
      <c r="F1253" s="9" t="s">
        <v>6035</v>
      </c>
      <c r="G1253" s="36" t="s">
        <v>12</v>
      </c>
      <c r="I1253" s="36" t="s">
        <v>5293</v>
      </c>
      <c r="J1253" s="36" t="str">
        <f>VLOOKUP(Table2[[#This Row], [Author]],People!A:B,2,0)</f>
        <v>LS</v>
      </c>
      <c r="K1253" s="36" t="s">
        <v>6576</v>
      </c>
      <c r="L1253" s="36" t="e">
        <f>VLOOKUP(Table2[[#This Row],[Node]],#REF!,2,0)=Table2[[#This Row],[Parent]]</f>
        <v>#REF!</v>
      </c>
      <c r="M1253" s="36" t="s">
        <v>4802</v>
      </c>
    </row>
    <row r="1254" spans="1:13" hidden="1" x14ac:dyDescent="0.25">
      <c r="A1254" s="49">
        <f t="shared" si="20"/>
        <v>1252</v>
      </c>
      <c r="B1254" s="36" t="s">
        <v>3298</v>
      </c>
      <c r="C1254" s="36" t="s">
        <v>6467</v>
      </c>
      <c r="D1254" s="9" t="s">
        <v>6544</v>
      </c>
      <c r="F1254" s="9" t="s">
        <v>6035</v>
      </c>
      <c r="G1254" s="36" t="s">
        <v>12</v>
      </c>
      <c r="I1254" s="36" t="s">
        <v>5293</v>
      </c>
      <c r="J1254" s="36" t="str">
        <f>VLOOKUP(Table2[[#This Row], [Author]],People!A:B,2,0)</f>
        <v>LS</v>
      </c>
      <c r="K1254" s="36" t="s">
        <v>6576</v>
      </c>
      <c r="L1254" s="36" t="e">
        <f>VLOOKUP(Table2[[#This Row],[Node]],#REF!,2,0)=Table2[[#This Row],[Parent]]</f>
        <v>#REF!</v>
      </c>
      <c r="M1254" s="36" t="s">
        <v>4802</v>
      </c>
    </row>
    <row r="1255" spans="1:13" hidden="1" x14ac:dyDescent="0.25">
      <c r="A1255" s="49">
        <f t="shared" si="20"/>
        <v>1253</v>
      </c>
      <c r="B1255" s="36" t="s">
        <v>3298</v>
      </c>
      <c r="C1255" s="36" t="s">
        <v>6467</v>
      </c>
      <c r="D1255" s="9" t="s">
        <v>6545</v>
      </c>
      <c r="F1255" s="9" t="s">
        <v>6035</v>
      </c>
      <c r="G1255" s="36" t="s">
        <v>12</v>
      </c>
      <c r="I1255" s="36" t="s">
        <v>5293</v>
      </c>
      <c r="J1255" s="36" t="str">
        <f>VLOOKUP(Table2[[#This Row], [Author]],People!A:B,2,0)</f>
        <v>LS</v>
      </c>
      <c r="K1255" s="36" t="s">
        <v>6576</v>
      </c>
      <c r="L1255" s="36" t="e">
        <f>VLOOKUP(Table2[[#This Row],[Node]],#REF!,2,0)=Table2[[#This Row],[Parent]]</f>
        <v>#REF!</v>
      </c>
      <c r="M1255" s="36" t="s">
        <v>4802</v>
      </c>
    </row>
    <row r="1256" spans="1:13" hidden="1" x14ac:dyDescent="0.25">
      <c r="A1256" s="49">
        <f t="shared" si="20"/>
        <v>1254</v>
      </c>
      <c r="B1256" s="36" t="s">
        <v>3298</v>
      </c>
      <c r="C1256" s="36" t="s">
        <v>6467</v>
      </c>
      <c r="D1256" s="9" t="s">
        <v>6546</v>
      </c>
      <c r="F1256" s="9" t="s">
        <v>6035</v>
      </c>
      <c r="G1256" s="36" t="s">
        <v>12</v>
      </c>
      <c r="I1256" s="36" t="s">
        <v>5293</v>
      </c>
      <c r="J1256" s="36" t="str">
        <f>VLOOKUP(Table2[[#This Row], [Author]],People!A:B,2,0)</f>
        <v>LS</v>
      </c>
      <c r="K1256" s="36" t="s">
        <v>6576</v>
      </c>
      <c r="L1256" s="36" t="e">
        <f>VLOOKUP(Table2[[#This Row],[Node]],#REF!,2,0)=Table2[[#This Row],[Parent]]</f>
        <v>#REF!</v>
      </c>
      <c r="M1256" s="36" t="s">
        <v>4802</v>
      </c>
    </row>
    <row r="1257" spans="1:13" hidden="1" x14ac:dyDescent="0.25">
      <c r="A1257" s="49">
        <f t="shared" si="20"/>
        <v>1255</v>
      </c>
      <c r="B1257" s="36" t="s">
        <v>3298</v>
      </c>
      <c r="C1257" s="36" t="s">
        <v>6467</v>
      </c>
      <c r="D1257" s="9" t="s">
        <v>6547</v>
      </c>
      <c r="F1257" s="9" t="s">
        <v>6035</v>
      </c>
      <c r="G1257" s="36" t="s">
        <v>12</v>
      </c>
      <c r="I1257" s="36" t="s">
        <v>5293</v>
      </c>
      <c r="J1257" s="36" t="str">
        <f>VLOOKUP(Table2[[#This Row], [Author]],People!A:B,2,0)</f>
        <v>LS</v>
      </c>
      <c r="K1257" s="36" t="s">
        <v>6576</v>
      </c>
      <c r="L1257" s="36" t="e">
        <f>VLOOKUP(Table2[[#This Row],[Node]],#REF!,2,0)=Table2[[#This Row],[Parent]]</f>
        <v>#REF!</v>
      </c>
      <c r="M1257" s="36" t="s">
        <v>4802</v>
      </c>
    </row>
    <row r="1258" spans="1:13" hidden="1" x14ac:dyDescent="0.25">
      <c r="A1258" s="49">
        <f t="shared" si="20"/>
        <v>1256</v>
      </c>
      <c r="B1258" s="36" t="s">
        <v>3298</v>
      </c>
      <c r="C1258" s="36" t="s">
        <v>6467</v>
      </c>
      <c r="D1258" s="9" t="s">
        <v>6548</v>
      </c>
      <c r="F1258" s="9" t="s">
        <v>6035</v>
      </c>
      <c r="G1258" s="36" t="s">
        <v>12</v>
      </c>
      <c r="I1258" s="36" t="s">
        <v>5293</v>
      </c>
      <c r="J1258" s="36" t="str">
        <f>VLOOKUP(Table2[[#This Row], [Author]],People!A:B,2,0)</f>
        <v>LS</v>
      </c>
      <c r="K1258" s="36" t="s">
        <v>6576</v>
      </c>
      <c r="L1258" s="36" t="e">
        <f>VLOOKUP(Table2[[#This Row],[Node]],#REF!,2,0)=Table2[[#This Row],[Parent]]</f>
        <v>#REF!</v>
      </c>
      <c r="M1258" s="36" t="s">
        <v>4802</v>
      </c>
    </row>
    <row r="1259" spans="1:13" hidden="1" x14ac:dyDescent="0.25">
      <c r="A1259" s="49">
        <f t="shared" si="20"/>
        <v>1257</v>
      </c>
      <c r="B1259" s="36" t="s">
        <v>3298</v>
      </c>
      <c r="C1259" s="36" t="s">
        <v>6467</v>
      </c>
      <c r="D1259" s="9" t="s">
        <v>6549</v>
      </c>
      <c r="F1259" s="9" t="s">
        <v>6035</v>
      </c>
      <c r="G1259" s="36" t="s">
        <v>12</v>
      </c>
      <c r="I1259" s="36" t="s">
        <v>5293</v>
      </c>
      <c r="J1259" s="36" t="str">
        <f>VLOOKUP(Table2[[#This Row], [Author]],People!A:B,2,0)</f>
        <v>LS</v>
      </c>
      <c r="K1259" s="36" t="s">
        <v>6576</v>
      </c>
      <c r="L1259" s="36" t="e">
        <f>VLOOKUP(Table2[[#This Row],[Node]],#REF!,2,0)=Table2[[#This Row],[Parent]]</f>
        <v>#REF!</v>
      </c>
      <c r="M1259" s="36" t="s">
        <v>4802</v>
      </c>
    </row>
    <row r="1260" spans="1:13" hidden="1" x14ac:dyDescent="0.25">
      <c r="A1260" s="49">
        <f t="shared" si="20"/>
        <v>1258</v>
      </c>
      <c r="B1260" s="36" t="s">
        <v>3298</v>
      </c>
      <c r="C1260" s="36" t="s">
        <v>6467</v>
      </c>
      <c r="D1260" s="9" t="s">
        <v>6550</v>
      </c>
      <c r="F1260" s="9" t="s">
        <v>6035</v>
      </c>
      <c r="G1260" s="36" t="s">
        <v>12</v>
      </c>
      <c r="I1260" s="36" t="s">
        <v>5293</v>
      </c>
      <c r="J1260" s="36" t="str">
        <f>VLOOKUP(Table2[[#This Row], [Author]],People!A:B,2,0)</f>
        <v>LS</v>
      </c>
      <c r="K1260" s="36" t="s">
        <v>6576</v>
      </c>
      <c r="L1260" s="36" t="e">
        <f>VLOOKUP(Table2[[#This Row],[Node]],#REF!,2,0)=Table2[[#This Row],[Parent]]</f>
        <v>#REF!</v>
      </c>
      <c r="M1260" s="36" t="s">
        <v>4802</v>
      </c>
    </row>
    <row r="1261" spans="1:13" hidden="1" x14ac:dyDescent="0.25">
      <c r="A1261" s="49">
        <f t="shared" si="20"/>
        <v>1259</v>
      </c>
      <c r="B1261" s="36" t="s">
        <v>3298</v>
      </c>
      <c r="C1261" s="36" t="s">
        <v>6467</v>
      </c>
      <c r="D1261" s="9" t="s">
        <v>6551</v>
      </c>
      <c r="F1261" s="9" t="s">
        <v>6035</v>
      </c>
      <c r="G1261" s="36" t="s">
        <v>12</v>
      </c>
      <c r="I1261" s="36" t="s">
        <v>5293</v>
      </c>
      <c r="J1261" s="36" t="str">
        <f>VLOOKUP(Table2[[#This Row], [Author]],People!A:B,2,0)</f>
        <v>LS</v>
      </c>
      <c r="K1261" s="36" t="s">
        <v>6576</v>
      </c>
      <c r="L1261" s="36" t="e">
        <f>VLOOKUP(Table2[[#This Row],[Node]],#REF!,2,0)=Table2[[#This Row],[Parent]]</f>
        <v>#REF!</v>
      </c>
      <c r="M1261" s="36" t="s">
        <v>4802</v>
      </c>
    </row>
    <row r="1262" spans="1:13" hidden="1" x14ac:dyDescent="0.25">
      <c r="A1262" s="49">
        <f t="shared" si="20"/>
        <v>1260</v>
      </c>
      <c r="B1262" s="36" t="s">
        <v>3298</v>
      </c>
      <c r="C1262" s="36" t="s">
        <v>6467</v>
      </c>
      <c r="D1262" s="9" t="s">
        <v>6552</v>
      </c>
      <c r="F1262" s="9" t="s">
        <v>6035</v>
      </c>
      <c r="G1262" s="36" t="s">
        <v>12</v>
      </c>
      <c r="I1262" s="36" t="s">
        <v>5293</v>
      </c>
      <c r="J1262" s="36" t="str">
        <f>VLOOKUP(Table2[[#This Row], [Author]],People!A:B,2,0)</f>
        <v>LS</v>
      </c>
      <c r="K1262" s="36" t="s">
        <v>6576</v>
      </c>
      <c r="L1262" s="36" t="e">
        <f>VLOOKUP(Table2[[#This Row],[Node]],#REF!,2,0)=Table2[[#This Row],[Parent]]</f>
        <v>#REF!</v>
      </c>
      <c r="M1262" s="36" t="s">
        <v>4802</v>
      </c>
    </row>
    <row r="1263" spans="1:13" hidden="1" x14ac:dyDescent="0.25">
      <c r="A1263" s="49">
        <f t="shared" si="20"/>
        <v>1261</v>
      </c>
      <c r="B1263" s="36" t="s">
        <v>3298</v>
      </c>
      <c r="C1263" s="36" t="s">
        <v>6467</v>
      </c>
      <c r="D1263" s="9" t="s">
        <v>6553</v>
      </c>
      <c r="F1263" s="9" t="s">
        <v>6035</v>
      </c>
      <c r="G1263" s="36" t="s">
        <v>12</v>
      </c>
      <c r="I1263" s="36" t="s">
        <v>5293</v>
      </c>
      <c r="J1263" s="36" t="str">
        <f>VLOOKUP(Table2[[#This Row], [Author]],People!A:B,2,0)</f>
        <v>LS</v>
      </c>
      <c r="K1263" s="36" t="s">
        <v>6576</v>
      </c>
      <c r="L1263" s="36" t="e">
        <f>VLOOKUP(Table2[[#This Row],[Node]],#REF!,2,0)=Table2[[#This Row],[Parent]]</f>
        <v>#REF!</v>
      </c>
      <c r="M1263" s="36" t="s">
        <v>4802</v>
      </c>
    </row>
    <row r="1264" spans="1:13" hidden="1" x14ac:dyDescent="0.25">
      <c r="A1264" s="49">
        <f t="shared" si="20"/>
        <v>1262</v>
      </c>
      <c r="B1264" s="36" t="s">
        <v>3298</v>
      </c>
      <c r="C1264" s="36" t="s">
        <v>6467</v>
      </c>
      <c r="D1264" s="9" t="s">
        <v>6554</v>
      </c>
      <c r="F1264" s="9" t="s">
        <v>6035</v>
      </c>
      <c r="G1264" s="36" t="s">
        <v>12</v>
      </c>
      <c r="I1264" s="36" t="s">
        <v>5293</v>
      </c>
      <c r="J1264" s="36" t="str">
        <f>VLOOKUP(Table2[[#This Row], [Author]],People!A:B,2,0)</f>
        <v>LS</v>
      </c>
      <c r="K1264" s="36" t="s">
        <v>6576</v>
      </c>
      <c r="L1264" s="36" t="e">
        <f>VLOOKUP(Table2[[#This Row],[Node]],#REF!,2,0)=Table2[[#This Row],[Parent]]</f>
        <v>#REF!</v>
      </c>
      <c r="M1264" s="36" t="s">
        <v>4802</v>
      </c>
    </row>
    <row r="1265" spans="1:13" hidden="1" x14ac:dyDescent="0.25">
      <c r="A1265" s="49">
        <f t="shared" si="20"/>
        <v>1263</v>
      </c>
      <c r="B1265" s="36" t="s">
        <v>3298</v>
      </c>
      <c r="C1265" s="36" t="s">
        <v>6467</v>
      </c>
      <c r="D1265" s="9" t="s">
        <v>6555</v>
      </c>
      <c r="F1265" s="9" t="s">
        <v>6035</v>
      </c>
      <c r="G1265" s="36" t="s">
        <v>12</v>
      </c>
      <c r="I1265" s="36" t="s">
        <v>5293</v>
      </c>
      <c r="J1265" s="36" t="str">
        <f>VLOOKUP(Table2[[#This Row], [Author]],People!A:B,2,0)</f>
        <v>LS</v>
      </c>
      <c r="K1265" s="36" t="s">
        <v>6576</v>
      </c>
      <c r="L1265" s="36" t="e">
        <f>VLOOKUP(Table2[[#This Row],[Node]],#REF!,2,0)=Table2[[#This Row],[Parent]]</f>
        <v>#REF!</v>
      </c>
      <c r="M1265" s="36" t="s">
        <v>4802</v>
      </c>
    </row>
    <row r="1266" spans="1:13" hidden="1" x14ac:dyDescent="0.25">
      <c r="A1266" s="49">
        <f t="shared" si="20"/>
        <v>1264</v>
      </c>
      <c r="B1266" s="36" t="s">
        <v>3298</v>
      </c>
      <c r="C1266" s="36" t="s">
        <v>6467</v>
      </c>
      <c r="D1266" s="9" t="s">
        <v>6556</v>
      </c>
      <c r="F1266" s="9" t="s">
        <v>6035</v>
      </c>
      <c r="G1266" s="36" t="s">
        <v>12</v>
      </c>
      <c r="I1266" s="36" t="s">
        <v>5293</v>
      </c>
      <c r="J1266" s="36" t="str">
        <f>VLOOKUP(Table2[[#This Row], [Author]],People!A:B,2,0)</f>
        <v>LS</v>
      </c>
      <c r="K1266" s="36" t="s">
        <v>6576</v>
      </c>
      <c r="L1266" s="36" t="e">
        <f>VLOOKUP(Table2[[#This Row],[Node]],#REF!,2,0)=Table2[[#This Row],[Parent]]</f>
        <v>#REF!</v>
      </c>
      <c r="M1266" s="36" t="s">
        <v>4802</v>
      </c>
    </row>
    <row r="1267" spans="1:13" hidden="1" x14ac:dyDescent="0.25">
      <c r="A1267" s="49">
        <f t="shared" si="20"/>
        <v>1265</v>
      </c>
      <c r="B1267" s="36" t="s">
        <v>3298</v>
      </c>
      <c r="C1267" s="9" t="s">
        <v>6588</v>
      </c>
      <c r="D1267" s="36" t="s">
        <v>6603</v>
      </c>
      <c r="E1267" s="9" t="s">
        <v>6578</v>
      </c>
      <c r="F1267" s="9" t="s">
        <v>3682</v>
      </c>
      <c r="G1267" s="9" t="s">
        <v>14</v>
      </c>
      <c r="J1267" s="36" t="str">
        <f>VLOOKUP(Table2[[#This Row], [Author]],People!A:B,2,0)</f>
        <v>MGF</v>
      </c>
      <c r="K1267" s="36" t="s">
        <v>6627</v>
      </c>
      <c r="L1267" s="36"/>
      <c r="M1267" s="9" t="s">
        <v>4781</v>
      </c>
    </row>
    <row r="1268" spans="1:13" hidden="1" x14ac:dyDescent="0.25">
      <c r="A1268" s="49">
        <f t="shared" si="20"/>
        <v>1266</v>
      </c>
      <c r="B1268" s="36" t="s">
        <v>3298</v>
      </c>
      <c r="C1268" s="36" t="s">
        <v>6588</v>
      </c>
      <c r="D1268" s="36" t="s">
        <v>6604</v>
      </c>
      <c r="E1268" s="9" t="s">
        <v>6579</v>
      </c>
      <c r="F1268" s="36" t="s">
        <v>6603</v>
      </c>
      <c r="G1268" s="36" t="s">
        <v>14</v>
      </c>
      <c r="J1268" s="36" t="str">
        <f>VLOOKUP(Table2[[#This Row], [Author]],People!A:B,2,0)</f>
        <v>MGF</v>
      </c>
      <c r="K1268" s="36" t="s">
        <v>6627</v>
      </c>
      <c r="L1268" s="36"/>
      <c r="M1268" s="36" t="s">
        <v>4781</v>
      </c>
    </row>
    <row r="1269" spans="1:13" hidden="1" x14ac:dyDescent="0.25">
      <c r="A1269" s="49">
        <f t="shared" si="20"/>
        <v>1267</v>
      </c>
      <c r="B1269" s="36" t="s">
        <v>3298</v>
      </c>
      <c r="C1269" s="36" t="s">
        <v>6588</v>
      </c>
      <c r="D1269" s="36" t="s">
        <v>6605</v>
      </c>
      <c r="E1269" s="9" t="s">
        <v>6580</v>
      </c>
      <c r="F1269" s="36" t="s">
        <v>6603</v>
      </c>
      <c r="G1269" s="36" t="s">
        <v>14</v>
      </c>
      <c r="J1269" s="36" t="str">
        <f>VLOOKUP(Table2[[#This Row], [Author]],People!A:B,2,0)</f>
        <v>MGF</v>
      </c>
      <c r="K1269" s="36" t="s">
        <v>6627</v>
      </c>
      <c r="L1269" s="36"/>
      <c r="M1269" s="36" t="s">
        <v>4781</v>
      </c>
    </row>
    <row r="1270" spans="1:13" hidden="1" x14ac:dyDescent="0.25">
      <c r="A1270" s="49">
        <f t="shared" si="20"/>
        <v>1268</v>
      </c>
      <c r="B1270" s="36" t="s">
        <v>3298</v>
      </c>
      <c r="C1270" s="36" t="s">
        <v>6588</v>
      </c>
      <c r="D1270" s="36" t="s">
        <v>6606</v>
      </c>
      <c r="E1270" s="9" t="s">
        <v>6581</v>
      </c>
      <c r="F1270" s="36" t="s">
        <v>6604</v>
      </c>
      <c r="G1270" s="36" t="s">
        <v>14</v>
      </c>
      <c r="J1270" s="36" t="str">
        <f>VLOOKUP(Table2[[#This Row], [Author]],People!A:B,2,0)</f>
        <v>MGF</v>
      </c>
      <c r="K1270" s="36" t="s">
        <v>6627</v>
      </c>
      <c r="L1270" s="36"/>
      <c r="M1270" s="36" t="s">
        <v>4781</v>
      </c>
    </row>
    <row r="1271" spans="1:13" hidden="1" x14ac:dyDescent="0.25">
      <c r="A1271" s="49">
        <f t="shared" si="20"/>
        <v>1269</v>
      </c>
      <c r="B1271" s="36" t="s">
        <v>3298</v>
      </c>
      <c r="C1271" s="36" t="s">
        <v>6588</v>
      </c>
      <c r="D1271" s="36" t="s">
        <v>6607</v>
      </c>
      <c r="E1271" s="9" t="s">
        <v>6582</v>
      </c>
      <c r="F1271" s="36" t="s">
        <v>6604</v>
      </c>
      <c r="G1271" s="36" t="s">
        <v>14</v>
      </c>
      <c r="J1271" s="36" t="str">
        <f>VLOOKUP(Table2[[#This Row], [Author]],People!A:B,2,0)</f>
        <v>MGF</v>
      </c>
      <c r="K1271" s="36" t="s">
        <v>6627</v>
      </c>
      <c r="L1271" s="36"/>
      <c r="M1271" s="36" t="s">
        <v>4781</v>
      </c>
    </row>
    <row r="1272" spans="1:13" hidden="1" x14ac:dyDescent="0.25">
      <c r="A1272" s="49">
        <f t="shared" si="20"/>
        <v>1270</v>
      </c>
      <c r="B1272" s="36" t="s">
        <v>3298</v>
      </c>
      <c r="C1272" s="36" t="s">
        <v>6588</v>
      </c>
      <c r="D1272" s="36" t="s">
        <v>6608</v>
      </c>
      <c r="E1272" s="9" t="s">
        <v>6583</v>
      </c>
      <c r="F1272" s="36" t="s">
        <v>6604</v>
      </c>
      <c r="G1272" s="36" t="s">
        <v>14</v>
      </c>
      <c r="J1272" s="36" t="str">
        <f>VLOOKUP(Table2[[#This Row], [Author]],People!A:B,2,0)</f>
        <v>MGF</v>
      </c>
      <c r="K1272" s="36" t="s">
        <v>6627</v>
      </c>
      <c r="L1272" s="36"/>
      <c r="M1272" s="36" t="s">
        <v>4781</v>
      </c>
    </row>
    <row r="1273" spans="1:13" hidden="1" x14ac:dyDescent="0.25">
      <c r="A1273" s="49">
        <f t="shared" si="20"/>
        <v>1271</v>
      </c>
      <c r="B1273" s="36" t="s">
        <v>3298</v>
      </c>
      <c r="C1273" s="36" t="s">
        <v>6588</v>
      </c>
      <c r="D1273" s="36" t="s">
        <v>6609</v>
      </c>
      <c r="E1273" s="9" t="s">
        <v>6584</v>
      </c>
      <c r="F1273" s="36" t="s">
        <v>6604</v>
      </c>
      <c r="G1273" s="36" t="s">
        <v>14</v>
      </c>
      <c r="J1273" s="36" t="str">
        <f>VLOOKUP(Table2[[#This Row], [Author]],People!A:B,2,0)</f>
        <v>MGF</v>
      </c>
      <c r="K1273" s="36" t="s">
        <v>6627</v>
      </c>
      <c r="L1273" s="36"/>
      <c r="M1273" s="36" t="s">
        <v>4781</v>
      </c>
    </row>
    <row r="1274" spans="1:13" hidden="1" x14ac:dyDescent="0.25">
      <c r="A1274" s="49">
        <f t="shared" si="20"/>
        <v>1272</v>
      </c>
      <c r="B1274" s="36" t="s">
        <v>3298</v>
      </c>
      <c r="C1274" s="36" t="s">
        <v>6588</v>
      </c>
      <c r="D1274" s="36" t="s">
        <v>6610</v>
      </c>
      <c r="E1274" s="9" t="s">
        <v>6585</v>
      </c>
      <c r="F1274" s="36" t="s">
        <v>6604</v>
      </c>
      <c r="G1274" s="36" t="s">
        <v>14</v>
      </c>
      <c r="J1274" s="36" t="str">
        <f>VLOOKUP(Table2[[#This Row], [Author]],People!A:B,2,0)</f>
        <v>MGF</v>
      </c>
      <c r="K1274" s="36" t="s">
        <v>6627</v>
      </c>
      <c r="L1274" s="36"/>
      <c r="M1274" s="36" t="s">
        <v>4781</v>
      </c>
    </row>
    <row r="1275" spans="1:13" hidden="1" x14ac:dyDescent="0.25">
      <c r="A1275" s="49">
        <f t="shared" si="20"/>
        <v>1273</v>
      </c>
      <c r="B1275" s="36" t="s">
        <v>3298</v>
      </c>
      <c r="C1275" s="36" t="s">
        <v>6588</v>
      </c>
      <c r="D1275" s="36" t="s">
        <v>6611</v>
      </c>
      <c r="E1275" s="9" t="s">
        <v>6586</v>
      </c>
      <c r="F1275" s="36" t="s">
        <v>6605</v>
      </c>
      <c r="G1275" s="36" t="s">
        <v>14</v>
      </c>
      <c r="J1275" s="36" t="str">
        <f>VLOOKUP(Table2[[#This Row], [Author]],People!A:B,2,0)</f>
        <v>MGF</v>
      </c>
      <c r="K1275" s="36" t="s">
        <v>6627</v>
      </c>
      <c r="L1275" s="36"/>
      <c r="M1275" s="36" t="s">
        <v>4781</v>
      </c>
    </row>
    <row r="1276" spans="1:13" hidden="1" x14ac:dyDescent="0.25">
      <c r="A1276" s="49">
        <f t="shared" si="20"/>
        <v>1274</v>
      </c>
      <c r="B1276" s="36" t="s">
        <v>3298</v>
      </c>
      <c r="C1276" s="36" t="s">
        <v>6588</v>
      </c>
      <c r="D1276" s="36" t="s">
        <v>6612</v>
      </c>
      <c r="E1276" s="9" t="s">
        <v>6587</v>
      </c>
      <c r="F1276" s="36" t="s">
        <v>6605</v>
      </c>
      <c r="G1276" s="36" t="s">
        <v>14</v>
      </c>
      <c r="J1276" s="36" t="str">
        <f>VLOOKUP(Table2[[#This Row], [Author]],People!A:B,2,0)</f>
        <v>MGF</v>
      </c>
      <c r="K1276" s="36" t="s">
        <v>6627</v>
      </c>
      <c r="L1276" s="36"/>
      <c r="M1276" s="36" t="s">
        <v>4781</v>
      </c>
    </row>
    <row r="1277" spans="1:13" hidden="1" x14ac:dyDescent="0.25">
      <c r="A1277" s="49">
        <f t="shared" si="20"/>
        <v>1275</v>
      </c>
      <c r="B1277" s="36" t="s">
        <v>3298</v>
      </c>
      <c r="C1277" s="9" t="s">
        <v>6589</v>
      </c>
      <c r="D1277" s="9" t="s">
        <v>6613</v>
      </c>
      <c r="E1277" s="9" t="s">
        <v>6590</v>
      </c>
      <c r="F1277" s="9" t="s">
        <v>5705</v>
      </c>
      <c r="G1277" s="36" t="s">
        <v>14</v>
      </c>
      <c r="J1277" s="36" t="str">
        <f>VLOOKUP(Table2[[#This Row], [Author]],People!A:B,2,0)</f>
        <v>LS</v>
      </c>
      <c r="K1277" s="36" t="s">
        <v>6627</v>
      </c>
      <c r="L1277" s="36"/>
      <c r="M1277" s="9" t="s">
        <v>6361</v>
      </c>
    </row>
    <row r="1278" spans="1:13" hidden="1" x14ac:dyDescent="0.25">
      <c r="A1278" s="49">
        <f t="shared" si="20"/>
        <v>1276</v>
      </c>
      <c r="B1278" s="36" t="s">
        <v>3298</v>
      </c>
      <c r="C1278" s="36" t="s">
        <v>6589</v>
      </c>
      <c r="D1278" s="9" t="s">
        <v>6591</v>
      </c>
      <c r="E1278" s="9" t="s">
        <v>6590</v>
      </c>
      <c r="F1278" s="36" t="s">
        <v>6613</v>
      </c>
      <c r="G1278" s="36" t="s">
        <v>14</v>
      </c>
      <c r="J1278" s="36" t="str">
        <f>VLOOKUP(Table2[[#This Row], [Author]],People!A:B,2,0)</f>
        <v>LS</v>
      </c>
      <c r="K1278" s="36" t="s">
        <v>6627</v>
      </c>
      <c r="L1278" s="36"/>
      <c r="M1278" s="36" t="s">
        <v>6361</v>
      </c>
    </row>
    <row r="1279" spans="1:13" hidden="1" x14ac:dyDescent="0.25">
      <c r="A1279" s="49">
        <f t="shared" si="20"/>
        <v>1277</v>
      </c>
      <c r="B1279" s="36" t="s">
        <v>3298</v>
      </c>
      <c r="C1279" s="36" t="s">
        <v>6589</v>
      </c>
      <c r="D1279" s="36" t="s">
        <v>6614</v>
      </c>
      <c r="E1279" s="9" t="s">
        <v>6592</v>
      </c>
      <c r="F1279" s="9" t="s">
        <v>6391</v>
      </c>
      <c r="G1279" s="36" t="s">
        <v>14</v>
      </c>
      <c r="J1279" s="36" t="str">
        <f>VLOOKUP(Table2[[#This Row], [Author]],People!A:B,2,0)</f>
        <v>LS</v>
      </c>
      <c r="K1279" s="36" t="s">
        <v>6627</v>
      </c>
      <c r="L1279" s="36"/>
      <c r="M1279" s="36" t="s">
        <v>6361</v>
      </c>
    </row>
    <row r="1280" spans="1:13" hidden="1" x14ac:dyDescent="0.25">
      <c r="A1280" s="49">
        <f t="shared" si="20"/>
        <v>1278</v>
      </c>
      <c r="B1280" s="36" t="s">
        <v>3298</v>
      </c>
      <c r="C1280" s="36" t="s">
        <v>6589</v>
      </c>
      <c r="D1280" s="9" t="s">
        <v>6593</v>
      </c>
      <c r="E1280" s="9" t="s">
        <v>6592</v>
      </c>
      <c r="F1280" s="36" t="s">
        <v>6614</v>
      </c>
      <c r="G1280" s="36" t="s">
        <v>14</v>
      </c>
      <c r="J1280" s="36" t="str">
        <f>VLOOKUP(Table2[[#This Row], [Author]],People!A:B,2,0)</f>
        <v>LS</v>
      </c>
      <c r="K1280" s="36" t="s">
        <v>6627</v>
      </c>
      <c r="L1280" s="36"/>
      <c r="M1280" s="36" t="s">
        <v>6361</v>
      </c>
    </row>
    <row r="1281" spans="1:13" hidden="1" x14ac:dyDescent="0.25">
      <c r="A1281" s="49">
        <f t="shared" si="20"/>
        <v>1279</v>
      </c>
      <c r="B1281" s="36" t="s">
        <v>3298</v>
      </c>
      <c r="C1281" s="36" t="s">
        <v>6589</v>
      </c>
      <c r="D1281" s="36" t="s">
        <v>6615</v>
      </c>
      <c r="E1281" s="9" t="s">
        <v>6594</v>
      </c>
      <c r="F1281" s="9" t="s">
        <v>6391</v>
      </c>
      <c r="G1281" s="36" t="s">
        <v>14</v>
      </c>
      <c r="J1281" s="36" t="str">
        <f>VLOOKUP(Table2[[#This Row], [Author]],People!A:B,2,0)</f>
        <v>LS</v>
      </c>
      <c r="K1281" s="36" t="s">
        <v>6627</v>
      </c>
      <c r="L1281" s="36"/>
      <c r="M1281" s="36" t="s">
        <v>6361</v>
      </c>
    </row>
    <row r="1282" spans="1:13" hidden="1" x14ac:dyDescent="0.25">
      <c r="A1282" s="49">
        <f t="shared" si="20"/>
        <v>1280</v>
      </c>
      <c r="B1282" s="36" t="s">
        <v>3298</v>
      </c>
      <c r="C1282" s="36" t="s">
        <v>6589</v>
      </c>
      <c r="D1282" s="9" t="s">
        <v>6595</v>
      </c>
      <c r="E1282" s="9" t="s">
        <v>6594</v>
      </c>
      <c r="F1282" s="36" t="s">
        <v>6615</v>
      </c>
      <c r="G1282" s="36" t="s">
        <v>14</v>
      </c>
      <c r="J1282" s="36" t="str">
        <f>VLOOKUP(Table2[[#This Row], [Author]],People!A:B,2,0)</f>
        <v>LS</v>
      </c>
      <c r="K1282" s="36" t="s">
        <v>6627</v>
      </c>
      <c r="L1282" s="36"/>
      <c r="M1282" s="36" t="s">
        <v>6361</v>
      </c>
    </row>
    <row r="1283" spans="1:13" hidden="1" x14ac:dyDescent="0.25">
      <c r="A1283" s="49">
        <f t="shared" si="20"/>
        <v>1281</v>
      </c>
      <c r="B1283" s="36" t="s">
        <v>3298</v>
      </c>
      <c r="C1283" s="36" t="s">
        <v>6589</v>
      </c>
      <c r="D1283" s="36" t="s">
        <v>6616</v>
      </c>
      <c r="E1283" s="9" t="s">
        <v>6596</v>
      </c>
      <c r="F1283" s="9" t="s">
        <v>6391</v>
      </c>
      <c r="G1283" s="36" t="s">
        <v>14</v>
      </c>
      <c r="J1283" s="36" t="str">
        <f>VLOOKUP(Table2[[#This Row], [Author]],People!A:B,2,0)</f>
        <v>LS</v>
      </c>
      <c r="K1283" s="36" t="s">
        <v>6627</v>
      </c>
      <c r="L1283" s="36"/>
      <c r="M1283" s="36" t="s">
        <v>6361</v>
      </c>
    </row>
    <row r="1284" spans="1:13" hidden="1" x14ac:dyDescent="0.25">
      <c r="A1284" s="49">
        <f t="shared" si="20"/>
        <v>1282</v>
      </c>
      <c r="B1284" s="36" t="s">
        <v>3298</v>
      </c>
      <c r="C1284" s="36" t="s">
        <v>6589</v>
      </c>
      <c r="D1284" s="9" t="s">
        <v>6597</v>
      </c>
      <c r="E1284" s="9" t="s">
        <v>6596</v>
      </c>
      <c r="F1284" s="36" t="s">
        <v>6616</v>
      </c>
      <c r="G1284" s="36" t="s">
        <v>14</v>
      </c>
      <c r="J1284" s="36" t="str">
        <f>VLOOKUP(Table2[[#This Row], [Author]],People!A:B,2,0)</f>
        <v>LS</v>
      </c>
      <c r="K1284" s="36" t="s">
        <v>6627</v>
      </c>
      <c r="L1284" s="36"/>
      <c r="M1284" s="36" t="s">
        <v>6361</v>
      </c>
    </row>
    <row r="1285" spans="1:13" hidden="1" x14ac:dyDescent="0.25">
      <c r="A1285" s="49">
        <f t="shared" si="20"/>
        <v>1283</v>
      </c>
      <c r="B1285" s="36" t="s">
        <v>3298</v>
      </c>
      <c r="C1285" s="36" t="s">
        <v>6589</v>
      </c>
      <c r="D1285" s="36" t="s">
        <v>6617</v>
      </c>
      <c r="E1285" s="9" t="s">
        <v>6598</v>
      </c>
      <c r="F1285" s="9" t="s">
        <v>6367</v>
      </c>
      <c r="G1285" s="36" t="s">
        <v>14</v>
      </c>
      <c r="J1285" s="36" t="str">
        <f>VLOOKUP(Table2[[#This Row], [Author]],People!A:B,2,0)</f>
        <v>LS</v>
      </c>
      <c r="K1285" s="36" t="s">
        <v>6627</v>
      </c>
      <c r="L1285" s="36"/>
      <c r="M1285" s="36" t="s">
        <v>6361</v>
      </c>
    </row>
    <row r="1286" spans="1:13" hidden="1" x14ac:dyDescent="0.25">
      <c r="A1286" s="49">
        <f t="shared" si="20"/>
        <v>1284</v>
      </c>
      <c r="B1286" s="36" t="s">
        <v>3298</v>
      </c>
      <c r="C1286" s="36" t="s">
        <v>6589</v>
      </c>
      <c r="D1286" s="9" t="s">
        <v>6599</v>
      </c>
      <c r="E1286" s="9" t="s">
        <v>6598</v>
      </c>
      <c r="F1286" s="36" t="s">
        <v>6617</v>
      </c>
      <c r="G1286" s="36" t="s">
        <v>14</v>
      </c>
      <c r="J1286" s="36" t="str">
        <f>VLOOKUP(Table2[[#This Row], [Author]],People!A:B,2,0)</f>
        <v>LS</v>
      </c>
      <c r="K1286" s="36" t="s">
        <v>6627</v>
      </c>
      <c r="L1286" s="36"/>
      <c r="M1286" s="36" t="s">
        <v>6361</v>
      </c>
    </row>
    <row r="1287" spans="1:13" hidden="1" x14ac:dyDescent="0.25">
      <c r="A1287" s="49">
        <f t="shared" si="20"/>
        <v>1285</v>
      </c>
      <c r="B1287" s="36" t="s">
        <v>3298</v>
      </c>
      <c r="C1287" s="9" t="s">
        <v>6600</v>
      </c>
      <c r="D1287" s="36" t="s">
        <v>6618</v>
      </c>
      <c r="E1287" s="9" t="s">
        <v>6601</v>
      </c>
      <c r="F1287" s="9" t="s">
        <v>6577</v>
      </c>
      <c r="G1287" s="36" t="s">
        <v>14</v>
      </c>
      <c r="J1287" s="36" t="str">
        <f>VLOOKUP(Table2[[#This Row], [Author]],People!A:B,2,0)</f>
        <v>LS</v>
      </c>
      <c r="K1287" s="9" t="s">
        <v>6627</v>
      </c>
      <c r="L1287" s="36"/>
      <c r="M1287" s="9" t="s">
        <v>6602</v>
      </c>
    </row>
    <row r="1288" spans="1:13" x14ac:dyDescent="0.25">
      <c r="A1288" s="49">
        <f t="shared" si="20"/>
        <v>1286</v>
      </c>
      <c r="B1288" s="36" t="s">
        <v>3298</v>
      </c>
      <c r="C1288" s="9" t="s">
        <v>6619</v>
      </c>
      <c r="D1288" s="9" t="s">
        <v>1012</v>
      </c>
      <c r="E1288" s="9" t="s">
        <v>6620</v>
      </c>
      <c r="G1288" s="9" t="s">
        <v>15</v>
      </c>
      <c r="J1288" s="36" t="str">
        <f>VLOOKUP(Table2[[#This Row], [Author]],People!A:B,2,0)</f>
        <v>HC</v>
      </c>
      <c r="M1288" s="9" t="s">
        <v>1616</v>
      </c>
    </row>
    <row r="1289" spans="1:13" x14ac:dyDescent="0.25">
      <c r="A1289" s="49">
        <f t="shared" si="20"/>
        <v>1287</v>
      </c>
      <c r="B1289" s="36" t="s">
        <v>3298</v>
      </c>
      <c r="C1289" s="36" t="s">
        <v>6619</v>
      </c>
      <c r="D1289" s="9" t="s">
        <v>1074</v>
      </c>
      <c r="E1289" s="9" t="s">
        <v>6621</v>
      </c>
      <c r="G1289" s="36" t="s">
        <v>15</v>
      </c>
      <c r="J1289" s="36" t="str">
        <f>VLOOKUP(Table2[[#This Row], [Author]],People!A:B,2,0)</f>
        <v>HC</v>
      </c>
      <c r="M1289" s="36" t="s">
        <v>1616</v>
      </c>
    </row>
    <row r="1290" spans="1:13" x14ac:dyDescent="0.25">
      <c r="A1290" s="49">
        <f t="shared" si="20"/>
        <v>1288</v>
      </c>
      <c r="B1290" s="36" t="s">
        <v>3298</v>
      </c>
      <c r="C1290" s="36" t="s">
        <v>6619</v>
      </c>
      <c r="D1290" s="9" t="s">
        <v>1159</v>
      </c>
      <c r="E1290" s="9" t="s">
        <v>6622</v>
      </c>
      <c r="G1290" s="36" t="s">
        <v>15</v>
      </c>
      <c r="J1290" s="36" t="str">
        <f>VLOOKUP(Table2[[#This Row], [Author]],People!A:B,2,0)</f>
        <v>HC</v>
      </c>
      <c r="M1290" s="36" t="s">
        <v>1616</v>
      </c>
    </row>
    <row r="1291" spans="1:13" x14ac:dyDescent="0.25">
      <c r="A1291" s="49">
        <f t="shared" si="20"/>
        <v>1289</v>
      </c>
      <c r="B1291" s="36" t="s">
        <v>3298</v>
      </c>
      <c r="C1291" s="36" t="s">
        <v>6619</v>
      </c>
      <c r="D1291" s="9" t="s">
        <v>1158</v>
      </c>
      <c r="E1291" s="9" t="s">
        <v>6623</v>
      </c>
      <c r="G1291" s="36" t="s">
        <v>15</v>
      </c>
      <c r="J1291" s="36" t="str">
        <f>VLOOKUP(Table2[[#This Row], [Author]],People!A:B,2,0)</f>
        <v>HC</v>
      </c>
      <c r="M1291" s="36" t="s">
        <v>1616</v>
      </c>
    </row>
    <row r="1292" spans="1:13" hidden="1" x14ac:dyDescent="0.25">
      <c r="A1292" s="49">
        <f t="shared" si="20"/>
        <v>1290</v>
      </c>
      <c r="B1292" s="36" t="s">
        <v>3298</v>
      </c>
      <c r="C1292" s="9" t="s">
        <v>6624</v>
      </c>
      <c r="D1292" s="9" t="s">
        <v>4231</v>
      </c>
      <c r="F1292" s="36" t="s">
        <v>4211</v>
      </c>
      <c r="G1292" s="9" t="s">
        <v>13</v>
      </c>
      <c r="J1292" s="36" t="e">
        <f>VLOOKUP(Table2[[#This Row], [Author]],People!A:B,2,0)</f>
        <v>#N/A</v>
      </c>
      <c r="K1292" s="9" t="s">
        <v>6627</v>
      </c>
      <c r="L1292" s="36"/>
      <c r="M1292" s="9" t="s">
        <v>6626</v>
      </c>
    </row>
    <row r="1293" spans="1:13" hidden="1" x14ac:dyDescent="0.25">
      <c r="A1293" s="49">
        <f t="shared" si="20"/>
        <v>1291</v>
      </c>
      <c r="B1293" s="36" t="s">
        <v>3298</v>
      </c>
      <c r="C1293" s="36" t="s">
        <v>6625</v>
      </c>
      <c r="D1293" s="9" t="s">
        <v>1827</v>
      </c>
      <c r="F1293" s="9" t="s">
        <v>6559</v>
      </c>
      <c r="G1293" s="36" t="s">
        <v>13</v>
      </c>
      <c r="I1293" s="36"/>
      <c r="J1293" s="36" t="str">
        <f>VLOOKUP(Table2[[#This Row], [Author]],People!A:B,2,0)</f>
        <v>LS</v>
      </c>
      <c r="K1293" s="36" t="s">
        <v>6627</v>
      </c>
      <c r="L1293" s="36"/>
      <c r="M1293" s="9" t="s">
        <v>4802</v>
      </c>
    </row>
    <row r="1294" spans="1:13" hidden="1" x14ac:dyDescent="0.25">
      <c r="A1294" s="49">
        <f t="shared" si="20"/>
        <v>1292</v>
      </c>
      <c r="B1294" s="36" t="s">
        <v>3298</v>
      </c>
      <c r="C1294" s="36" t="s">
        <v>6625</v>
      </c>
      <c r="D1294" s="9" t="s">
        <v>1781</v>
      </c>
      <c r="F1294" s="9" t="s">
        <v>6559</v>
      </c>
      <c r="G1294" s="36" t="s">
        <v>13</v>
      </c>
      <c r="I1294" s="36"/>
      <c r="J1294" s="36" t="str">
        <f>VLOOKUP(Table2[[#This Row], [Author]],People!A:B,2,0)</f>
        <v>LS</v>
      </c>
      <c r="K1294" s="36" t="s">
        <v>6627</v>
      </c>
      <c r="L1294" s="36"/>
      <c r="M1294" s="36" t="s">
        <v>4802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20</v>
      </c>
    </row>
    <row r="51" spans="1:2" x14ac:dyDescent="0.25">
      <c r="A51" s="5" t="s">
        <v>6122</v>
      </c>
      <c r="B51" s="36" t="s">
        <v>19</v>
      </c>
    </row>
    <row r="52" spans="1:2" x14ac:dyDescent="0.25">
      <c r="A52" s="47" t="s">
        <v>6127</v>
      </c>
      <c r="B52" s="48" t="s">
        <v>17</v>
      </c>
    </row>
    <row r="53" spans="1:2" x14ac:dyDescent="0.25">
      <c r="A53" s="5" t="s">
        <v>6361</v>
      </c>
      <c r="B53" s="36" t="s">
        <v>18</v>
      </c>
    </row>
    <row r="54" spans="1:2" x14ac:dyDescent="0.25">
      <c r="A54" s="50" t="s">
        <v>6602</v>
      </c>
      <c r="B54" s="36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EL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EL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str">
        <f>VLOOKUP(Table2[[#This Row], [Author]],People!A:B,2,0)</f>
        <v>MGF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str">
        <f>VLOOKUP(Table2[[#This Row], [Author]],People!A:B,2,0)</f>
        <v>HC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str">
        <f>VLOOKUP(Table2[[#This Row], [Author]],People!A:B,2,0)</f>
        <v>MGF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str">
        <f>VLOOKUP(Table2[[#This Row], [Author]],People!A:B,2,0)</f>
        <v>MGF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str">
        <f>VLOOKUP(Table2[[#This Row], [Author]],People!A:B,2,0)</f>
        <v>MGF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str">
        <f>VLOOKUP(Table2[[#This Row], [Author]],People!A:B,2,0)</f>
        <v>MGF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str">
        <f>VLOOKUP(Table2[[#This Row], [Author]],People!A:B,2,0)</f>
        <v>MGF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str">
        <f>VLOOKUP(Table2[[#This Row], [Author]],People!A:B,2,0)</f>
        <v>MGF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str">
        <f>VLOOKUP(Table2[[#This Row], [Author]],People!A:B,2,0)</f>
        <v>MGF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str">
        <f>VLOOKUP(Table2[[#This Row], [Author]],People!A:B,2,0)</f>
        <v>MGF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str">
        <f>VLOOKUP(Table2[[#This Row], [Author]],People!A:B,2,0)</f>
        <v>MGF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str">
        <f>VLOOKUP(Table2[[#This Row], [Author]],People!A:B,2,0)</f>
        <v>MGF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str">
        <f>VLOOKUP(Table2[[#This Row], [Author]],People!A:B,2,0)</f>
        <v>MGF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str">
        <f>VLOOKUP(Table2[[#This Row], [Author]],People!A:B,2,0)</f>
        <v>MGF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str">
        <f>VLOOKUP(Table2[[#This Row], [Author]],People!A:B,2,0)</f>
        <v>MGF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str">
        <f>VLOOKUP(Table2[[#This Row], [Author]],People!A:B,2,0)</f>
        <v>MGF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str">
        <f>VLOOKUP(Table2[[#This Row], [Author]],People!A:B,2,0)</f>
        <v>MGF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str">
        <f>VLOOKUP(Table2[[#This Row], [Author]],People!A:B,2,0)</f>
        <v>MGF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str">
        <f>VLOOKUP(Table2[[#This Row], [Author]],People!A:B,2,0)</f>
        <v>MGF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str">
        <f>VLOOKUP(Table2[[#This Row], [Author]],People!A:B,2,0)</f>
        <v>MGF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str">
        <f>VLOOKUP(Table2[[#This Row], [Author]],People!A:B,2,0)</f>
        <v>MGF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str">
        <f>VLOOKUP(Table2[[#This Row], [Author]],People!A:B,2,0)</f>
        <v>MGF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str">
        <f>VLOOKUP(Table2[[#This Row], [Author]],People!A:B,2,0)</f>
        <v>MGF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str">
        <f>VLOOKUP(Table2[[#This Row], [Author]],People!A:B,2,0)</f>
        <v>MGF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str">
        <f>VLOOKUP(Table2[[#This Row], [Author]],People!A:B,2,0)</f>
        <v>MGF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str">
        <f>VLOOKUP(Table2[[#This Row], [Author]],People!A:B,2,0)</f>
        <v>MGF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str">
        <f>VLOOKUP(Table2[[#This Row], [Author]],People!A:B,2,0)</f>
        <v>MGF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str">
        <f>VLOOKUP(Table2[[#This Row], [Author]],People!A:B,2,0)</f>
        <v>MGF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str">
        <f>VLOOKUP(Table2[[#This Row], [Author]],People!A:B,2,0)</f>
        <v>MGF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str">
        <f>VLOOKUP(Table2[[#This Row], [Author]],People!A:B,2,0)</f>
        <v>MGF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str">
        <f>VLOOKUP(Table2[[#This Row], [Author]],People!A:B,2,0)</f>
        <v>MGF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str">
        <f>VLOOKUP(Table2[[#This Row], [Author]],People!A:B,2,0)</f>
        <v>MGF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str">
        <f>VLOOKUP(Table2[[#This Row], [Author]],People!A:B,2,0)</f>
        <v>MGF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str">
        <f>VLOOKUP(Table2[[#This Row], [Author]],People!A:B,2,0)</f>
        <v>MGF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str">
        <f>VLOOKUP(Table2[[#This Row], [Author]],People!A:B,2,0)</f>
        <v>MGF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str">
        <f>VLOOKUP(Table2[[#This Row], [Author]],People!A:B,2,0)</f>
        <v>MGF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str">
        <f>VLOOKUP(Table2[[#This Row], [Author]],People!A:B,2,0)</f>
        <v>MGF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str">
        <f>VLOOKUP(Table2[[#This Row], [Author]],People!A:B,2,0)</f>
        <v>MGF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str">
        <f>VLOOKUP(Table2[[#This Row], [Author]],People!A:B,2,0)</f>
        <v>MGF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str">
        <f>VLOOKUP(Table2[[#This Row], [Author]],People!A:B,2,0)</f>
        <v>MGF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str">
        <f>VLOOKUP(Table2[[#This Row], [Author]],People!A:B,2,0)</f>
        <v>MGF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str">
        <f>VLOOKUP(Table2[[#This Row], [Author]],People!A:B,2,0)</f>
        <v>MGF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str">
        <f>VLOOKUP(Table2[[#This Row], [Author]],People!A:B,2,0)</f>
        <v>MGF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str">
        <f>VLOOKUP(Table2[[#This Row], [Author]],People!A:B,2,0)</f>
        <v>MGF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str">
        <f>VLOOKUP(Table2[[#This Row], [Author]],People!A:B,2,0)</f>
        <v>MGF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str">
        <f>VLOOKUP(Table2[[#This Row], [Author]],People!A:B,2,0)</f>
        <v>MGF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str">
        <f>VLOOKUP(Table2[[#This Row], [Author]],People!A:B,2,0)</f>
        <v>MGF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str">
        <f>VLOOKUP(Table2[[#This Row], [Author]],People!A:B,2,0)</f>
        <v>MGF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str">
        <f>VLOOKUP(Table2[[#This Row], [Author]],People!A:B,2,0)</f>
        <v>MGF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str">
        <f>VLOOKUP(Table2[[#This Row], [Author]],People!A:B,2,0)</f>
        <v>MGF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str">
        <f>VLOOKUP(Table2[[#This Row], [Author]],People!A:B,2,0)</f>
        <v>MGF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str">
        <f>VLOOKUP(Table2[[#This Row], [Author]],People!A:B,2,0)</f>
        <v>MGF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str">
        <f>VLOOKUP(Table2[[#This Row], [Author]],People!A:B,2,0)</f>
        <v>MGF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str">
        <f>VLOOKUP(Table2[[#This Row], [Author]],People!A:B,2,0)</f>
        <v>MGF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str">
        <f>VLOOKUP(Table2[[#This Row], [Author]],People!A:B,2,0)</f>
        <v>MGF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str">
        <f>VLOOKUP(Table2[[#This Row], [Author]],People!A:B,2,0)</f>
        <v>MGF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str">
        <f>VLOOKUP(Table2[[#This Row], [Author]],People!A:B,2,0)</f>
        <v>MGF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str">
        <f>VLOOKUP(Table2[[#This Row], [Author]],People!A:B,2,0)</f>
        <v>MGF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str">
        <f>VLOOKUP(Table2[[#This Row], [Author]],People!A:B,2,0)</f>
        <v>MGF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str">
        <f>VLOOKUP(Table2[[#This Row], [Author]],People!A:B,2,0)</f>
        <v>MGF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str">
        <f>VLOOKUP(Table2[[#This Row], [Author]],People!A:B,2,0)</f>
        <v>MGF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str">
        <f>VLOOKUP(Table2[[#This Row], [Author]],People!A:B,2,0)</f>
        <v>MGF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str">
        <f>VLOOKUP(Table2[[#This Row], [Author]],People!A:B,2,0)</f>
        <v>MGF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str">
        <f>VLOOKUP(Table2[[#This Row], [Author]],People!A:B,2,0)</f>
        <v>MGF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str">
        <f>VLOOKUP(Table2[[#This Row], [Author]],People!A:B,2,0)</f>
        <v>MGF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str">
        <f>VLOOKUP(Table2[[#This Row], [Author]],People!A:B,2,0)</f>
        <v>MGF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str">
        <f>VLOOKUP(Table2[[#This Row], [Author]],People!A:B,2,0)</f>
        <v>MGF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str">
        <f>VLOOKUP(Table2[[#This Row], [Author]],People!A:B,2,0)</f>
        <v>MGF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str">
        <f>VLOOKUP(Table2[[#This Row], [Author]],People!A:B,2,0)</f>
        <v>MGF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str">
        <f>VLOOKUP(Table2[[#This Row], [Author]],People!A:B,2,0)</f>
        <v>MGF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str">
        <f>VLOOKUP(Table2[[#This Row], [Author]],People!A:B,2,0)</f>
        <v>MGF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str">
        <f>VLOOKUP(Table2[[#This Row], [Author]],People!A:B,2,0)</f>
        <v>MGF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str">
        <f>VLOOKUP(Table2[[#This Row], [Author]],People!A:B,2,0)</f>
        <v>MGF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str">
        <f>VLOOKUP(Table2[[#This Row], [Author]],People!A:B,2,0)</f>
        <v>MGF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str">
        <f>VLOOKUP(Table2[[#This Row], [Author]],People!A:B,2,0)</f>
        <v>MGF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str">
        <f>VLOOKUP(Table2[[#This Row], [Author]],People!A:B,2,0)</f>
        <v>MGF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str">
        <f>VLOOKUP(Table2[[#This Row], [Author]],People!A:B,2,0)</f>
        <v>MGF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str">
        <f>VLOOKUP(Table2[[#This Row], [Author]],People!A:B,2,0)</f>
        <v>MGF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str">
        <f>VLOOKUP(Table2[[#This Row], [Author]],People!A:B,2,0)</f>
        <v>MGF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str">
        <f>VLOOKUP(Table2[[#This Row], [Author]],People!A:B,2,0)</f>
        <v>MGF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str">
        <f>VLOOKUP(Table2[[#This Row], [Author]],People!A:B,2,0)</f>
        <v>MGF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str">
        <f>VLOOKUP(Table2[[#This Row], [Author]],People!A:B,2,0)</f>
        <v>MGF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str">
        <f>VLOOKUP(Table2[[#This Row], [Author]],People!A:B,2,0)</f>
        <v>MGF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str">
        <f>VLOOKUP(Table2[[#This Row], [Author]],People!A:B,2,0)</f>
        <v>MGF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str">
        <f>VLOOKUP(Table2[[#This Row], [Author]],People!A:B,2,0)</f>
        <v>MGF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str">
        <f>VLOOKUP(Table2[[#This Row], [Author]],People!A:B,2,0)</f>
        <v>MGF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str">
        <f>VLOOKUP(Table2[[#This Row], [Author]],People!A:B,2,0)</f>
        <v>MGF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str">
        <f>VLOOKUP(Table2[[#This Row], [Author]],People!A:B,2,0)</f>
        <v>MGF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str">
        <f>VLOOKUP(Table2[[#This Row], [Author]],People!A:B,2,0)</f>
        <v>MGF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str">
        <f>VLOOKUP(Table2[[#This Row], [Author]],People!A:B,2,0)</f>
        <v>MGF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str">
        <f>VLOOKUP(Table2[[#This Row], [Author]],People!A:B,2,0)</f>
        <v>MGF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str">
        <f>VLOOKUP(Table2[[#This Row], [Author]],People!A:B,2,0)</f>
        <v>MGF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str">
        <f>VLOOKUP(Table2[[#This Row], [Author]],People!A:B,2,0)</f>
        <v>MGF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str">
        <f>VLOOKUP(Table2[[#This Row], [Author]],People!A:B,2,0)</f>
        <v>MGF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str">
        <f>VLOOKUP(Table2[[#This Row], [Author]],People!A:B,2,0)</f>
        <v>MGF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str">
        <f>VLOOKUP(Table2[[#This Row], [Author]],People!A:B,2,0)</f>
        <v>MGF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str">
        <f>VLOOKUP(Table2[[#This Row], [Author]],People!A:B,2,0)</f>
        <v>MGF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str">
        <f>VLOOKUP(Table2[[#This Row], [Author]],People!A:B,2,0)</f>
        <v>MGF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str">
        <f>VLOOKUP(Table2[[#This Row], [Author]],People!A:B,2,0)</f>
        <v>MGF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str">
        <f>VLOOKUP(Table2[[#This Row], [Author]],People!A:B,2,0)</f>
        <v>MGF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str">
        <f>VLOOKUP(Table2[[#This Row], [Author]],People!A:B,2,0)</f>
        <v>MGF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str">
        <f>VLOOKUP(Table2[[#This Row], [Author]],People!A:B,2,0)</f>
        <v>MGF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str">
        <f>VLOOKUP(Table2[[#This Row], [Author]],People!A:B,2,0)</f>
        <v>MGF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str">
        <f>VLOOKUP(Table2[[#This Row], [Author]],People!A:B,2,0)</f>
        <v>MGF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str">
        <f>VLOOKUP(Table2[[#This Row], [Author]],People!A:B,2,0)</f>
        <v>MGF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str">
        <f>VLOOKUP(Table2[[#This Row], [Author]],People!A:B,2,0)</f>
        <v>MGF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str">
        <f>VLOOKUP(Table2[[#This Row], [Author]],People!A:B,2,0)</f>
        <v>MGF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str">
        <f>VLOOKUP(Table2[[#This Row], [Author]],People!A:B,2,0)</f>
        <v>MGF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str">
        <f>VLOOKUP(Table2[[#This Row], [Author]],People!A:B,2,0)</f>
        <v>MGF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str">
        <f>VLOOKUP(Table2[[#This Row], [Author]],People!A:B,2,0)</f>
        <v>MGF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str">
        <f>VLOOKUP(Table2[[#This Row], [Author]],People!A:B,2,0)</f>
        <v>MGF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str">
        <f>VLOOKUP(Table2[[#This Row], [Author]],People!A:B,2,0)</f>
        <v>MGF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str">
        <f>VLOOKUP(Table2[[#This Row], [Author]],People!A:B,2,0)</f>
        <v>MGF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str">
        <f>VLOOKUP(Table2[[#This Row], [Author]],People!A:B,2,0)</f>
        <v>MGF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str">
        <f>VLOOKUP(Table2[[#This Row], [Author]],People!A:B,2,0)</f>
        <v>MGF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str">
        <f>VLOOKUP(Table2[[#This Row], [Author]],People!A:B,2,0)</f>
        <v>MGF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str">
        <f>VLOOKUP(Table2[[#This Row], [Author]],People!A:B,2,0)</f>
        <v>MGF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str">
        <f>VLOOKUP(Table2[[#This Row], [Author]],People!A:B,2,0)</f>
        <v>MGF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str">
        <f>VLOOKUP(Table2[[#This Row], [Author]],People!A:B,2,0)</f>
        <v>MGF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str">
        <f>VLOOKUP(Table2[[#This Row], [Author]],People!A:B,2,0)</f>
        <v>MGF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str">
        <f>VLOOKUP(Table2[[#This Row], [Author]],People!A:B,2,0)</f>
        <v>MGF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str">
        <f>VLOOKUP(Table2[[#This Row], [Author]],People!A:B,2,0)</f>
        <v>MGF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str">
        <f>VLOOKUP(Table2[[#This Row], [Author]],People!A:B,2,0)</f>
        <v>MGF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str">
        <f>VLOOKUP(Table2[[#This Row], [Author]],People!A:B,2,0)</f>
        <v>MGF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str">
        <f>VLOOKUP(Table2[[#This Row], [Author]],People!A:B,2,0)</f>
        <v>MGF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str">
        <f>VLOOKUP(Table2[[#This Row], [Author]],People!A:B,2,0)</f>
        <v>MGF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str">
        <f>VLOOKUP(Table2[[#This Row], [Author]],People!A:B,2,0)</f>
        <v>MGF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str">
        <f>VLOOKUP(Table2[[#This Row], [Author]],People!A:B,2,0)</f>
        <v>MGF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str">
        <f>VLOOKUP(Table2[[#This Row], [Author]],People!A:B,2,0)</f>
        <v>MGF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str">
        <f>VLOOKUP(Table2[[#This Row], [Author]],People!A:B,2,0)</f>
        <v>MGF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str">
        <f>VLOOKUP(Table2[[#This Row], [Author]],People!A:B,2,0)</f>
        <v>MGF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str">
        <f>VLOOKUP(Table2[[#This Row], [Author]],People!A:B,2,0)</f>
        <v>MGF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str">
        <f>VLOOKUP(Table2[[#This Row], [Author]],People!A:B,2,0)</f>
        <v>MGF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str">
        <f>VLOOKUP(Table2[[#This Row], [Author]],People!A:B,2,0)</f>
        <v>MGF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str">
        <f>VLOOKUP(Table2[[#This Row], [Author]],People!A:B,2,0)</f>
        <v>MGF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str">
        <f>VLOOKUP(Table2[[#This Row], [Author]],People!A:B,2,0)</f>
        <v>MGF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str">
        <f>VLOOKUP(Table2[[#This Row], [Author]],People!A:B,2,0)</f>
        <v>MGF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str">
        <f>VLOOKUP(Table2[[#This Row], [Author]],People!A:B,2,0)</f>
        <v>MGF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str">
        <f>VLOOKUP(Table2[[#This Row], [Author]],People!A:B,2,0)</f>
        <v>MGF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str">
        <f>VLOOKUP(Table2[[#This Row], [Author]],People!A:B,2,0)</f>
        <v>MGF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str">
        <f>VLOOKUP(Table2[[#This Row], [Author]],People!A:B,2,0)</f>
        <v>MGF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str">
        <f>VLOOKUP(Table2[[#This Row], [Author]],People!A:B,2,0)</f>
        <v>MGF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str">
        <f>VLOOKUP(Table2[[#This Row], [Author]],People!A:B,2,0)</f>
        <v>MGF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str">
        <f>VLOOKUP(Table2[[#This Row], [Author]],People!A:B,2,0)</f>
        <v>MGF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str">
        <f>VLOOKUP(Table2[[#This Row], [Author]],People!A:B,2,0)</f>
        <v>MGF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str">
        <f>VLOOKUP(Table2[[#This Row], [Author]],People!A:B,2,0)</f>
        <v>MGF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str">
        <f>VLOOKUP(Table2[[#This Row], [Author]],People!A:B,2,0)</f>
        <v>MGF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str">
        <f>VLOOKUP(Table2[[#This Row], [Author]],People!A:B,2,0)</f>
        <v>MGF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str">
        <f>VLOOKUP(Table2[[#This Row], [Author]],People!A:B,2,0)</f>
        <v>MGF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str">
        <f>VLOOKUP(Table2[[#This Row], [Author]],People!A:B,2,0)</f>
        <v>MGF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str">
        <f>VLOOKUP(Table2[[#This Row], [Author]],People!A:B,2,0)</f>
        <v>MGF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str">
        <f>VLOOKUP(Table2[[#This Row], [Author]],People!A:B,2,0)</f>
        <v>MGF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str">
        <f>VLOOKUP(Table2[[#This Row], [Author]],People!A:B,2,0)</f>
        <v>MGF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str">
        <f>VLOOKUP(Table2[[#This Row], [Author]],People!A:B,2,0)</f>
        <v>MGF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str">
        <f>VLOOKUP(Table2[[#This Row], [Author]],People!A:B,2,0)</f>
        <v>MGF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str">
        <f>VLOOKUP(Table2[[#This Row], [Author]],People!A:B,2,0)</f>
        <v>MGF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str">
        <f>VLOOKUP(Table2[[#This Row], [Author]],People!A:B,2,0)</f>
        <v>MGF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str">
        <f>VLOOKUP(Table2[[#This Row], [Author]],People!A:B,2,0)</f>
        <v>MGF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str">
        <f>VLOOKUP(Table2[[#This Row], [Author]],People!A:B,2,0)</f>
        <v>MGF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str">
        <f>VLOOKUP(Table2[[#This Row], [Author]],People!A:B,2,0)</f>
        <v>MGF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str">
        <f>VLOOKUP(Table2[[#This Row], [Author]],People!A:B,2,0)</f>
        <v>MGF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str">
        <f>VLOOKUP(Table2[[#This Row], [Author]],People!A:B,2,0)</f>
        <v>MGF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str">
        <f>VLOOKUP(Table2[[#This Row], [Author]],People!A:B,2,0)</f>
        <v>MGF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str">
        <f>VLOOKUP(Table2[[#This Row], [Author]],People!A:B,2,0)</f>
        <v>MGF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str">
        <f>VLOOKUP(Table2[[#This Row], [Author]],People!A:B,2,0)</f>
        <v>MGF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str">
        <f>VLOOKUP(Table2[[#This Row], [Author]],People!A:B,2,0)</f>
        <v>MGF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str">
        <f>VLOOKUP(Table2[[#This Row], [Author]],People!A:B,2,0)</f>
        <v>MGF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str">
        <f>VLOOKUP(Table2[[#This Row], [Author]],People!A:B,2,0)</f>
        <v>MGF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str">
        <f>VLOOKUP(Table2[[#This Row], [Author]],People!A:B,2,0)</f>
        <v>MGF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str">
        <f>VLOOKUP(Table2[[#This Row], [Author]],People!A:B,2,0)</f>
        <v>MGF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str">
        <f>VLOOKUP(Table2[[#This Row], [Author]],People!A:B,2,0)</f>
        <v>MGF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str">
        <f>VLOOKUP(Table2[[#This Row], [Author]],People!A:B,2,0)</f>
        <v>MGF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str">
        <f>VLOOKUP(Table2[[#This Row], [Author]],People!A:B,2,0)</f>
        <v>MGF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str">
        <f>VLOOKUP(Table2[[#This Row], [Author]],People!A:B,2,0)</f>
        <v>MGF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str">
        <f>VLOOKUP(Table2[[#This Row], [Author]],People!A:B,2,0)</f>
        <v>MGF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str">
        <f>VLOOKUP(Table2[[#This Row], [Author]],People!A:B,2,0)</f>
        <v>MGF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str">
        <f>VLOOKUP(Table2[[#This Row], [Author]],People!A:B,2,0)</f>
        <v>MGF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str">
        <f>VLOOKUP(Table2[[#This Row], [Author]],People!A:B,2,0)</f>
        <v>MGF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str">
        <f>VLOOKUP(Table2[[#This Row], [Author]],People!A:B,2,0)</f>
        <v>MGF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str">
        <f>VLOOKUP(Table2[[#This Row], [Author]],People!A:B,2,0)</f>
        <v>MGF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str">
        <f>VLOOKUP(Table2[[#This Row], [Author]],People!A:B,2,0)</f>
        <v>MGF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str">
        <f>VLOOKUP(Table2[[#This Row], [Author]],People!A:B,2,0)</f>
        <v>MGF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str">
        <f>VLOOKUP(Table2[[#This Row], [Author]],People!A:B,2,0)</f>
        <v>MGF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str">
        <f>VLOOKUP(Table2[[#This Row], [Author]],People!A:B,2,0)</f>
        <v>MGF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str">
        <f>VLOOKUP(Table2[[#This Row], [Author]],People!A:B,2,0)</f>
        <v>MGF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str">
        <f>VLOOKUP(Table2[[#This Row], [Author]],People!A:B,2,0)</f>
        <v>MGF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str">
        <f>VLOOKUP(Table2[[#This Row], [Author]],People!A:B,2,0)</f>
        <v>MGF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str">
        <f>VLOOKUP(Table2[[#This Row], [Author]],People!A:B,2,0)</f>
        <v>MGF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str">
        <f>VLOOKUP(Table2[[#This Row], [Author]],People!A:B,2,0)</f>
        <v>MGF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str">
        <f>VLOOKUP(Table2[[#This Row], [Author]],People!A:B,2,0)</f>
        <v>MGF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str">
        <f>VLOOKUP(Table2[[#This Row], [Author]],People!A:B,2,0)</f>
        <v>MGF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str">
        <f>VLOOKUP(Table2[[#This Row], [Author]],People!A:B,2,0)</f>
        <v>MGF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str">
        <f>VLOOKUP(Table2[[#This Row], [Author]],People!A:B,2,0)</f>
        <v>MGF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str">
        <f>VLOOKUP(Table2[[#This Row], [Author]],People!A:B,2,0)</f>
        <v>MGF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str">
        <f>VLOOKUP(Table2[[#This Row], [Author]],People!A:B,2,0)</f>
        <v>MGF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str">
        <f>VLOOKUP(Table2[[#This Row], [Author]],People!A:B,2,0)</f>
        <v>MGF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str">
        <f>VLOOKUP(Table2[[#This Row], [Author]],People!A:B,2,0)</f>
        <v>MGF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str">
        <f>VLOOKUP(Table2[[#This Row], [Author]],People!A:B,2,0)</f>
        <v>MGF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str">
        <f>VLOOKUP(Table2[[#This Row], [Author]],People!A:B,2,0)</f>
        <v>MGF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str">
        <f>VLOOKUP(Table2[[#This Row], [Author]],People!A:B,2,0)</f>
        <v>MGF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str">
        <f>VLOOKUP(Table2[[#This Row], [Author]],People!A:B,2,0)</f>
        <v>MGF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str">
        <f>VLOOKUP(Table2[[#This Row], [Author]],People!A:B,2,0)</f>
        <v>MGF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str">
        <f>VLOOKUP(Table2[[#This Row], [Author]],People!A:B,2,0)</f>
        <v>MGF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str">
        <f>VLOOKUP(Table2[[#This Row], [Author]],People!A:B,2,0)</f>
        <v>MGF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str">
        <f>VLOOKUP(Table2[[#This Row], [Author]],People!A:B,2,0)</f>
        <v>MGF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str">
        <f>VLOOKUP(Table2[[#This Row], [Author]],People!A:B,2,0)</f>
        <v>LS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str">
        <f>VLOOKUP(Table2[[#This Row], [Author]],People!A:B,2,0)</f>
        <v>MGF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str">
        <f>VLOOKUP(Table2[[#This Row], [Author]],People!A:B,2,0)</f>
        <v>MGF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str">
        <f>VLOOKUP(Table2[[#This Row], [Author]],People!A:B,2,0)</f>
        <v>MGF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str">
        <f>VLOOKUP(Table2[[#This Row], [Author]],People!A:B,2,0)</f>
        <v>MGF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str">
        <f>VLOOKUP(Table2[[#This Row], [Author]],People!A:B,2,0)</f>
        <v>MGF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str">
        <f>VLOOKUP(Table2[[#This Row], [Author]],People!A:B,2,0)</f>
        <v>MGF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str">
        <f>VLOOKUP(Table2[[#This Row], [Author]],People!A:B,2,0)</f>
        <v>MGF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str">
        <f>VLOOKUP(Table2[[#This Row], [Author]],People!A:B,2,0)</f>
        <v>MGF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str">
        <f>VLOOKUP(Table2[[#This Row], [Author]],People!A:B,2,0)</f>
        <v>MGF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str">
        <f>VLOOKUP(Table2[[#This Row], [Author]],People!A:B,2,0)</f>
        <v>MGF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str">
        <f>VLOOKUP(Table2[[#This Row], [Author]],People!A:B,2,0)</f>
        <v>MGF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str">
        <f>VLOOKUP(Table2[[#This Row], [Author]],People!A:B,2,0)</f>
        <v>MGF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str">
        <f>VLOOKUP(Table2[[#This Row], [Author]],People!A:B,2,0)</f>
        <v>MGF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str">
        <f>VLOOKUP(Table2[[#This Row], [Author]],People!A:B,2,0)</f>
        <v>MGF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str">
        <f>VLOOKUP(Table2[[#This Row], [Author]],People!A:B,2,0)</f>
        <v>MGF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str">
        <f>VLOOKUP(Table2[[#This Row], [Author]],People!A:B,2,0)</f>
        <v>MGF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str">
        <f>VLOOKUP(Table2[[#This Row], [Author]],People!A:B,2,0)</f>
        <v>MGF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str">
        <f>VLOOKUP(Table2[[#This Row], [Author]],People!A:B,2,0)</f>
        <v>MGF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str">
        <f>VLOOKUP(Table2[[#This Row], [Author]],People!A:B,2,0)</f>
        <v>EL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str">
        <f>VLOOKUP(Table2[[#This Row], [Author]],People!A:B,2,0)</f>
        <v>EL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str">
        <f>VLOOKUP(Table2[[#This Row], [Author]],People!A:B,2,0)</f>
        <v>EL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str">
        <f>VLOOKUP(Table2[[#This Row], [Author]],People!A:B,2,0)</f>
        <v>EL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str">
        <f>VLOOKUP(Table2[[#This Row], [Author]],People!A:B,2,0)</f>
        <v>EL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str">
        <f>VLOOKUP(Table2[[#This Row], [Author]],People!A:B,2,0)</f>
        <v>EL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str">
        <f>VLOOKUP(Table2[[#This Row], [Author]],People!A:B,2,0)</f>
        <v>EL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str">
        <f>VLOOKUP(Table2[[#This Row], [Author]],People!A:B,2,0)</f>
        <v>EL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str">
        <f>VLOOKUP(Table2[[#This Row], [Author]],People!A:B,2,0)</f>
        <v>EL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str">
        <f>VLOOKUP(Table2[[#This Row], [Author]],People!A:B,2,0)</f>
        <v>EL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str">
        <f>VLOOKUP(Table2[[#This Row], [Author]],People!A:B,2,0)</f>
        <v>EL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str">
        <f>VLOOKUP(Table2[[#This Row], [Author]],People!A:B,2,0)</f>
        <v>EL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str">
        <f>VLOOKUP(Table2[[#This Row], [Author]],People!A:B,2,0)</f>
        <v>EL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str">
        <f>VLOOKUP(Table2[[#This Row], [Author]],People!A:B,2,0)</f>
        <v>EL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str">
        <f>VLOOKUP(Table2[[#This Row], [Author]],People!A:B,2,0)</f>
        <v>EL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str">
        <f>VLOOKUP(Table2[[#This Row], [Author]],People!A:B,2,0)</f>
        <v>EL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str">
        <f>VLOOKUP(Table2[[#This Row], [Author]],People!A:B,2,0)</f>
        <v>EL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str">
        <f>VLOOKUP(Table2[[#This Row], [Author]],People!A:B,2,0)</f>
        <v>EL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str">
        <f>VLOOKUP(Table2[[#This Row], [Author]],People!A:B,2,0)</f>
        <v>EL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str">
        <f>VLOOKUP(Table2[[#This Row], [Author]],People!A:B,2,0)</f>
        <v>MGF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str">
        <f>VLOOKUP(Table2[[#This Row], [Author]],People!A:B,2,0)</f>
        <v>MGF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str">
        <f>VLOOKUP(Table2[[#This Row], [Author]],People!A:B,2,0)</f>
        <v>LS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str">
        <f>VLOOKUP(Table2[[#This Row], [Author]],People!A:B,2,0)</f>
        <v>LS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str">
        <f>VLOOKUP(Table2[[#This Row], [Author]],People!A:B,2,0)</f>
        <v>LS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str">
        <f>VLOOKUP(Table2[[#This Row], [Author]],People!A:B,2,0)</f>
        <v>LS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str">
        <f>VLOOKUP(Table2[[#This Row], [Author]],People!A:B,2,0)</f>
        <v>LS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str">
        <f>VLOOKUP(Table2[[#This Row], [Author]],People!A:B,2,0)</f>
        <v>LS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str">
        <f>VLOOKUP(Table2[[#This Row], [Author]],People!A:B,2,0)</f>
        <v>LS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str">
        <f>VLOOKUP(Table2[[#This Row], [Author]],People!A:B,2,0)</f>
        <v>LS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str">
        <f>VLOOKUP(Table2[[#This Row], [Author]],People!A:B,2,0)</f>
        <v>LS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str">
        <f>VLOOKUP(Table2[[#This Row], [Author]],People!A:B,2,0)</f>
        <v>LS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str">
        <f>VLOOKUP(Table2[[#This Row], [Author]],People!A:B,2,0)</f>
        <v>LS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str">
        <f>VLOOKUP(Table2[[#This Row], [Author]],People!A:B,2,0)</f>
        <v>LS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str">
        <f>VLOOKUP(Table2[[#This Row], [Author]],People!A:B,2,0)</f>
        <v>LS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str">
        <f>VLOOKUP(Table2[[#This Row], [Author]],People!A:B,2,0)</f>
        <v>LS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str">
        <f>VLOOKUP(Table2[[#This Row], [Author]],People!A:B,2,0)</f>
        <v>LS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str">
        <f>VLOOKUP(Table2[[#This Row], [Author]],People!A:B,2,0)</f>
        <v>LS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str">
        <f>VLOOKUP(Table2[[#This Row], [Author]],People!A:B,2,0)</f>
        <v>LS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str">
        <f>VLOOKUP(Table2[[#This Row], [Author]],People!A:B,2,0)</f>
        <v>LS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str">
        <f>VLOOKUP(Table2[[#This Row], [Author]],People!A:B,2,0)</f>
        <v>LS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str">
        <f>VLOOKUP(Table2[[#This Row], [Author]],People!A:B,2,0)</f>
        <v>LS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str">
        <f>VLOOKUP(Table2[[#This Row], [Author]],People!A:B,2,0)</f>
        <v>LS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str">
        <f>VLOOKUP(Table2[[#This Row], [Author]],People!A:B,2,0)</f>
        <v>LS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str">
        <f>VLOOKUP(Table2[[#This Row], [Author]],People!A:B,2,0)</f>
        <v>LS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str">
        <f>VLOOKUP(Table2[[#This Row], [Author]],People!A:B,2,0)</f>
        <v>LS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str">
        <f>VLOOKUP(Table2[[#This Row], [Author]],People!A:B,2,0)</f>
        <v>LS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str">
        <f>VLOOKUP(Table2[[#This Row], [Author]],People!A:B,2,0)</f>
        <v>LS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str">
        <f>VLOOKUP(Table2[[#This Row], [Author]],People!A:B,2,0)</f>
        <v>LS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str">
        <f>VLOOKUP(Table2[[#This Row], [Author]],People!A:B,2,0)</f>
        <v>LS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str">
        <f>VLOOKUP(Table2[[#This Row], [Author]],People!A:B,2,0)</f>
        <v>LS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str">
        <f>VLOOKUP(Table2[[#This Row], [Author]],People!A:B,2,0)</f>
        <v>LS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str">
        <f>VLOOKUP(Table2[[#This Row], [Author]],People!A:B,2,0)</f>
        <v>LS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str">
        <f>VLOOKUP(Table2[[#This Row], [Author]],People!A:B,2,0)</f>
        <v>LS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str">
        <f>VLOOKUP(Table2[[#This Row], [Author]],People!A:B,2,0)</f>
        <v>LS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str">
        <f>VLOOKUP(Table2[[#This Row], [Author]],People!A:B,2,0)</f>
        <v>LS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str">
        <f>VLOOKUP(Table2[[#This Row], [Author]],People!A:B,2,0)</f>
        <v>LS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str">
        <f>VLOOKUP(Table2[[#This Row], [Author]],People!A:B,2,0)</f>
        <v>LS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str">
        <f>VLOOKUP(Table2[[#This Row], [Author]],People!A:B,2,0)</f>
        <v>LS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str">
        <f>VLOOKUP(Table2[[#This Row], [Author]],People!A:B,2,0)</f>
        <v>LS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str">
        <f>VLOOKUP(Table2[[#This Row], [Author]],People!A:B,2,0)</f>
        <v>LS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str">
        <f>VLOOKUP(Table2[[#This Row], [Author]],People!A:B,2,0)</f>
        <v>LS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str">
        <f>VLOOKUP(Table2[[#This Row], [Author]],People!A:B,2,0)</f>
        <v>LS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str">
        <f>VLOOKUP(Table2[[#This Row], [Author]],People!A:B,2,0)</f>
        <v>LS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str">
        <f>VLOOKUP(Table2[[#This Row], [Author]],People!A:B,2,0)</f>
        <v>LS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str">
        <f>VLOOKUP(Table2[[#This Row], [Author]],People!A:B,2,0)</f>
        <v>LS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str">
        <f>VLOOKUP(Table2[[#This Row], [Author]],People!A:B,2,0)</f>
        <v>LS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str">
        <f>VLOOKUP(Table2[[#This Row], [Author]],People!A:B,2,0)</f>
        <v>LS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str">
        <f>VLOOKUP(Table2[[#This Row], [Author]],People!A:B,2,0)</f>
        <v>LS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str">
        <f>VLOOKUP(Table2[[#This Row], [Author]],People!A:B,2,0)</f>
        <v>LS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str">
        <f>VLOOKUP(Table2[[#This Row], [Author]],People!A:B,2,0)</f>
        <v>LS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str">
        <f>VLOOKUP(Table2[[#This Row], [Author]],People!A:B,2,0)</f>
        <v>LS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str">
        <f>VLOOKUP(Table2[[#This Row], [Author]],People!A:B,2,0)</f>
        <v>LS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str">
        <f>VLOOKUP(Table2[[#This Row], [Author]],People!A:B,2,0)</f>
        <v>LS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str">
        <f>VLOOKUP(Table2[[#This Row], [Author]],People!A:B,2,0)</f>
        <v>LS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str">
        <f>VLOOKUP(Table2[[#This Row], [Author]],People!A:B,2,0)</f>
        <v>LS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str">
        <f>VLOOKUP(Table2[[#This Row], [Author]],People!A:B,2,0)</f>
        <v>LS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str">
        <f>VLOOKUP(Table2[[#This Row], [Author]],People!A:B,2,0)</f>
        <v>LS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str">
        <f>VLOOKUP(Table2[[#This Row], [Author]],People!A:B,2,0)</f>
        <v>LS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str">
        <f>VLOOKUP(Table2[[#This Row], [Author]],People!A:B,2,0)</f>
        <v>LS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str">
        <f>VLOOKUP(Table2[[#This Row], [Author]],People!A:B,2,0)</f>
        <v>LS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str">
        <f>VLOOKUP(Table2[[#This Row], [Author]],People!A:B,2,0)</f>
        <v>LS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str">
        <f>VLOOKUP(Table2[[#This Row], [Author]],People!A:B,2,0)</f>
        <v>LS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str">
        <f>VLOOKUP(Table2[[#This Row], [Author]],People!A:B,2,0)</f>
        <v>LS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str">
        <f>VLOOKUP(Table2[[#This Row], [Author]],People!A:B,2,0)</f>
        <v>LS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str">
        <f>VLOOKUP(Table2[[#This Row], [Author]],People!A:B,2,0)</f>
        <v>LS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str">
        <f>VLOOKUP(Table2[[#This Row], [Author]],People!A:B,2,0)</f>
        <v>LS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str">
        <f>VLOOKUP(Table2[[#This Row], [Author]],People!A:B,2,0)</f>
        <v>LS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str">
        <f>VLOOKUP(Table2[[#This Row], [Author]],People!A:B,2,0)</f>
        <v>LS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str">
        <f>VLOOKUP(Table2[[#This Row], [Author]],People!A:B,2,0)</f>
        <v>LS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str">
        <f>VLOOKUP(Table2[[#This Row], [Author]],People!A:B,2,0)</f>
        <v>LS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str">
        <f>VLOOKUP(Table2[[#This Row], [Author]],People!A:B,2,0)</f>
        <v>LS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str">
        <f>VLOOKUP(Table2[[#This Row], [Author]],People!A:B,2,0)</f>
        <v>LS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str">
        <f>VLOOKUP(Table2[[#This Row], [Author]],People!A:B,2,0)</f>
        <v>LS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str">
        <f>VLOOKUP(Table2[[#This Row], [Author]],People!A:B,2,0)</f>
        <v>LS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str">
        <f>VLOOKUP(Table2[[#This Row], [Author]],People!A:B,2,0)</f>
        <v>LS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str">
        <f>VLOOKUP(Table2[[#This Row], [Author]],People!A:B,2,0)</f>
        <v>LS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str">
        <f>VLOOKUP(Table2[[#This Row], [Author]],People!A:B,2,0)</f>
        <v>LS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str">
        <f>VLOOKUP(Table2[[#This Row], [Author]],People!A:B,2,0)</f>
        <v>LS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str">
        <f>VLOOKUP(Table2[[#This Row], [Author]],People!A:B,2,0)</f>
        <v>LS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str">
        <f>VLOOKUP(Table2[[#This Row], [Author]],People!A:B,2,0)</f>
        <v>LS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str">
        <f>VLOOKUP(Table2[[#This Row], [Author]],People!A:B,2,0)</f>
        <v>LS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str">
        <f>VLOOKUP(Table2[[#This Row], [Author]],People!A:B,2,0)</f>
        <v>LS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str">
        <f>VLOOKUP(Table2[[#This Row], [Author]],People!A:B,2,0)</f>
        <v>LS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str">
        <f>VLOOKUP(Table2[[#This Row], [Author]],People!A:B,2,0)</f>
        <v>LS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str">
        <f>VLOOKUP(Table2[[#This Row], [Author]],People!A:B,2,0)</f>
        <v>LS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str">
        <f>VLOOKUP(Table2[[#This Row], [Author]],People!A:B,2,0)</f>
        <v>LS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str">
        <f>VLOOKUP(Table2[[#This Row], [Author]],People!A:B,2,0)</f>
        <v>LS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str">
        <f>VLOOKUP(Table2[[#This Row], [Author]],People!A:B,2,0)</f>
        <v>LS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str">
        <f>VLOOKUP(Table2[[#This Row], [Author]],People!A:B,2,0)</f>
        <v>LS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str">
        <f>VLOOKUP(Table2[[#This Row], [Author]],People!A:B,2,0)</f>
        <v>LS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str">
        <f>VLOOKUP(Table2[[#This Row], [Author]],People!A:B,2,0)</f>
        <v>MGF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str">
        <f>VLOOKUP(Table2[[#This Row], [Author]],People!A:B,2,0)</f>
        <v>MGF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str">
        <f>VLOOKUP(Table2[[#This Row], [Author]],People!A:B,2,0)</f>
        <v>MGF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str">
        <f>VLOOKUP(Table2[[#This Row], [Author]],People!A:B,2,0)</f>
        <v>MGF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str">
        <f>VLOOKUP(Table2[[#This Row], [Author]],People!A:B,2,0)</f>
        <v>MGF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str">
        <f>VLOOKUP(Table2[[#This Row], [Author]],People!A:B,2,0)</f>
        <v>MGF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str">
        <f>VLOOKUP(Table2[[#This Row], [Author]],People!A:B,2,0)</f>
        <v>MGF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str">
        <f>VLOOKUP(Table2[[#This Row], [Author]],People!A:B,2,0)</f>
        <v>MGF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str">
        <f>VLOOKUP(Table2[[#This Row], [Author]],People!A:B,2,0)</f>
        <v>MGF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str">
        <f>VLOOKUP(Table2[[#This Row], [Author]],People!A:B,2,0)</f>
        <v>MGF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str">
        <f>VLOOKUP(Table2[[#This Row], [Author]],People!A:B,2,0)</f>
        <v>LS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str">
        <f>VLOOKUP(Table2[[#This Row], [Author]],People!A:B,2,0)</f>
        <v>LS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str">
        <f>VLOOKUP(Table2[[#This Row], [Author]],People!A:B,2,0)</f>
        <v>LS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str">
        <f>VLOOKUP(Table2[[#This Row], [Author]],People!A:B,2,0)</f>
        <v>LS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str">
        <f>VLOOKUP(Table2[[#This Row], [Author]],People!A:B,2,0)</f>
        <v>LS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str">
        <f>VLOOKUP(Table2[[#This Row], [Author]],People!A:B,2,0)</f>
        <v>LS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str">
        <f>VLOOKUP(Table2[[#This Row], [Author]],People!A:B,2,0)</f>
        <v>LS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str">
        <f>VLOOKUP(Table2[[#This Row], [Author]],People!A:B,2,0)</f>
        <v>LS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str">
        <f>VLOOKUP(Table2[[#This Row], [Author]],People!A:B,2,0)</f>
        <v>LS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str">
        <f>VLOOKUP(Table2[[#This Row], [Author]],People!A:B,2,0)</f>
        <v>LS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str">
        <f>VLOOKUP(Table2[[#This Row], [Author]],People!A:B,2,0)</f>
        <v>LS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str">
        <f>VLOOKUP(Table2[[#This Row], [Author]],People!A:B,2,0)</f>
        <v>HC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str">
        <f>VLOOKUP(Table2[[#This Row], [Author]],People!A:B,2,0)</f>
        <v>HC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str">
        <f>VLOOKUP(Table2[[#This Row], [Author]],People!A:B,2,0)</f>
        <v>HC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str">
        <f>VLOOKUP(Table2[[#This Row], [Author]],People!A:B,2,0)</f>
        <v>HC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#N/A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str">
        <f>VLOOKUP(Table2[[#This Row], [Author]],People!A:B,2,0)</f>
        <v>LS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str">
        <f>VLOOKUP(Table2[[#This Row], [Author]],People!A:B,2,0)</f>
        <v>LS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F16" sqref="F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STUCT1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2025-08-08T15:35:32Z</dcterms:modified>
</cp:coreProperties>
</file>