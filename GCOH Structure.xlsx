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B8A9BE13-3625-4D87-B809-2E56FCC38AC1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2" sheetId="29" r:id="rId4"/>
    <sheet name="Sheet1" sheetId="28" r:id="rId5"/>
    <sheet name="People" sheetId="7" r:id="rId6"/>
    <sheet name="2023" sheetId="8" r:id="rId7"/>
    <sheet name="2024" sheetId="19" r:id="rId8"/>
    <sheet name="old" sheetId="27" state="hidden" r:id="rId9"/>
    <sheet name="Sectors" sheetId="9" r:id="rId10"/>
    <sheet name="KPI" sheetId="12" r:id="rId11"/>
  </sheets>
  <definedNames>
    <definedName name="_xlnm._FilterDatabase" localSheetId="6">'2023'!$A$1:$M$1</definedName>
    <definedName name="_xlnm._FilterDatabase" localSheetId="5">People!$A$1:$B$1</definedName>
    <definedName name="_xlnm._FilterDatabase" localSheetId="2">STUCT1!#REF!</definedName>
  </definedNames>
  <calcPr calcId="181029"/>
  <pivotCaches>
    <pivotCache cacheId="17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703" i="1" l="1"/>
  <c r="H3703" i="1"/>
  <c r="J3703" i="1"/>
  <c r="E10" i="28"/>
  <c r="E9" i="28"/>
  <c r="E8" i="28"/>
  <c r="E7" i="28"/>
  <c r="E6" i="28"/>
  <c r="E5" i="28"/>
  <c r="E4" i="28"/>
  <c r="E3" i="28"/>
  <c r="E2" i="28"/>
  <c r="E1" i="28"/>
  <c r="C3" i="28"/>
  <c r="C4" i="28" s="1"/>
  <c r="C5" i="28" s="1"/>
  <c r="C6" i="28" s="1"/>
  <c r="C7" i="28" s="1"/>
  <c r="C8" i="28" s="1"/>
  <c r="C9" i="28" s="1"/>
  <c r="C10" i="28" s="1"/>
  <c r="C2" i="28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</calcChain>
</file>

<file path=xl/sharedStrings.xml><?xml version="1.0" encoding="utf-8"?>
<sst xmlns="http://schemas.openxmlformats.org/spreadsheetml/2006/main" count="67970" uniqueCount="12871">
  <si>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</si>
  <si>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</si>
  <si>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</si>
  <si>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</si>
  <si>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</si>
  <si>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</si>
  <si>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</si>
  <si>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</si>
  <si>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</si>
  <si>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</si>
  <si>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</si>
  <si>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</si>
  <si>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</si>
  <si>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</si>
  <si>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</si>
  <si>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</si>
  <si>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</si>
  <si>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</si>
  <si>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</si>
  <si>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</si>
  <si>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</si>
  <si>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</si>
  <si>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</si>
  <si>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</si>
  <si>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</si>
  <si>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</si>
  <si>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</si>
  <si>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</si>
  <si>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</si>
  <si>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</si>
  <si>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</si>
  <si>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</si>
  <si>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</si>
  <si>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</si>
  <si>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</si>
  <si>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</si>
  <si>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</si>
  <si>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</si>
  <si>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</si>
  <si>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</si>
  <si>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</si>
  <si>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</si>
  <si>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</si>
  <si>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</si>
  <si>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</si>
  <si>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</si>
  <si>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</si>
  <si>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</si>
  <si>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</si>
  <si>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</si>
  <si>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</si>
  <si>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</si>
  <si>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</si>
  <si>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</si>
  <si>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</si>
  <si>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</si>
  <si>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</si>
  <si>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</si>
  <si>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</si>
  <si>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</si>
  <si>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</si>
  <si>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</si>
  <si>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</si>
  <si>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</si>
  <si>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</si>
  <si>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</si>
  <si>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</si>
  <si>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</si>
  <si>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</si>
  <si>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</si>
  <si>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</si>
  <si>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</si>
  <si>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</si>
  <si>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</si>
  <si>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</si>
  <si>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</si>
  <si>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</si>
  <si>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</si>
  <si>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</si>
  <si>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</si>
  <si>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</si>
  <si>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</si>
  <si>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</si>
  <si>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</si>
  <si>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</si>
  <si>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</si>
  <si>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</si>
  <si>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</si>
  <si>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</si>
  <si>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</si>
  <si>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</si>
  <si>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</si>
  <si>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</si>
  <si>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</si>
  <si>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</si>
  <si>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</si>
  <si>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</si>
  <si>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</si>
  <si>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</si>
  <si>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</si>
  <si>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</si>
  <si>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</si>
  <si>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</si>
  <si>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</si>
  <si>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</si>
  <si>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</si>
  <si>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</si>
  <si>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</si>
  <si>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</si>
  <si>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</si>
  <si>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</si>
  <si>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</si>
  <si>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</si>
  <si>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</si>
  <si>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</si>
  <si>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</si>
  <si>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</si>
  <si>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</si>
  <si>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</si>
  <si>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</si>
  <si>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</si>
  <si>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</si>
  <si>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</si>
  <si>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</si>
  <si>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</si>
  <si>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</si>
  <si>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</si>
  <si>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</si>
  <si>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</si>
  <si>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</si>
  <si>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</si>
  <si>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</si>
  <si>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</si>
  <si>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</si>
  <si>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</si>
  <si>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</si>
  <si>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</si>
  <si>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</si>
  <si>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</si>
  <si>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</si>
  <si>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</si>
  <si>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</si>
  <si>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</si>
  <si>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</si>
  <si>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</si>
  <si>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</si>
  <si>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</si>
  <si>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</si>
  <si>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</si>
  <si>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</si>
  <si>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</si>
  <si>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</si>
  <si>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</si>
  <si>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</si>
  <si>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</si>
  <si>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</si>
  <si>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</si>
  <si>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</si>
  <si>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</si>
  <si>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</si>
  <si>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</si>
  <si>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</si>
  <si>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</si>
  <si>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</si>
  <si>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</si>
  <si>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</si>
  <si>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</si>
  <si>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</si>
  <si>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</si>
  <si>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</si>
  <si>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</si>
  <si>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</si>
  <si>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</si>
  <si>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</si>
  <si>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</si>
  <si>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</si>
  <si>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</si>
  <si>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</si>
  <si>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</si>
  <si>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</si>
  <si>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</si>
  <si>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</si>
  <si>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</si>
  <si>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</si>
  <si>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</si>
  <si>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</si>
  <si>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</si>
  <si>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</si>
  <si>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</si>
  <si>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</si>
  <si>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</si>
  <si>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</si>
  <si>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</si>
  <si>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</si>
  <si>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</si>
  <si>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</si>
  <si>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</si>
  <si>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</si>
  <si>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</si>
  <si>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</si>
  <si>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</si>
  <si>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</si>
  <si>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</si>
  <si>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</si>
  <si>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</si>
  <si>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</si>
  <si>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</si>
  <si>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</si>
  <si>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</si>
  <si>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</si>
  <si>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</si>
  <si>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</si>
  <si>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</si>
  <si>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</si>
  <si>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</si>
  <si>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</si>
  <si>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</si>
  <si>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</si>
  <si>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</si>
  <si>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</si>
  <si>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</si>
  <si>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</si>
  <si>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</si>
  <si>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</si>
  <si>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</si>
  <si>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</si>
  <si>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</si>
  <si>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</si>
  <si>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</si>
  <si>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</si>
  <si>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</si>
  <si>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</si>
  <si>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</si>
  <si>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</si>
  <si>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</si>
  <si>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</si>
  <si>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</si>
  <si>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</si>
  <si>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</si>
  <si>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</si>
  <si>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</si>
  <si>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</si>
  <si>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</si>
  <si>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</si>
  <si>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</si>
  <si>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</si>
  <si>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</si>
  <si>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</si>
  <si>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</si>
  <si>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</si>
  <si>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</si>
  <si>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</si>
  <si>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</si>
  <si>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</si>
  <si>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</si>
  <si>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</si>
  <si>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</si>
  <si>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</si>
  <si>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</si>
  <si>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</si>
  <si>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</si>
  <si>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</si>
  <si>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</si>
  <si>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</si>
  <si>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</si>
  <si>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</si>
  <si>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</si>
  <si>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</si>
  <si>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</si>
  <si>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</si>
  <si>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</si>
  <si>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</si>
  <si>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</si>
  <si>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</si>
  <si>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</si>
  <si>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</si>
  <si>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</si>
  <si>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</si>
  <si>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</si>
  <si>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</si>
  <si>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</si>
  <si>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</si>
  <si>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</si>
  <si>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</si>
  <si>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</si>
  <si>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</si>
  <si>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</si>
  <si>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</si>
  <si>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</si>
  <si>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</si>
  <si>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</si>
  <si>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</si>
  <si>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</si>
  <si>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</si>
  <si>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</si>
  <si>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</si>
  <si>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</si>
  <si>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</si>
  <si>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</si>
  <si>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</si>
  <si>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</si>
  <si>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</si>
  <si>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</si>
  <si>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</si>
  <si>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</si>
  <si>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</si>
  <si>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</si>
  <si>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</si>
  <si>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</si>
  <si>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</si>
  <si>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</si>
  <si>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</si>
  <si>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</si>
  <si>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</si>
  <si>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</si>
  <si>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</si>
  <si>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</si>
  <si>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</si>
  <si>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</si>
  <si>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</si>
  <si>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</si>
  <si>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</si>
  <si>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</si>
  <si>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</si>
  <si>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</si>
  <si>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</si>
  <si>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</si>
  <si>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</si>
  <si>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</si>
  <si>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</si>
  <si>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</si>
  <si>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</si>
  <si>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</si>
  <si>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</si>
  <si>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</si>
  <si>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</si>
  <si>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</si>
  <si>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</si>
  <si>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</si>
  <si>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</si>
  <si>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</si>
  <si>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</si>
  <si>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</si>
  <si>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</si>
  <si>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</si>
  <si>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</si>
  <si>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</si>
  <si>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</si>
  <si>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</si>
  <si>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</si>
  <si>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</si>
  <si>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</si>
  <si>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</si>
  <si>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</si>
  <si>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</si>
  <si>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</si>
  <si>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</si>
  <si>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</si>
  <si>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</si>
  <si>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</si>
  <si>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</si>
  <si>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</si>
  <si>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</si>
  <si>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</si>
  <si>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</si>
  <si>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</si>
  <si>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</si>
  <si>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</si>
  <si>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</si>
  <si>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</si>
  <si>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</si>
  <si>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</si>
  <si>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</si>
  <si>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</si>
  <si>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</si>
  <si>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</si>
  <si>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</si>
  <si>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</si>
  <si>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</si>
  <si>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</si>
  <si>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</si>
  <si>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</si>
  <si>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</si>
  <si>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</si>
  <si>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</si>
  <si>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</si>
  <si>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</si>
  <si>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</si>
  <si>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</si>
  <si>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</si>
  <si>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</si>
  <si>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</si>
  <si>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</si>
  <si>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</si>
  <si>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</si>
  <si>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</si>
  <si>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</si>
  <si>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</si>
  <si>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</si>
  <si>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</si>
  <si>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</si>
  <si>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</si>
  <si>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</si>
  <si>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</si>
  <si>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</si>
  <si>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</si>
  <si>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</si>
  <si>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</si>
  <si>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</si>
  <si>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</si>
  <si>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</si>
  <si>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</si>
  <si>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</si>
  <si>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</si>
  <si>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</si>
  <si>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</si>
  <si>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</si>
  <si>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</si>
  <si>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</si>
  <si>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</si>
  <si>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</si>
  <si>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</si>
  <si>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</si>
  <si>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</si>
  <si>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</si>
  <si>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</si>
  <si>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</si>
  <si>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</si>
  <si>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</si>
  <si>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</si>
  <si>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</si>
  <si>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</si>
  <si>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</si>
  <si>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</si>
  <si>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</si>
  <si>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</si>
  <si>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</si>
  <si>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</si>
  <si>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</si>
  <si>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</si>
  <si>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</si>
  <si>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</si>
  <si>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</si>
  <si>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</si>
  <si>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</si>
  <si>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</si>
  <si>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</si>
  <si>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</si>
  <si>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</si>
  <si>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</si>
  <si>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</si>
  <si>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</si>
  <si>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</si>
  <si>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</si>
  <si>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</si>
  <si>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</si>
  <si>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</si>
  <si>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</si>
  <si>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</si>
  <si>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</si>
  <si>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</si>
  <si>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</si>
  <si>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</si>
  <si>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</si>
  <si>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</si>
  <si>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</si>
  <si>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</si>
  <si>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</si>
  <si>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</si>
  <si>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</si>
  <si>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</si>
  <si>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</si>
  <si>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</si>
  <si>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</si>
  <si>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</si>
  <si>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</si>
  <si>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</si>
  <si>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</si>
  <si>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</si>
  <si>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</si>
  <si>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</si>
  <si>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</si>
  <si>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</si>
  <si>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</si>
  <si>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</si>
  <si>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</si>
  <si>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</si>
  <si>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</si>
  <si>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</si>
  <si>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</si>
  <si>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</si>
  <si>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</si>
  <si>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</si>
  <si>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</si>
  <si>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</si>
  <si>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</si>
  <si>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</si>
  <si>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</si>
  <si>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</si>
  <si>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</si>
  <si>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</si>
  <si>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</si>
  <si>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</si>
  <si>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</si>
  <si>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</si>
  <si>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</si>
  <si>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</si>
  <si>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</si>
  <si>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</si>
  <si>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</si>
  <si>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</si>
  <si>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</si>
  <si>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</si>
  <si>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</si>
  <si>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</si>
  <si>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</si>
  <si>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</si>
  <si>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</si>
  <si>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</si>
  <si>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</si>
  <si>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</si>
  <si>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</si>
  <si>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</si>
  <si>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</si>
  <si>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</si>
  <si>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</si>
  <si>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</si>
  <si>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</si>
  <si>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</si>
  <si>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</si>
  <si>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</si>
  <si>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</si>
  <si>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</si>
  <si>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</si>
  <si>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</si>
  <si>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</si>
  <si>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</si>
  <si>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</si>
  <si>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</si>
  <si>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</si>
  <si>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</si>
  <si>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</si>
  <si>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</si>
  <si>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</si>
  <si>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</si>
  <si>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</si>
  <si>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</si>
  <si>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</si>
  <si>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</si>
  <si>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</si>
  <si>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</si>
  <si>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</si>
  <si>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</si>
  <si>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</si>
  <si>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</si>
  <si>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</si>
  <si>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</si>
  <si>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</si>
  <si>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</si>
  <si>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</si>
  <si>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</si>
  <si>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</si>
  <si>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</si>
  <si>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</si>
  <si>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</si>
  <si>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</si>
  <si>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</si>
  <si>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</si>
  <si>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</si>
  <si>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</si>
  <si>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</si>
  <si>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</si>
  <si>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</si>
  <si>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</si>
  <si>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</si>
  <si>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</si>
  <si>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</si>
  <si>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</si>
  <si>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</si>
  <si>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</si>
  <si>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</si>
  <si>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</si>
  <si>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</si>
  <si>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</si>
  <si>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</si>
  <si>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</si>
  <si>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</si>
  <si>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</si>
  <si>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</si>
  <si>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</si>
  <si>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</si>
  <si>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</si>
  <si>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</si>
  <si>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</si>
  <si>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</si>
  <si>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</si>
  <si>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</si>
  <si>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</si>
  <si>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</si>
  <si>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</si>
  <si>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</si>
  <si>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</si>
  <si>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</si>
  <si>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</si>
  <si>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</si>
  <si>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</si>
  <si>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</si>
  <si>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</si>
  <si>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</si>
  <si>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</si>
  <si>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</si>
  <si>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</si>
  <si>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</si>
  <si>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</si>
  <si>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</si>
  <si>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</si>
  <si>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</si>
  <si>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</si>
  <si>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</si>
  <si>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</si>
  <si>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</si>
  <si>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</si>
  <si>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</si>
  <si>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</si>
  <si>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</si>
  <si>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</si>
  <si>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</si>
  <si>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</si>
  <si>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</si>
  <si>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</si>
  <si>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</si>
  <si>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</si>
  <si>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</si>
  <si>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</si>
  <si>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</si>
  <si>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</si>
  <si>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</si>
  <si>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</si>
  <si>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</si>
  <si>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</si>
  <si>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</si>
  <si>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</si>
  <si>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</si>
  <si>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</si>
  <si>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</si>
  <si>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</si>
  <si>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</si>
  <si>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</si>
  <si>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</si>
  <si>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</si>
  <si>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</si>
  <si>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</si>
  <si>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</si>
  <si>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</si>
  <si>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</si>
  <si>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</si>
  <si>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</si>
  <si>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</si>
  <si>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</si>
  <si>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</si>
  <si>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</si>
  <si>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</si>
  <si>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</si>
  <si>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</si>
  <si>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</si>
  <si>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</si>
  <si>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</si>
  <si>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</si>
  <si>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</si>
  <si>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</si>
  <si>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</si>
  <si>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</si>
  <si>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</si>
  <si>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</si>
  <si>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</si>
  <si>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</si>
  <si>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</si>
  <si>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</si>
  <si>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</si>
  <si>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</si>
  <si>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</si>
  <si>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</si>
  <si>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</si>
  <si>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</si>
  <si>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</si>
  <si>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</si>
  <si>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</si>
  <si>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</si>
  <si>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</si>
  <si>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</si>
  <si>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</si>
  <si>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</si>
  <si>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</si>
  <si>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</si>
  <si>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</si>
  <si>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</si>
  <si>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</si>
  <si>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</si>
  <si>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</si>
  <si>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</si>
  <si>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</si>
  <si>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</si>
  <si>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</si>
  <si>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</si>
  <si>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</si>
  <si>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</si>
  <si>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</si>
  <si>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</si>
  <si>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</si>
  <si>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</si>
  <si>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</si>
  <si>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</si>
  <si>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</si>
  <si>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</si>
  <si>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</si>
  <si>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</si>
  <si>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</si>
  <si>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</si>
  <si>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</si>
  <si>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</si>
  <si>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</si>
  <si>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</si>
  <si>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</si>
  <si>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</si>
  <si>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</si>
  <si>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</si>
  <si>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</si>
  <si>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</si>
  <si>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</si>
  <si>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</si>
  <si>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</si>
  <si>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</si>
  <si>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</si>
  <si>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</si>
  <si>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</si>
  <si>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</si>
  <si>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</si>
  <si>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</si>
  <si>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</si>
  <si>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</si>
  <si>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</si>
  <si>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</si>
  <si>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</si>
  <si>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</si>
  <si>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</si>
  <si>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</si>
  <si>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</si>
  <si>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</si>
  <si>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</si>
  <si>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</si>
  <si>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</si>
  <si>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</si>
  <si>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</si>
  <si>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</si>
  <si>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</si>
  <si>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</si>
  <si>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</si>
  <si>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</si>
  <si>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</si>
  <si>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</si>
  <si>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</si>
  <si>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</si>
  <si>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</si>
  <si>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</si>
  <si>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</si>
  <si>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</si>
  <si>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</si>
  <si>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</si>
  <si>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</si>
  <si>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</si>
  <si>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</si>
  <si>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</si>
  <si>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</si>
  <si>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</si>
  <si>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</si>
  <si>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</si>
  <si>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</si>
  <si>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</si>
  <si>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</si>
  <si>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</si>
  <si>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</si>
  <si>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</si>
  <si>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</si>
  <si>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</si>
  <si>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</si>
  <si>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</si>
  <si>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</si>
  <si>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</si>
  <si>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</si>
  <si>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</si>
  <si>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</si>
  <si>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</si>
  <si>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</si>
  <si>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</si>
  <si>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</si>
  <si>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</si>
  <si>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</si>
  <si>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</si>
  <si>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</si>
  <si>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</si>
  <si>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</si>
  <si>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</si>
  <si>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</si>
  <si>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</si>
  <si>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</si>
  <si>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</si>
  <si>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</si>
  <si>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</si>
  <si>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</si>
  <si>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</si>
  <si>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</si>
  <si>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</si>
  <si>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</si>
  <si>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</si>
  <si>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</si>
  <si>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</si>
  <si>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</si>
  <si>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</si>
  <si>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</si>
  <si>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</si>
  <si>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</si>
  <si>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</si>
  <si>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</si>
  <si>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</si>
  <si>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</si>
  <si>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</si>
  <si>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</si>
  <si>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</si>
  <si>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</si>
  <si>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</si>
  <si>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</si>
  <si>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</si>
  <si>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</si>
  <si>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</si>
  <si>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</si>
  <si>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</si>
  <si>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</si>
  <si>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</si>
  <si>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</si>
  <si>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</si>
  <si>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</si>
  <si>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</si>
  <si>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</si>
  <si>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</si>
  <si>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</si>
  <si>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</si>
  <si>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</si>
  <si>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</si>
  <si>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</si>
  <si>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</si>
  <si>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</si>
  <si>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</si>
  <si>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</si>
  <si>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</si>
  <si>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</si>
  <si>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</si>
  <si>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</si>
  <si>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</si>
  <si>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</si>
  <si>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</si>
  <si>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</si>
  <si>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</si>
  <si>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</si>
  <si>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</si>
  <si>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</si>
  <si>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</si>
  <si>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</si>
  <si>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</si>
  <si>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</si>
  <si>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</si>
  <si>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</si>
  <si>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</si>
  <si>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</si>
  <si>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</si>
  <si>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</si>
  <si>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</si>
  <si>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</si>
  <si>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</si>
  <si>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</si>
  <si>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</si>
  <si>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</si>
  <si>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</si>
  <si>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</si>
  <si>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</si>
  <si>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</si>
  <si>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</si>
  <si>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</si>
  <si>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</si>
  <si>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</si>
  <si>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</si>
  <si>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</si>
  <si>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</si>
  <si>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</si>
  <si>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</si>
  <si>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</si>
  <si>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</si>
  <si>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</si>
  <si>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</si>
  <si>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</si>
  <si>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</si>
  <si>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</si>
  <si>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</si>
  <si>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</si>
  <si>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</si>
  <si>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</si>
  <si>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</si>
  <si>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</si>
  <si>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</si>
  <si>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</si>
  <si>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</si>
  <si>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</si>
  <si>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</si>
  <si>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</si>
  <si>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</si>
  <si>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</si>
  <si>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</si>
  <si>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</si>
  <si>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</si>
  <si>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</si>
  <si>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</si>
  <si>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</si>
  <si>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</si>
  <si>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</si>
  <si>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</si>
  <si>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</si>
  <si>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</si>
  <si>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</si>
  <si>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</si>
  <si>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</si>
  <si>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</si>
  <si>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</si>
  <si>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</si>
  <si>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</si>
  <si>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</si>
  <si>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</si>
  <si>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</si>
  <si>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</si>
  <si>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</si>
  <si>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</si>
  <si>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</si>
  <si>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</si>
  <si>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</si>
  <si>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</si>
  <si>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</si>
  <si>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</si>
  <si>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</si>
  <si>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</si>
  <si>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</si>
  <si>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</si>
  <si>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</si>
  <si>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</si>
  <si>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</si>
  <si>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</si>
  <si>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</si>
  <si>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</si>
  <si>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</si>
  <si>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</si>
  <si>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</si>
  <si>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</si>
  <si>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</si>
  <si>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</si>
  <si>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</si>
  <si>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</si>
  <si>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</si>
  <si>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</si>
  <si>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</si>
  <si>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</si>
  <si>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</si>
  <si>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</si>
  <si>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</si>
  <si>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</si>
  <si>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</si>
  <si>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</si>
  <si>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</si>
  <si>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</si>
  <si>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</si>
  <si>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</si>
  <si>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</si>
  <si>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</si>
  <si>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</si>
  <si>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</si>
  <si>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</si>
  <si>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</si>
  <si>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</si>
  <si>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</si>
  <si>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</si>
  <si>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</si>
  <si>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</si>
  <si>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</si>
  <si>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</si>
  <si>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</si>
  <si>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</si>
  <si>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</si>
  <si>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</si>
  <si>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</si>
  <si>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</si>
  <si>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</si>
  <si>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</si>
  <si>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</si>
  <si>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</si>
  <si>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</si>
  <si>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</si>
  <si>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</si>
  <si>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</si>
  <si>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</si>
  <si>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</si>
  <si>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</si>
  <si>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</si>
  <si>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</si>
  <si>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</si>
  <si>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</si>
  <si>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</si>
  <si>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</si>
  <si>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</si>
  <si>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</si>
  <si>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</si>
  <si>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</si>
  <si>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</si>
  <si>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</si>
  <si>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</si>
  <si>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</si>
  <si>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</si>
  <si>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</si>
  <si>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</si>
  <si>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</si>
  <si>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</si>
  <si>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</si>
  <si>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</si>
  <si>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</si>
  <si>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</si>
  <si>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</si>
  <si>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</si>
  <si>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</si>
  <si>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</si>
  <si>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</si>
  <si>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</si>
  <si>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</si>
  <si>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</si>
  <si>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</si>
  <si>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</si>
  <si>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</si>
  <si>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</si>
  <si>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</si>
  <si>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</si>
  <si>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</si>
  <si>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</si>
  <si>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</si>
  <si>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</si>
  <si>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</si>
  <si>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</si>
  <si>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</si>
  <si>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</si>
  <si>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</si>
  <si>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</si>
  <si>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</si>
  <si>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</si>
  <si>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</si>
  <si>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</si>
  <si>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</si>
  <si>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</si>
  <si>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</si>
  <si>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</si>
  <si>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</si>
  <si>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</si>
  <si>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</si>
  <si>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</si>
  <si>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</si>
  <si>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</si>
  <si>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</si>
  <si>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</si>
  <si>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</si>
  <si>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</si>
  <si>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</si>
  <si>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</si>
  <si>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</si>
  <si>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</si>
  <si>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</si>
  <si>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</si>
  <si>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</si>
  <si>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</si>
  <si>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</si>
  <si>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</si>
  <si>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</si>
  <si>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</si>
  <si>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</si>
  <si>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</si>
  <si>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</si>
  <si>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</si>
  <si>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</si>
  <si>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</si>
  <si>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</si>
  <si>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</si>
  <si>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</si>
  <si>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</si>
  <si>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</si>
  <si>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</si>
  <si>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</si>
  <si>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</si>
  <si>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</si>
  <si>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</si>
  <si>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</si>
  <si>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</si>
  <si>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</si>
  <si>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</si>
  <si>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</si>
  <si>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</si>
  <si>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</si>
  <si>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</si>
  <si>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</si>
  <si>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</si>
  <si>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</si>
  <si>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</si>
  <si>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</si>
  <si>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</si>
  <si>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</si>
  <si>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</si>
  <si>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</si>
  <si>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</si>
  <si>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</si>
  <si>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</si>
  <si>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</si>
  <si>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</si>
  <si>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</si>
  <si>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</si>
  <si>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</si>
  <si>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</si>
  <si>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</si>
  <si>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</si>
  <si>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</si>
  <si>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</si>
  <si>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</si>
  <si>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</si>
  <si>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</si>
  <si>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</si>
  <si>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</si>
  <si>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</si>
  <si>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</si>
  <si>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</si>
  <si>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</si>
  <si>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</si>
  <si>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</si>
  <si>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</si>
  <si>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</si>
  <si>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</si>
  <si>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</si>
  <si>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</si>
  <si>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</si>
  <si>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</si>
  <si>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</si>
  <si>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</si>
  <si>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</si>
  <si>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</si>
  <si>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</si>
  <si>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</si>
  <si>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</si>
  <si>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</si>
  <si>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</si>
  <si>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</si>
  <si>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</si>
  <si>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</si>
  <si>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</si>
  <si>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</si>
  <si>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</si>
  <si>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</si>
  <si>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</si>
  <si>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</si>
  <si>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</si>
  <si>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</si>
  <si>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</si>
  <si>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</si>
  <si>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</si>
  <si>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</si>
  <si>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</si>
  <si>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</si>
  <si>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</si>
  <si>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</si>
  <si>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</si>
  <si>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</si>
  <si>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</si>
  <si>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</si>
  <si>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</si>
  <si>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</si>
  <si>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</si>
  <si>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</si>
  <si>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</si>
  <si>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</si>
  <si>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</si>
  <si>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</si>
  <si>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</si>
  <si>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</si>
  <si>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</si>
  <si>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</si>
  <si>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</si>
  <si>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</si>
  <si>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</si>
  <si>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</si>
  <si>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</si>
  <si>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</si>
  <si>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</si>
  <si>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</si>
  <si>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</si>
  <si>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</si>
  <si>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</si>
  <si>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</si>
  <si>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</si>
  <si>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</si>
  <si>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</si>
  <si>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</si>
  <si>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</si>
  <si>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</si>
  <si>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</si>
  <si>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</si>
  <si>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</si>
  <si>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</si>
  <si>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</si>
  <si>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</si>
  <si>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</si>
  <si>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</si>
  <si>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</si>
  <si>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</si>
  <si>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</si>
  <si>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</si>
  <si>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</si>
  <si>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</si>
  <si>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</si>
  <si>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</si>
  <si>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</si>
  <si>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</si>
  <si>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</si>
  <si>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</si>
  <si>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</si>
  <si>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</si>
  <si>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</si>
  <si>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</si>
  <si>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</si>
  <si>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</si>
  <si>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</si>
  <si>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</si>
  <si>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</si>
  <si>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</si>
  <si>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</si>
  <si>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</si>
  <si>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</si>
  <si>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</si>
  <si>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</si>
  <si>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</si>
  <si>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</si>
  <si>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</si>
  <si>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</si>
  <si>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</si>
  <si>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</si>
  <si>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</si>
  <si>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</si>
  <si>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</si>
  <si>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</si>
  <si>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</si>
  <si>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</si>
  <si>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</si>
  <si>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</si>
  <si>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</si>
  <si>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</si>
  <si>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</si>
  <si>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</si>
  <si>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</si>
  <si>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</si>
  <si>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</si>
  <si>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</si>
  <si>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</si>
  <si>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</si>
  <si>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</si>
  <si>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</si>
  <si>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</si>
  <si>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</si>
  <si>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</si>
  <si>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</si>
  <si>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</si>
  <si>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</si>
  <si>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</si>
  <si>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</si>
  <si>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</si>
  <si>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</si>
  <si>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</si>
  <si>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</si>
  <si>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</si>
  <si>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</si>
  <si>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</si>
  <si>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</si>
  <si>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</si>
  <si>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</si>
  <si>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</si>
  <si>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</si>
  <si>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</si>
  <si>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</si>
  <si>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</si>
  <si>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</si>
  <si>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</si>
  <si>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</si>
  <si>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</si>
  <si>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</si>
  <si>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</si>
  <si>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</si>
  <si>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</si>
  <si>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</si>
  <si>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</si>
  <si>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</si>
  <si>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</si>
  <si>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</si>
  <si>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</si>
  <si>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</si>
  <si>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</si>
  <si>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</si>
  <si>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</si>
  <si>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</si>
  <si>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</si>
  <si>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</si>
  <si>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</si>
  <si>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</si>
  <si>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</si>
  <si>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</si>
  <si>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</si>
  <si>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</si>
  <si>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</si>
  <si>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</si>
  <si>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</si>
  <si>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</si>
  <si>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</si>
  <si>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</si>
  <si>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</si>
  <si>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</si>
  <si>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</si>
  <si>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</si>
  <si>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</si>
  <si>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</si>
  <si>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</si>
  <si>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</si>
  <si>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</si>
  <si>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</si>
  <si>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</si>
  <si>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</si>
  <si>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</si>
  <si>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</si>
  <si>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</si>
  <si>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</si>
  <si>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</si>
  <si>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</si>
  <si>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</si>
  <si>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</si>
  <si>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</si>
  <si>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</si>
  <si>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</si>
  <si>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</si>
  <si>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</si>
  <si>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</si>
  <si>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</si>
  <si>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</si>
  <si>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</si>
  <si>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</si>
  <si>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</si>
  <si>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</si>
  <si>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</si>
  <si>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</si>
  <si>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</si>
  <si>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</si>
  <si>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</si>
  <si>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</si>
  <si>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</si>
  <si>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</si>
  <si>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</si>
  <si>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</si>
  <si>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</si>
  <si>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</si>
  <si>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</si>
  <si>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</si>
  <si>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</si>
  <si>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</si>
  <si>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</si>
  <si>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</si>
  <si>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</si>
  <si>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</si>
  <si>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</si>
  <si>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</si>
  <si>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</si>
  <si>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</si>
  <si>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</si>
  <si>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</si>
  <si>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</si>
  <si>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</si>
  <si>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</si>
  <si>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</si>
  <si>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</si>
  <si>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</si>
  <si>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</si>
  <si>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</si>
  <si>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</si>
  <si>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</si>
  <si>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</si>
  <si>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</si>
  <si>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</si>
  <si>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</si>
  <si>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</si>
  <si>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</si>
  <si>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</si>
  <si>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</si>
  <si>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</si>
  <si>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</si>
  <si>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</si>
  <si>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</si>
  <si>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</si>
  <si>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</si>
  <si>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</si>
  <si>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</si>
  <si>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</si>
  <si>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</si>
  <si>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</si>
  <si>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</si>
  <si>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</si>
  <si>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</si>
  <si>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</si>
  <si>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</si>
  <si>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</si>
  <si>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</si>
  <si>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</si>
  <si>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</si>
  <si>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</si>
  <si>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</si>
  <si>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</si>
  <si>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</si>
  <si>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</si>
  <si>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</si>
  <si>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</si>
  <si>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</si>
  <si>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</si>
  <si>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</si>
  <si>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</si>
  <si>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</si>
  <si>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</si>
  <si>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</si>
  <si>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</si>
  <si>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</si>
  <si>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</si>
  <si>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</si>
  <si>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</si>
  <si>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</si>
  <si>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</si>
  <si>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</si>
  <si>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</si>
  <si>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</si>
  <si>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</si>
  <si>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</si>
  <si>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</si>
  <si>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</si>
  <si>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</si>
  <si>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</si>
  <si>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</si>
  <si>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</si>
  <si>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</si>
  <si>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</si>
  <si>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</si>
  <si>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</si>
  <si>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</si>
  <si>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</si>
  <si>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</si>
  <si>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</si>
  <si>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</si>
  <si>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</si>
  <si>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</si>
  <si>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</si>
  <si>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</si>
  <si>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</si>
  <si>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</si>
  <si>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</si>
  <si>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</si>
  <si>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</si>
  <si>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</si>
  <si>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</si>
  <si>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</si>
  <si>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</si>
  <si>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</si>
  <si>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</si>
  <si>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</si>
  <si>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</si>
  <si>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</si>
  <si>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</si>
  <si>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</si>
  <si>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</si>
  <si>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</si>
  <si>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</si>
  <si>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</si>
  <si>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</si>
  <si>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</si>
  <si>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</si>
  <si>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</si>
  <si>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</si>
  <si>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</si>
  <si>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</si>
  <si>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</si>
  <si>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</si>
  <si>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</si>
  <si>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</si>
  <si>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</si>
  <si>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</si>
  <si>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</si>
  <si>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</si>
  <si>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</si>
  <si>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</si>
  <si>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</si>
  <si>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</si>
  <si>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</si>
  <si>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</si>
  <si>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</si>
  <si>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</si>
  <si>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</si>
  <si>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</si>
  <si>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</si>
  <si>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</si>
  <si>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</si>
  <si>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</si>
  <si>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</si>
  <si>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</si>
  <si>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</si>
  <si>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</si>
  <si>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</si>
  <si>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</si>
  <si>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</si>
  <si>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</si>
  <si>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</si>
  <si>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</si>
  <si>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</si>
  <si>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</si>
  <si>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</si>
  <si>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</si>
  <si>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</si>
  <si>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</si>
  <si>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</si>
  <si>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</si>
  <si>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</si>
  <si>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</si>
  <si>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</si>
  <si>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</si>
  <si>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</si>
  <si>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</si>
  <si>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</si>
  <si>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</si>
  <si>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</si>
  <si>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</si>
  <si>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</si>
  <si>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</si>
  <si>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</si>
  <si>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</si>
  <si>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</si>
  <si>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</si>
  <si>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</si>
  <si>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</si>
  <si>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</si>
  <si>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</si>
  <si>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</si>
  <si>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</si>
  <si>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</si>
  <si>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</si>
  <si>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</si>
  <si>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</si>
  <si>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</si>
  <si>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</si>
  <si>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</si>
  <si>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</si>
  <si>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</si>
  <si>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</si>
  <si>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</si>
  <si>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</si>
  <si>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</si>
  <si>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</si>
  <si>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</si>
  <si>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</si>
  <si>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</si>
  <si>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</si>
  <si>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</si>
  <si>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</si>
  <si>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</si>
  <si>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</si>
  <si>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</si>
  <si>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</si>
  <si>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</si>
  <si>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</si>
  <si>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</si>
  <si>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</si>
  <si>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</si>
  <si>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</si>
  <si>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</si>
  <si>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</si>
  <si>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</si>
  <si>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</si>
  <si>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</si>
  <si>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</si>
  <si>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</si>
  <si>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</si>
  <si>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</si>
  <si>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</si>
  <si>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</si>
  <si>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</si>
  <si>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</si>
  <si>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</si>
  <si>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</si>
  <si>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</si>
  <si>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</si>
  <si>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</si>
  <si>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</si>
  <si>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</si>
  <si>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</si>
  <si>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</si>
  <si>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</si>
  <si>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</si>
  <si>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</si>
  <si>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</si>
  <si>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</si>
  <si>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</si>
  <si>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</si>
  <si>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</si>
  <si>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</si>
  <si>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</si>
  <si>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</si>
  <si>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</si>
  <si>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</si>
  <si>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</si>
  <si>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</si>
  <si>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</si>
  <si>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</si>
  <si>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</si>
  <si>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</si>
  <si>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</si>
  <si>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</si>
  <si>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</si>
  <si>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</si>
  <si>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</si>
  <si>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</si>
  <si>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</si>
  <si>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</si>
  <si>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</si>
  <si>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</si>
  <si>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</si>
  <si>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</si>
  <si>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</si>
  <si>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</si>
  <si>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</si>
  <si>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</si>
  <si>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</si>
  <si>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</si>
  <si>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</si>
  <si>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</si>
  <si>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</si>
  <si>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</si>
  <si>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</si>
  <si>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</si>
  <si>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</si>
  <si>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</si>
  <si>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</si>
  <si>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</si>
  <si>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</si>
  <si>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</si>
  <si>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</si>
  <si>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</si>
  <si>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</si>
  <si>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</si>
  <si>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</si>
  <si>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</si>
  <si>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</si>
  <si>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</si>
  <si>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</si>
  <si>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</si>
  <si>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</si>
  <si>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</si>
  <si>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</si>
  <si>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</si>
  <si>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</si>
  <si>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</si>
  <si>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</si>
  <si>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</si>
  <si>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</si>
  <si>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</si>
  <si>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</si>
  <si>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</si>
  <si>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</si>
  <si>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</si>
  <si>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</si>
  <si>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</si>
  <si>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</si>
  <si>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</si>
  <si>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</si>
  <si>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</si>
  <si>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</si>
  <si>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</si>
  <si>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</si>
  <si>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</si>
  <si>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</si>
  <si>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</si>
  <si>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</si>
  <si>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</si>
  <si>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</si>
  <si>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</si>
  <si>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</si>
  <si>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</si>
  <si>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</si>
  <si>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</si>
  <si>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</si>
  <si>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</si>
  <si>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</si>
  <si>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</si>
  <si>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</si>
  <si>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</si>
  <si>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</si>
  <si>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</si>
  <si>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</si>
  <si>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</si>
  <si>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</si>
  <si>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</si>
  <si>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</si>
  <si>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</si>
  <si>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</si>
  <si>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</si>
  <si>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</si>
  <si>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</si>
  <si>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</si>
  <si>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</si>
  <si>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</si>
  <si>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</si>
  <si>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</si>
  <si>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</si>
  <si>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</si>
  <si>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</si>
  <si>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</si>
  <si>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</si>
  <si>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</si>
  <si>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</si>
  <si>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</si>
  <si>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</si>
  <si>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</si>
  <si>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</si>
  <si>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</si>
  <si>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</si>
  <si>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</si>
  <si>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</si>
  <si>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</si>
  <si>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</si>
  <si>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</si>
  <si>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</si>
  <si>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</si>
  <si>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</si>
  <si>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</si>
  <si>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</si>
  <si>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</si>
  <si>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</si>
  <si>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</si>
  <si>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</si>
  <si>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</si>
  <si>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</si>
  <si>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</si>
  <si>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</si>
  <si>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</si>
  <si>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</si>
  <si>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</si>
  <si>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</si>
  <si>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</si>
  <si>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</si>
  <si>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</si>
  <si>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</si>
  <si>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</si>
  <si>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</si>
  <si>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</si>
  <si>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</si>
  <si>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</si>
  <si>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</si>
  <si>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</si>
  <si>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</si>
  <si>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</si>
  <si>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</si>
  <si>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</si>
  <si>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</si>
  <si>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</si>
  <si>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</si>
  <si>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</si>
  <si>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</si>
  <si>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</si>
  <si>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</si>
  <si>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</si>
  <si>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</si>
  <si>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</si>
  <si>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</si>
  <si>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</si>
  <si>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</si>
  <si>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</si>
  <si>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</si>
  <si>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</si>
  <si>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</si>
  <si>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</si>
  <si>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</si>
  <si>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</si>
  <si>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</si>
  <si>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</si>
  <si>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</si>
  <si>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</si>
  <si>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</si>
  <si>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</si>
  <si>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</si>
  <si>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</si>
  <si>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</si>
  <si>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</si>
  <si>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</si>
  <si>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</si>
  <si>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</si>
  <si>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</si>
  <si>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</si>
  <si>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</si>
  <si>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</si>
  <si>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</si>
  <si>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</si>
  <si>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</si>
  <si>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</si>
  <si>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</si>
  <si>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</si>
  <si>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</si>
  <si>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</si>
  <si>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</si>
  <si>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</si>
  <si>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</si>
  <si>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</si>
  <si>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</si>
  <si>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</si>
  <si>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</si>
  <si>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</si>
  <si>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</si>
  <si>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</si>
  <si>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</si>
  <si>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</si>
  <si>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</si>
  <si>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</si>
  <si>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</si>
  <si>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</si>
  <si>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</si>
  <si>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</si>
  <si>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</si>
  <si>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</si>
  <si>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</si>
  <si>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</si>
  <si>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</si>
  <si>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</si>
  <si>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</si>
  <si>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</si>
  <si>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</si>
  <si>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</si>
  <si>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</si>
  <si>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</si>
  <si>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</si>
  <si>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</si>
  <si>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</si>
  <si>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</si>
  <si>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</si>
  <si>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</si>
  <si>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</si>
  <si>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</si>
  <si>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</si>
  <si>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</si>
  <si>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</si>
  <si>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</si>
  <si>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</si>
  <si>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</si>
  <si>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</si>
  <si>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</si>
  <si>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</si>
  <si>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</si>
  <si>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</si>
  <si>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</si>
  <si>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</si>
  <si>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</si>
  <si>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</si>
  <si>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</si>
  <si>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</si>
  <si>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</si>
  <si>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</si>
  <si>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</si>
  <si>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</si>
  <si>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</si>
  <si>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</si>
  <si>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</si>
  <si>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</si>
  <si>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</si>
  <si>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</si>
  <si>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</si>
  <si>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</si>
  <si>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</si>
  <si>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</si>
  <si>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</si>
  <si>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</si>
  <si>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</si>
  <si>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</si>
  <si>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</si>
  <si>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</si>
  <si>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</si>
  <si>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</si>
  <si>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</si>
  <si>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</si>
  <si>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</si>
  <si>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</si>
  <si>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</si>
  <si>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</si>
  <si>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</si>
  <si>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</si>
  <si>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</si>
  <si>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</si>
  <si>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</si>
  <si>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</si>
  <si>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</si>
  <si>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</si>
  <si>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</si>
  <si>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</si>
  <si>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</si>
  <si>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</si>
  <si>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</si>
  <si>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</si>
  <si>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</si>
  <si>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</si>
  <si>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</si>
  <si>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</si>
  <si>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</si>
  <si>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</si>
  <si>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</si>
  <si>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</si>
  <si>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</si>
  <si>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</si>
  <si>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</si>
  <si>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</si>
  <si>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</si>
  <si>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</si>
  <si>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</si>
  <si>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</si>
  <si>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</si>
  <si>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</si>
  <si>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</si>
  <si>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</si>
  <si>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</si>
  <si>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</si>
  <si>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</si>
  <si>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</si>
  <si>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</si>
  <si>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</si>
  <si>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</si>
  <si>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</si>
  <si>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</si>
  <si>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</si>
  <si>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</si>
  <si>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</si>
  <si>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</si>
  <si>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</si>
  <si>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</si>
  <si>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</si>
  <si>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</si>
  <si>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</si>
  <si>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</si>
  <si>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</si>
  <si>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</si>
  <si>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</si>
  <si>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</si>
  <si>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</si>
  <si>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</si>
  <si>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</si>
  <si>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</si>
  <si>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</si>
  <si>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</si>
  <si>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</si>
  <si>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</si>
  <si>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</si>
  <si>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</si>
  <si>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</si>
  <si>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</si>
  <si>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</si>
  <si>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</si>
  <si>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</si>
  <si>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</si>
  <si>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</si>
  <si>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</si>
  <si>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</si>
  <si>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</si>
  <si>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</si>
  <si>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</si>
  <si>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</si>
  <si>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</si>
  <si>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</si>
  <si>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</si>
  <si>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</si>
  <si>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</si>
  <si>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</si>
  <si>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</si>
  <si>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</si>
  <si>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</si>
  <si>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</si>
  <si>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</si>
  <si>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</si>
  <si>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</si>
  <si>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</si>
  <si>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</si>
  <si>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</si>
  <si>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</si>
  <si>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</si>
  <si>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</si>
  <si>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</si>
  <si>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</si>
  <si>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</si>
  <si>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</si>
  <si>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</si>
  <si>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</si>
  <si>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</si>
  <si>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</si>
  <si>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</si>
  <si>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</si>
  <si>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</si>
  <si>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</si>
  <si>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</si>
  <si>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</si>
  <si>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</si>
  <si>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</si>
  <si>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</si>
  <si>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</si>
  <si>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</si>
  <si>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</si>
  <si>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</si>
  <si>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</si>
  <si>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</si>
  <si>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</si>
  <si>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</si>
  <si>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</si>
  <si>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</si>
  <si>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</si>
  <si>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</si>
  <si>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</si>
  <si>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</si>
  <si>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</si>
  <si>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</si>
  <si>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</si>
  <si>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</si>
  <si>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</si>
  <si>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</si>
  <si>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</si>
  <si>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</si>
  <si>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</si>
  <si>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</si>
  <si>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</si>
  <si>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</si>
  <si>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</si>
  <si>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</si>
  <si>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</si>
  <si>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</si>
  <si>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</si>
  <si>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</si>
  <si>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</si>
  <si>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</si>
  <si>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</si>
  <si>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</si>
  <si>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</si>
  <si>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</si>
  <si>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</si>
  <si>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</si>
  <si>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</si>
  <si>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</si>
  <si>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</si>
  <si>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</si>
  <si>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</si>
  <si>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</si>
  <si>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</si>
  <si>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</si>
  <si>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</si>
  <si>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</si>
  <si>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</si>
  <si>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</si>
  <si>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</si>
  <si>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</si>
  <si>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</si>
  <si>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</si>
  <si>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</si>
  <si>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</si>
  <si>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</si>
  <si>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</si>
  <si>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</si>
  <si>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</si>
  <si>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</si>
  <si>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</si>
  <si>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</si>
  <si>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</si>
  <si>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</si>
  <si>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</si>
  <si>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</si>
  <si>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</si>
  <si>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</si>
  <si>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</si>
  <si>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</si>
  <si>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</si>
  <si>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</si>
  <si>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</si>
  <si>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</si>
  <si>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</si>
  <si>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</si>
  <si>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</si>
  <si>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</si>
  <si>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</si>
  <si>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</si>
  <si>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</si>
  <si>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</si>
  <si>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</si>
  <si>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</si>
  <si>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</si>
  <si>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</si>
  <si>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</si>
  <si>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</si>
  <si>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</si>
  <si>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</si>
  <si>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</si>
  <si>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</si>
  <si>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</si>
  <si>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</si>
  <si>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</si>
  <si>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</si>
  <si>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</si>
  <si>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</si>
  <si>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</si>
  <si>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</si>
  <si>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</si>
  <si>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</si>
  <si>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</si>
  <si>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</si>
  <si>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</si>
  <si>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</si>
  <si>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</si>
  <si>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</si>
  <si>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</si>
  <si>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</si>
  <si>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</si>
  <si>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</si>
  <si>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</si>
  <si>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</si>
  <si>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</si>
  <si>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</si>
  <si>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</si>
  <si>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</si>
  <si>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</si>
  <si>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</si>
  <si>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</si>
  <si>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</si>
  <si>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</si>
  <si>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</si>
  <si>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</si>
  <si>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</si>
  <si>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</si>
  <si>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</si>
  <si>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</si>
  <si>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</si>
  <si>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</si>
  <si>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</si>
  <si>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</si>
  <si>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</si>
  <si>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</si>
  <si>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</si>
  <si>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</si>
  <si>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</si>
  <si>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</si>
  <si>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</si>
  <si>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</si>
  <si>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</si>
  <si>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</si>
  <si>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</si>
  <si>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</si>
  <si>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</si>
  <si>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</si>
  <si>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</si>
  <si>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</si>
  <si>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</si>
  <si>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</si>
  <si>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</si>
  <si>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</si>
  <si>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</si>
  <si>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</si>
  <si>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</si>
  <si>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</si>
  <si>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</si>
  <si>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</si>
  <si>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</si>
  <si>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</si>
  <si>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</si>
  <si>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</si>
  <si>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</si>
  <si>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</si>
  <si>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</si>
  <si>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</si>
  <si>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</si>
  <si>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</si>
  <si>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</si>
  <si>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</si>
  <si>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</si>
  <si>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</si>
  <si>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</si>
  <si>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</si>
  <si>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</si>
  <si>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</si>
  <si>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</si>
  <si>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</si>
  <si>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</si>
  <si>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</si>
  <si>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</si>
  <si>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</si>
  <si>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</si>
  <si>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</si>
  <si>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</si>
  <si>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</si>
  <si>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</si>
  <si>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</si>
  <si>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</si>
  <si>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</si>
  <si>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</si>
  <si>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</si>
  <si>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</si>
  <si>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</si>
  <si>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</si>
  <si>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</si>
  <si>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</si>
  <si>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</si>
  <si>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</si>
  <si>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</si>
  <si>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</si>
  <si>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</si>
  <si>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</si>
  <si>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</si>
  <si>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</si>
  <si>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</si>
  <si>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</si>
  <si>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</si>
  <si>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</si>
  <si>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</si>
  <si>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</si>
  <si>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</si>
  <si>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</si>
  <si>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</si>
  <si>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</si>
  <si>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</si>
  <si>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</si>
  <si>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</si>
  <si>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</si>
  <si>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</si>
  <si>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</si>
  <si>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</si>
  <si>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</si>
  <si>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</si>
  <si>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</si>
  <si>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</si>
  <si>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</si>
  <si>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</si>
  <si>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</si>
  <si>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</si>
  <si>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</si>
  <si>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</si>
  <si>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</si>
  <si>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</si>
  <si>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</si>
  <si>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</si>
  <si>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</si>
  <si>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</si>
  <si>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</si>
  <si>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</si>
  <si>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</si>
  <si>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</si>
  <si>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</si>
  <si>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</si>
  <si>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</si>
  <si>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</si>
  <si>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</si>
  <si>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</si>
  <si>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</si>
  <si>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</si>
  <si>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</si>
  <si>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</si>
  <si>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</si>
  <si>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</si>
  <si>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</si>
  <si>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</si>
  <si>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</si>
  <si>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</si>
  <si>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</si>
  <si>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</si>
  <si>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</si>
  <si>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</si>
  <si>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</si>
  <si>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</si>
  <si>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</si>
  <si>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</si>
  <si>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</si>
  <si>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</si>
  <si>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</si>
  <si>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</si>
  <si>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</si>
  <si>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</si>
  <si>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</si>
  <si>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</si>
  <si>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</si>
  <si>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</si>
  <si>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</si>
  <si>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</si>
  <si>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</si>
  <si>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</si>
  <si>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</si>
  <si>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</si>
  <si>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</si>
  <si>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</si>
  <si>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</si>
  <si>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</si>
  <si>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</si>
  <si>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</si>
  <si>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</si>
  <si>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</si>
  <si>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</si>
  <si>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</si>
  <si>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</si>
  <si>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</si>
  <si>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</si>
  <si>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</si>
  <si>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</si>
  <si>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</si>
  <si>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</si>
  <si>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</si>
  <si>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</si>
  <si>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</si>
  <si>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</si>
  <si>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</si>
  <si>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</si>
  <si>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</si>
  <si>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</si>
  <si>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</si>
  <si>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</si>
  <si>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</si>
  <si>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</si>
  <si>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</si>
  <si>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</si>
  <si>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</si>
  <si>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</si>
  <si>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</si>
  <si>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</si>
  <si>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</si>
  <si>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</si>
  <si>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</si>
  <si>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</si>
  <si>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</si>
  <si>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</si>
  <si>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</si>
  <si>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</si>
  <si>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</si>
  <si>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</si>
  <si>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</si>
  <si>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</si>
  <si>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</si>
  <si>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</si>
  <si>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</si>
  <si>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</si>
  <si>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</si>
  <si>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</si>
  <si>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</si>
  <si>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</si>
  <si>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</si>
  <si>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</si>
  <si>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</si>
  <si>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</si>
  <si>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</si>
  <si>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</si>
  <si>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</si>
  <si>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</si>
  <si>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</si>
  <si>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</si>
  <si>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</si>
  <si>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</si>
  <si>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</si>
  <si>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</si>
  <si>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</si>
  <si>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</si>
  <si>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</si>
  <si>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</si>
  <si>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</si>
  <si>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</si>
  <si>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</si>
  <si>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</si>
  <si>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</si>
  <si>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</si>
  <si>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</si>
  <si>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</si>
  <si>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</si>
  <si>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</si>
  <si>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</si>
  <si>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</si>
  <si>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</si>
  <si>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</si>
  <si>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</si>
  <si>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</si>
  <si>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</si>
  <si>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</si>
  <si>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</si>
  <si>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</si>
  <si>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</si>
  <si>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</si>
  <si>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</si>
  <si>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</si>
  <si>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</si>
  <si>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</si>
  <si>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</si>
  <si>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</si>
  <si>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</si>
  <si>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</si>
  <si>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</si>
  <si>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</si>
  <si>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</si>
  <si>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</si>
  <si>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</si>
  <si>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</si>
  <si>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</si>
  <si>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</si>
  <si>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</si>
  <si>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</si>
  <si>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</si>
  <si>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</si>
  <si>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</si>
  <si>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</si>
  <si>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</si>
  <si>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</si>
  <si>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</si>
  <si>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</si>
  <si>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</si>
  <si>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</si>
  <si>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</si>
  <si>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</si>
  <si>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</si>
  <si>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</si>
  <si>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</si>
  <si>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</si>
  <si>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</si>
  <si>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</si>
  <si>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</si>
  <si>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</si>
  <si>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</si>
  <si>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</si>
  <si>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</si>
  <si>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</si>
  <si>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</si>
  <si>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</si>
  <si>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</si>
  <si>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</si>
  <si>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</si>
  <si>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</si>
  <si>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</si>
  <si>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</si>
  <si>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</si>
  <si>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</si>
  <si>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</si>
  <si>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</si>
  <si>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</si>
  <si>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</si>
  <si>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</si>
  <si>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</si>
  <si>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</si>
  <si>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</si>
  <si>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</si>
  <si>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</si>
  <si>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</si>
  <si>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</si>
  <si>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</si>
  <si>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</si>
  <si>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</si>
  <si>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</si>
  <si>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</si>
  <si>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</si>
  <si>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</si>
  <si>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</si>
  <si>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</si>
  <si>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</si>
  <si>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</si>
  <si>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</si>
  <si>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</si>
  <si>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</si>
  <si>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</si>
  <si>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</si>
  <si>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</si>
  <si>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</si>
  <si>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</si>
  <si>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</si>
  <si>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</si>
  <si>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</si>
  <si>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</si>
  <si>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</si>
  <si>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</si>
  <si>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</si>
  <si>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</si>
  <si>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</si>
  <si>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</si>
  <si>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</si>
  <si>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</si>
  <si>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</si>
  <si>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</si>
  <si>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</si>
  <si>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</si>
  <si>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</si>
  <si>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</si>
  <si>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</si>
  <si>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</si>
  <si>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</si>
  <si>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</si>
  <si>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</si>
  <si>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</si>
  <si>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</si>
  <si>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</si>
  <si>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</si>
  <si>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</si>
  <si>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</si>
  <si>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</si>
  <si>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</si>
  <si>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</si>
  <si>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</si>
  <si>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</si>
  <si>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</si>
  <si>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</si>
  <si>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</si>
  <si>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</si>
  <si>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</si>
  <si>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</si>
  <si>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</si>
  <si>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</si>
  <si>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</si>
  <si>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</si>
  <si>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</si>
  <si>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</si>
  <si>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</si>
  <si>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</si>
  <si>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</si>
  <si>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</si>
  <si>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</si>
  <si>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</si>
  <si>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</si>
  <si>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</si>
  <si>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</si>
  <si>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</si>
  <si>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</si>
  <si>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</si>
  <si>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</si>
  <si>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</si>
  <si>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</si>
  <si>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</si>
  <si>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</si>
  <si>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</si>
  <si>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</si>
  <si>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</si>
  <si>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</si>
  <si>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</si>
  <si>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</si>
  <si>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</si>
  <si>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</si>
  <si>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</si>
  <si>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</si>
  <si>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</si>
  <si>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</si>
  <si>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</si>
  <si>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</si>
  <si>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</si>
  <si>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</si>
  <si>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</si>
  <si>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</si>
  <si>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</si>
  <si>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</si>
  <si>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</si>
  <si>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</si>
  <si>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</si>
  <si>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</si>
  <si>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</si>
  <si>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</si>
  <si>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</si>
  <si>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</si>
  <si>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</si>
  <si>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</si>
  <si>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</si>
  <si>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</si>
  <si>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</si>
  <si>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</si>
  <si>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</si>
  <si>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</si>
  <si>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</si>
  <si>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</si>
  <si>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</si>
  <si>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</si>
  <si>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</si>
  <si>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</si>
  <si>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</si>
  <si>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</si>
  <si>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</si>
  <si>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</si>
  <si>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</si>
  <si>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</si>
  <si>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</si>
  <si>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</si>
  <si>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</si>
  <si>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</si>
  <si>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</si>
  <si>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</si>
  <si>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</si>
  <si>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</si>
  <si>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</si>
  <si>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</si>
  <si>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</si>
  <si>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</si>
  <si>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</si>
  <si>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</si>
  <si>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</si>
  <si>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</si>
  <si>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</si>
  <si>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</si>
  <si>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</si>
  <si>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</si>
  <si>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</si>
  <si>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</si>
  <si>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</si>
  <si>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</si>
  <si>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</si>
  <si>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</si>
  <si>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</si>
  <si>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</si>
  <si>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</si>
  <si>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</si>
  <si>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</si>
  <si>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</si>
  <si>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</si>
  <si>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</si>
  <si>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</si>
  <si>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</si>
  <si>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</si>
  <si>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</si>
  <si>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</si>
  <si>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</si>
  <si>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</si>
  <si>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</si>
  <si>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</si>
  <si>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</si>
  <si>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</si>
  <si>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</si>
  <si>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</si>
  <si>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</si>
  <si>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</si>
  <si>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</si>
  <si>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</si>
  <si>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</si>
  <si>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</si>
  <si>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</si>
  <si>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</si>
  <si>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</si>
  <si>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</si>
  <si>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</si>
  <si>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</si>
  <si>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</si>
  <si>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</si>
  <si>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</si>
  <si>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</si>
  <si>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</si>
  <si>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</si>
  <si>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</si>
  <si>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</si>
  <si>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</si>
  <si>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</si>
  <si>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</si>
  <si>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</si>
  <si>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</si>
  <si>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</si>
  <si>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</si>
  <si>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</si>
  <si>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</si>
  <si>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</si>
  <si>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</si>
  <si>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</si>
  <si>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</si>
  <si>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</si>
  <si>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</si>
  <si>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</si>
  <si>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</si>
  <si>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</si>
  <si>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</si>
  <si>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</si>
  <si>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</si>
  <si>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</si>
  <si>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</si>
  <si>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</si>
  <si>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</si>
  <si>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</si>
  <si>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</si>
  <si>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</si>
  <si>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</si>
  <si>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</si>
  <si>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</si>
  <si>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</si>
  <si>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</si>
  <si>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</si>
  <si>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</si>
  <si>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</si>
  <si>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</si>
  <si>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</si>
  <si>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</si>
  <si>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</si>
  <si>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</si>
  <si>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</si>
  <si>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</si>
  <si>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</si>
  <si>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</si>
  <si>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</si>
  <si>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</si>
  <si>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</si>
  <si>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</si>
  <si>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</si>
  <si>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</si>
  <si>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</si>
  <si>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</si>
  <si>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</si>
  <si>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</si>
  <si>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</si>
  <si>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</si>
  <si>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</si>
  <si>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</si>
  <si>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</si>
  <si>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</si>
  <si>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</si>
  <si>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</si>
  <si>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</si>
  <si>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</si>
  <si>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</si>
  <si>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</si>
  <si>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</si>
  <si>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</si>
  <si>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</si>
  <si>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</si>
  <si>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</si>
  <si>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</si>
  <si>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</si>
  <si>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</si>
  <si>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</si>
  <si>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</si>
  <si>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</si>
  <si>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</si>
  <si>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</si>
  <si>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</si>
  <si>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</si>
  <si>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</si>
  <si>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</si>
  <si>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</si>
  <si>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</si>
  <si>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</si>
  <si>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</si>
  <si>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</si>
  <si>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</si>
  <si>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</si>
  <si>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</si>
  <si>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</si>
  <si>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</si>
  <si>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</si>
  <si>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</si>
  <si>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</si>
  <si>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</si>
  <si>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</si>
  <si>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</si>
  <si>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</si>
  <si>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</si>
  <si>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</si>
  <si>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</si>
  <si>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</si>
  <si>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</si>
  <si>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</si>
  <si>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</si>
  <si>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</si>
  <si>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</si>
  <si>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</si>
  <si>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</si>
  <si>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</si>
  <si>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</si>
  <si>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</si>
  <si>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</si>
  <si>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</si>
  <si>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</si>
  <si>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</si>
  <si>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</si>
  <si>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</si>
  <si>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</si>
  <si>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</si>
  <si>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</si>
  <si>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</si>
  <si>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</si>
  <si>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</si>
  <si>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</si>
  <si>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</si>
  <si>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</si>
  <si>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</si>
  <si>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</si>
  <si>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</si>
  <si>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</si>
  <si>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</si>
  <si>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</si>
  <si>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</si>
  <si>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</si>
  <si>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</si>
  <si>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</si>
  <si>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</si>
  <si>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</si>
  <si>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</si>
  <si>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</si>
  <si>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</si>
  <si>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</si>
  <si>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</si>
  <si>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</si>
  <si>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</si>
  <si>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</si>
  <si>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</si>
  <si>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</si>
  <si>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</si>
  <si>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</si>
  <si>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</si>
  <si>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</si>
  <si>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</si>
  <si>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</si>
  <si>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</si>
  <si>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</si>
  <si>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</si>
  <si>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</si>
  <si>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</si>
  <si>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</si>
  <si>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</si>
  <si>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</si>
  <si>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</si>
  <si>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</si>
  <si>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</si>
  <si>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</si>
  <si>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</si>
  <si>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</si>
  <si>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</si>
  <si>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</si>
  <si>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</si>
  <si>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</si>
  <si>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</si>
  <si>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</si>
  <si>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</si>
  <si>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</si>
  <si>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</si>
  <si>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</si>
  <si>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</si>
  <si>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</si>
  <si>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</si>
  <si>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</si>
  <si>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</si>
  <si>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</si>
  <si>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</si>
  <si>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</si>
  <si>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</si>
  <si>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</si>
  <si>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</si>
  <si>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</si>
  <si>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</si>
  <si>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</si>
  <si>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</si>
  <si>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</si>
  <si>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</si>
  <si>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</si>
  <si>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</si>
  <si>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</si>
  <si>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</si>
  <si>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</si>
  <si>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</si>
  <si>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</si>
  <si>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</si>
  <si>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</si>
  <si>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</si>
  <si>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</si>
  <si>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</si>
  <si>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</si>
  <si>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</si>
  <si>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</si>
  <si>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</si>
  <si>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</si>
  <si>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</si>
  <si>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</si>
  <si>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</si>
  <si>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</si>
  <si>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</si>
  <si>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</si>
  <si>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</si>
  <si>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</si>
  <si>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</si>
  <si>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</si>
  <si>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</si>
  <si>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</si>
  <si>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</si>
  <si>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</si>
  <si>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</si>
  <si>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</si>
  <si>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</si>
  <si>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</si>
  <si>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</si>
  <si>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</si>
  <si>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</si>
  <si>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</si>
  <si>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</si>
  <si>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</si>
  <si>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</si>
  <si>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</si>
  <si>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</si>
  <si>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</si>
  <si>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</si>
  <si>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</si>
  <si>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</si>
  <si>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</si>
  <si>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</si>
  <si>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</si>
  <si>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</si>
  <si>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</si>
  <si>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</si>
  <si>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</si>
  <si>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</si>
  <si>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</si>
  <si>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</si>
  <si>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</si>
  <si>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</si>
  <si>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</si>
  <si>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</si>
  <si>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</si>
  <si>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</si>
  <si>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</si>
  <si>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</si>
  <si>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</si>
  <si>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</si>
  <si>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</si>
  <si>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</si>
  <si>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</si>
  <si>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</si>
  <si>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</si>
  <si>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</si>
  <si>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</si>
  <si>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</si>
  <si>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</si>
  <si>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</si>
  <si>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</si>
  <si>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</si>
  <si>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</si>
  <si>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</si>
  <si>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</si>
  <si>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</si>
  <si>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</si>
  <si>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</si>
  <si>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</si>
  <si>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</si>
  <si>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</si>
  <si>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</si>
  <si>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</si>
  <si>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</si>
  <si>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</si>
  <si>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</si>
  <si>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</si>
  <si>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</si>
  <si>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</si>
  <si>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</si>
  <si>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</si>
  <si>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</si>
  <si>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</si>
  <si>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</si>
  <si>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</si>
  <si>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</si>
  <si>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</si>
  <si>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</si>
  <si>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</si>
  <si>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</si>
  <si>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</si>
  <si>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</si>
  <si>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</si>
  <si>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</si>
  <si>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</si>
  <si>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</si>
  <si>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</si>
  <si>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</si>
  <si>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</si>
  <si>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</si>
  <si>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</si>
  <si>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</si>
  <si>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</si>
  <si>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</si>
  <si>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</si>
  <si>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</si>
  <si>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</si>
  <si>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</si>
  <si>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</si>
  <si>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</si>
  <si>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</si>
  <si>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</si>
  <si>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</si>
  <si>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</si>
  <si>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</si>
  <si>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</si>
  <si>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</si>
  <si>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</si>
  <si>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</si>
  <si>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</si>
  <si>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</si>
  <si>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</si>
  <si>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</si>
  <si>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</si>
  <si>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</si>
  <si>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</si>
  <si>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</si>
  <si>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</si>
  <si>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</si>
  <si>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</si>
  <si>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</si>
  <si>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</si>
  <si>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</si>
  <si>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</si>
  <si>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</si>
  <si>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</si>
  <si>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</si>
  <si>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</si>
  <si>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</si>
  <si>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</si>
  <si>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</si>
  <si>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</si>
  <si>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</si>
  <si>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</si>
  <si>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</si>
  <si>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</si>
  <si>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</si>
  <si>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</si>
  <si>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</si>
  <si>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</si>
  <si>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</si>
  <si>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</si>
  <si>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</si>
  <si>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</si>
  <si>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</si>
  <si>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</si>
  <si>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</si>
  <si>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</si>
  <si>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</si>
  <si>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</si>
  <si>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</si>
  <si>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</si>
  <si>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</si>
  <si>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</si>
  <si>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</si>
  <si>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</si>
  <si>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</si>
  <si>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</si>
  <si>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</si>
  <si>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</si>
  <si>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</si>
  <si>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</si>
  <si>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</si>
  <si>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</si>
  <si>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</si>
  <si>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</si>
  <si>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</si>
  <si>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</si>
  <si>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</si>
  <si>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</si>
  <si>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</si>
  <si>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</si>
  <si>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</si>
  <si>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</si>
  <si>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</si>
  <si>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</si>
  <si>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</si>
  <si>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</si>
  <si>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</si>
  <si>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</si>
  <si>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</si>
  <si>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</si>
  <si>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</si>
  <si>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</si>
  <si>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</si>
  <si>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</si>
  <si>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</si>
  <si>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</si>
  <si>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</si>
  <si>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</si>
  <si>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</si>
  <si>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</si>
  <si>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</si>
  <si>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</si>
  <si>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</si>
  <si>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</si>
  <si>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</si>
  <si>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</si>
  <si>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</si>
  <si>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</si>
  <si>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</si>
  <si>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</si>
  <si>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</si>
  <si>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</si>
  <si>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</si>
  <si>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</si>
  <si>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</si>
  <si>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</si>
  <si>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</si>
  <si>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</si>
  <si>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</si>
  <si>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</si>
  <si>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</si>
  <si>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</si>
  <si>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</si>
  <si>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</si>
  <si>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</si>
  <si>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</si>
  <si>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</si>
  <si>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</si>
  <si>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</si>
  <si>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</si>
  <si>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</si>
  <si>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</si>
  <si>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</si>
  <si>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</si>
  <si>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</si>
  <si>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</si>
  <si>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</si>
  <si>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</si>
  <si>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</si>
  <si>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</si>
  <si>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</si>
  <si>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</si>
  <si>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</si>
  <si>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</si>
  <si>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</si>
  <si>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</si>
  <si>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</si>
  <si>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</si>
  <si>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</si>
  <si>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</si>
  <si>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</si>
  <si>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</si>
  <si>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</si>
  <si>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</si>
  <si>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</si>
  <si>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</si>
  <si>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</si>
  <si>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</si>
  <si>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</si>
  <si>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</si>
  <si>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</si>
  <si>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</si>
  <si>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</si>
  <si>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</si>
  <si>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</si>
  <si>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</si>
  <si>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</si>
  <si>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</si>
  <si>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</si>
  <si>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</si>
  <si>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</si>
  <si>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</si>
  <si>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</si>
  <si>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</si>
  <si>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</si>
  <si>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</si>
  <si>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</si>
  <si>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</si>
  <si>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</si>
  <si>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</si>
  <si>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</si>
  <si>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</si>
  <si>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</si>
  <si>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</si>
  <si>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</si>
  <si>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</si>
  <si>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</si>
  <si>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</si>
  <si>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</si>
  <si>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</si>
  <si>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</si>
  <si>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</si>
  <si>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</si>
  <si>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</si>
  <si>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</si>
  <si>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</si>
  <si>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</si>
  <si>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</si>
  <si>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</si>
  <si>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</si>
  <si>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</si>
  <si>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</si>
  <si>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</si>
  <si>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</si>
  <si>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</si>
  <si>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</si>
  <si>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</si>
  <si>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</si>
  <si>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</si>
  <si>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</si>
  <si>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</si>
  <si>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</si>
  <si>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</si>
  <si>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</si>
  <si>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</si>
  <si>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</si>
  <si>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</si>
  <si>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</si>
  <si>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</si>
  <si>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</si>
  <si>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</si>
  <si>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</si>
  <si>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</si>
  <si>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</si>
  <si>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</si>
  <si>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</si>
  <si>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</si>
  <si>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</si>
  <si>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</si>
  <si>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</si>
  <si>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</si>
  <si>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</si>
  <si>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</si>
  <si>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</si>
  <si>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</si>
  <si>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</si>
  <si>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</si>
  <si>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</si>
  <si>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</si>
  <si>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</si>
  <si>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</si>
  <si>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</si>
  <si>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</si>
  <si>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</si>
  <si>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</si>
  <si>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</si>
  <si>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</si>
  <si>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</si>
  <si>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</si>
  <si>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</si>
  <si>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</si>
  <si>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</si>
  <si>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</si>
  <si>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</si>
  <si>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</si>
  <si>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</si>
  <si>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</si>
  <si>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</si>
  <si>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</si>
  <si>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</si>
  <si>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</si>
  <si>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</si>
  <si>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</si>
  <si>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</si>
  <si>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</si>
  <si>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</si>
  <si>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</si>
  <si>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</si>
  <si>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</si>
  <si>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</si>
  <si>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</si>
  <si>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</si>
  <si>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</si>
  <si>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</si>
  <si>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</si>
  <si>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</si>
  <si>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</si>
  <si>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</si>
  <si>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</si>
  <si>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</si>
  <si>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</si>
  <si>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</si>
  <si>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</si>
  <si>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</si>
  <si>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</si>
  <si>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</si>
  <si>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</si>
  <si>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</si>
  <si>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</si>
  <si>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</si>
  <si>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</si>
  <si>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</si>
  <si>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</si>
  <si>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</si>
  <si>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</si>
  <si>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</si>
  <si>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</si>
  <si>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</si>
  <si>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</si>
  <si>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</si>
  <si>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</si>
  <si>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</si>
  <si>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</si>
  <si>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</si>
  <si>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</si>
  <si>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</si>
  <si>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</si>
  <si>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</si>
  <si>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</si>
  <si>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</si>
  <si>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</si>
  <si>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</si>
  <si>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</si>
  <si>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</si>
  <si>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</si>
  <si>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</si>
  <si>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</si>
  <si>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</si>
  <si>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</si>
  <si>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</si>
  <si>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</si>
  <si>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</si>
  <si>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</si>
  <si>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</si>
  <si>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</si>
  <si>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</si>
  <si>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</si>
  <si>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</si>
  <si>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</si>
  <si>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</si>
  <si>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</si>
  <si>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</si>
  <si>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</si>
  <si>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</si>
  <si>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</si>
  <si>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</si>
  <si>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</si>
  <si>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</si>
  <si>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</si>
  <si>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</si>
  <si>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</si>
  <si>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</si>
  <si>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</si>
  <si>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</si>
  <si>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</si>
  <si>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</si>
  <si>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</si>
  <si>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</si>
  <si>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</si>
  <si>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</si>
  <si>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</si>
  <si>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</si>
  <si>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</si>
  <si>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</si>
  <si>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</si>
  <si>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</si>
  <si>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</si>
  <si>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</si>
  <si>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</si>
  <si>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</si>
  <si>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</si>
  <si>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</si>
  <si>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</si>
  <si>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</si>
  <si>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</si>
  <si>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</si>
  <si>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</si>
  <si>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</si>
  <si>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</si>
  <si>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</si>
  <si>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</si>
  <si>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</si>
  <si>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</si>
  <si>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</si>
  <si>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</si>
  <si>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</si>
  <si>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</si>
  <si>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</si>
  <si>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</si>
  <si>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</si>
  <si>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</si>
  <si>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</si>
  <si>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</si>
  <si>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</si>
  <si>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</si>
  <si>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</si>
  <si>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</si>
  <si>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</si>
  <si>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</si>
  <si>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</si>
  <si>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</si>
  <si>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</si>
  <si>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</si>
  <si>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</si>
  <si>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</si>
  <si>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</si>
  <si>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</si>
  <si>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</si>
  <si>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</si>
  <si>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</si>
  <si>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</si>
  <si>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</si>
  <si>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</si>
  <si>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</si>
  <si>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</si>
  <si>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</si>
  <si>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</si>
  <si>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</si>
  <si>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</si>
  <si>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</si>
  <si>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</si>
  <si>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</si>
  <si>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</si>
  <si>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</si>
  <si>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</si>
  <si>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</si>
  <si>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</si>
  <si>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</si>
  <si>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</si>
  <si>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</si>
  <si>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</si>
  <si>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</si>
  <si>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</si>
  <si>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</si>
  <si>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</si>
  <si>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</si>
  <si>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</si>
  <si>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</si>
  <si>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</si>
  <si>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</si>
  <si>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</si>
  <si>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</si>
  <si>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</si>
  <si>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</si>
  <si>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</si>
  <si>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</si>
  <si>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</si>
  <si>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</si>
  <si>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</si>
  <si>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</si>
  <si>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</si>
  <si>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</si>
  <si>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</si>
  <si>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</si>
  <si>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</si>
  <si>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</si>
  <si>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</si>
  <si>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</si>
  <si>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</si>
  <si>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</si>
  <si>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</si>
  <si>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</si>
  <si>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</si>
  <si>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</si>
  <si>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</si>
  <si>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</si>
  <si>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</si>
  <si>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</si>
  <si>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</si>
  <si>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</si>
  <si>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</si>
  <si>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</si>
  <si>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</si>
  <si>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</si>
  <si>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</si>
  <si>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</si>
  <si>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</si>
  <si>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</si>
  <si>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</si>
  <si>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</si>
  <si>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</si>
  <si>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</si>
  <si>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</si>
  <si>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</si>
  <si>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</si>
  <si>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</si>
  <si>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</si>
  <si>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</si>
  <si>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</si>
  <si>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</si>
  <si>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</si>
  <si>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</si>
  <si>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</si>
  <si>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</si>
  <si>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</si>
  <si>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</si>
  <si>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</si>
  <si>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</si>
  <si>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</si>
  <si>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</si>
  <si>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</si>
  <si>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</si>
  <si>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</si>
  <si>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</si>
  <si>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</si>
  <si>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</si>
  <si>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</si>
  <si>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</si>
  <si>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</si>
  <si>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</si>
  <si>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</si>
  <si>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</si>
  <si>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</si>
  <si>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</si>
  <si>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</si>
  <si>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</si>
  <si>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</si>
  <si>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</si>
  <si>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</si>
  <si>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</si>
  <si>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</si>
  <si>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</si>
  <si>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</si>
  <si>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</si>
  <si>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</si>
  <si>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</si>
  <si>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</si>
  <si>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</si>
  <si>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</si>
  <si>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</si>
  <si>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</si>
  <si>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</si>
  <si>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</si>
  <si>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</si>
  <si>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</si>
  <si>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</si>
  <si>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</si>
  <si>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</si>
  <si>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</si>
  <si>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</si>
  <si>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</si>
  <si>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</si>
  <si>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</si>
  <si>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</si>
  <si>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</si>
  <si>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</si>
  <si>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</si>
  <si>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</si>
  <si>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</si>
  <si>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</si>
  <si>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</si>
  <si>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</si>
  <si>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</si>
  <si>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</si>
  <si>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</si>
  <si>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</si>
  <si>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</si>
  <si>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</si>
  <si>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</si>
  <si>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</si>
  <si>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</si>
  <si>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</si>
  <si>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</si>
  <si>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</si>
  <si>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</si>
  <si>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</si>
  <si>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</si>
  <si>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</si>
  <si>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</si>
  <si>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</si>
  <si>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</si>
  <si>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</si>
  <si>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</si>
  <si>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</si>
  <si>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</si>
  <si>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</si>
  <si>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</si>
  <si>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</si>
  <si>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</si>
  <si>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</si>
  <si>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</si>
  <si>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</si>
  <si>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</si>
  <si>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</si>
  <si>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</si>
  <si>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</si>
  <si>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</si>
  <si>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</si>
  <si>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</si>
  <si>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</si>
  <si>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</si>
  <si>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</si>
  <si>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</si>
  <si>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</si>
  <si>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</si>
  <si>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</si>
  <si>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</si>
  <si>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</si>
  <si>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</si>
  <si>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</si>
  <si>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</si>
  <si>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</si>
  <si>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</si>
  <si>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</si>
  <si>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</si>
  <si>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</si>
  <si>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</si>
  <si>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</si>
  <si>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</si>
  <si>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</si>
  <si>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</si>
  <si>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</si>
  <si>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</si>
  <si>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</si>
  <si>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</si>
  <si>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</si>
  <si>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</si>
  <si>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</si>
  <si>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</si>
  <si>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</si>
  <si>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</si>
  <si>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</si>
  <si>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</si>
  <si>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</si>
  <si>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</si>
  <si>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</si>
  <si>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</si>
  <si>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</si>
  <si>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</si>
  <si>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</si>
  <si>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</si>
  <si>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</si>
  <si>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</si>
  <si>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</si>
  <si>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</si>
  <si>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</si>
  <si>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</si>
  <si>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</si>
  <si>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</si>
  <si>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</si>
  <si>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</si>
  <si>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</si>
  <si>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</si>
  <si>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</si>
  <si>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</si>
  <si>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</si>
  <si>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</si>
  <si>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</si>
  <si>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</si>
  <si>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</si>
  <si>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</si>
  <si>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</si>
  <si>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</si>
  <si>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</si>
  <si>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</si>
  <si>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</si>
  <si>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</si>
  <si>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</si>
  <si>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</si>
  <si>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</si>
  <si>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</si>
  <si>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</si>
  <si>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</si>
  <si>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</si>
  <si>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</si>
  <si>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</si>
  <si>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</si>
  <si>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</si>
  <si>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</si>
  <si>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</si>
  <si>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</si>
  <si>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</si>
  <si>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</si>
  <si>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</si>
  <si>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</si>
  <si>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</si>
  <si>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</si>
  <si>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</si>
  <si>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</si>
  <si>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</si>
  <si>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</si>
  <si>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</si>
  <si>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</si>
  <si>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</si>
  <si>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</si>
  <si>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</si>
  <si>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</si>
  <si>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</si>
  <si>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</si>
  <si>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</si>
  <si>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</si>
  <si>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</si>
  <si>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</si>
  <si>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</si>
  <si>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</si>
  <si>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</si>
  <si>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</si>
  <si>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</si>
  <si>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</si>
  <si>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</si>
  <si>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</si>
  <si>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</si>
  <si>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</si>
  <si>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</si>
  <si>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</si>
  <si>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</si>
  <si>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</si>
  <si>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</si>
  <si>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</si>
  <si>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</si>
  <si>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</si>
  <si>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</si>
  <si>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</si>
  <si>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</si>
  <si>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</si>
  <si>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</si>
  <si>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</si>
  <si>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</si>
  <si>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</si>
  <si>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</si>
  <si>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</si>
  <si>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</si>
  <si>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</si>
  <si>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</si>
  <si>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</si>
  <si>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</si>
  <si>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</si>
  <si>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</si>
  <si>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</si>
  <si>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</si>
  <si>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</si>
  <si>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</si>
  <si>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</si>
  <si>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</si>
  <si>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</si>
  <si>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</si>
  <si>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</si>
  <si>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</si>
  <si>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</si>
  <si>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</si>
  <si>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</si>
  <si>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</si>
  <si>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</si>
  <si>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</si>
  <si>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</si>
  <si>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</si>
  <si>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</si>
  <si>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</si>
  <si>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</si>
  <si>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</si>
  <si>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</si>
  <si>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</si>
  <si>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</si>
  <si>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</si>
  <si>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</si>
  <si>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</si>
  <si>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</si>
  <si>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</si>
  <si>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</si>
  <si>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</si>
  <si>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</si>
  <si>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</si>
  <si>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</si>
  <si>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</si>
  <si>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</si>
  <si>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</si>
  <si>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</si>
  <si>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</si>
  <si>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</si>
  <si>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</si>
  <si>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</si>
  <si>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</si>
  <si>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</si>
  <si>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</si>
  <si>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</si>
  <si>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</si>
  <si>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</si>
  <si>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</si>
  <si>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</si>
  <si>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</si>
  <si>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</si>
  <si>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</si>
  <si>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</si>
  <si>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</si>
  <si>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</si>
  <si>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</si>
  <si>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</si>
  <si>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</si>
  <si>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</si>
  <si>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</si>
  <si>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</si>
  <si>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</si>
  <si>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</si>
  <si>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</si>
  <si>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</si>
  <si>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</si>
  <si>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</si>
  <si>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</si>
  <si>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</si>
  <si>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</si>
  <si>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</si>
  <si>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</si>
  <si>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</si>
  <si>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</si>
  <si>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</si>
  <si>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</si>
  <si>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</si>
  <si>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</si>
  <si>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</si>
  <si>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</si>
  <si>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</si>
  <si>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</si>
  <si>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</si>
  <si>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</si>
  <si>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</si>
  <si>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</si>
  <si>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</si>
  <si>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</si>
  <si>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</si>
  <si>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</si>
  <si>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</si>
  <si>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</si>
  <si>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</si>
  <si>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</si>
  <si>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</si>
  <si>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</si>
  <si>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</si>
  <si>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</si>
  <si>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</si>
  <si>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</si>
  <si>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</si>
  <si>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</si>
  <si>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</si>
  <si>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</si>
  <si>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</si>
  <si>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</si>
  <si>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</si>
  <si>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</si>
  <si>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</si>
  <si>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</si>
  <si>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</si>
  <si>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</si>
  <si>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</si>
  <si>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</si>
  <si>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</si>
  <si>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</si>
  <si>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</si>
  <si>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</si>
  <si>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</si>
  <si>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</si>
  <si>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</si>
  <si>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</si>
  <si>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</si>
  <si>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</si>
  <si>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</si>
  <si>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</si>
  <si>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</si>
  <si>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</si>
  <si>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</si>
  <si>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</si>
  <si>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</si>
  <si>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</si>
  <si>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</si>
  <si>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</si>
  <si>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</si>
  <si>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</si>
  <si>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</si>
  <si>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</si>
  <si>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</si>
  <si>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</si>
  <si>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</si>
  <si>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</si>
  <si>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</si>
  <si>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</si>
  <si>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</si>
  <si>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</si>
  <si>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</si>
  <si>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</si>
  <si>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</si>
  <si>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</si>
  <si>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</si>
  <si>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</si>
  <si>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</si>
  <si>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</si>
  <si>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</si>
  <si>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</si>
  <si>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</si>
  <si>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</si>
  <si>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</si>
  <si>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</si>
  <si>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</si>
  <si>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</si>
  <si>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</si>
  <si>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</si>
  <si>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</si>
  <si>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</si>
  <si>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</si>
  <si>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</si>
  <si>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</si>
  <si>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</si>
  <si>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</si>
  <si>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</si>
  <si>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</si>
  <si>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</si>
  <si>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</si>
  <si>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</si>
  <si>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</si>
  <si>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</si>
  <si>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</si>
  <si>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</si>
  <si>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</si>
  <si>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</si>
  <si>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</si>
  <si>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</si>
  <si>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</si>
  <si>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</si>
  <si>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</si>
  <si>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</si>
  <si>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</si>
  <si>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</si>
  <si>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</si>
  <si>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</si>
  <si>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</si>
  <si>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</si>
  <si>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</si>
  <si>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</si>
  <si>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</si>
  <si>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</si>
  <si>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</si>
  <si>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</si>
  <si>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</si>
  <si>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</si>
  <si>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</si>
  <si>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</si>
  <si>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</si>
  <si>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</si>
  <si>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</si>
  <si>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</si>
  <si>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</si>
  <si>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</si>
  <si>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</si>
  <si>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</si>
  <si>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</si>
  <si>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</si>
  <si>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</si>
  <si>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</si>
  <si>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</si>
  <si>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</si>
  <si>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</si>
  <si>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</si>
  <si>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</si>
  <si>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</si>
  <si>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</si>
  <si>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</si>
  <si>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</si>
  <si>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</si>
  <si>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</si>
  <si>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</si>
  <si>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</si>
  <si>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</si>
  <si>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</si>
  <si>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</si>
  <si>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</si>
  <si>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</si>
  <si>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</si>
  <si>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</si>
  <si>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</si>
  <si>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</si>
  <si>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</si>
  <si>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</si>
  <si>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</si>
  <si>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</si>
  <si>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</si>
  <si>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</si>
  <si>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</si>
  <si>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</si>
  <si>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</si>
  <si>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</si>
  <si>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</si>
  <si>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</si>
  <si>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</si>
  <si>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</si>
  <si>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</si>
  <si>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</si>
  <si>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</si>
  <si>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</si>
  <si>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</si>
  <si>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</si>
  <si>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</si>
  <si>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</si>
  <si>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</si>
  <si>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</si>
  <si>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</si>
  <si>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</si>
  <si>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</si>
  <si>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</si>
  <si>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</si>
  <si>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</si>
  <si>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</si>
  <si>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</si>
  <si>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</si>
  <si>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</si>
  <si>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</si>
  <si>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</si>
  <si>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</si>
  <si>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</si>
  <si>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</si>
  <si>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</si>
  <si>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</si>
  <si>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</si>
  <si>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</si>
  <si>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</si>
  <si>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</si>
  <si>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</si>
  <si>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</si>
  <si>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</si>
  <si>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</si>
  <si>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</si>
  <si>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</si>
  <si>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</si>
  <si>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</si>
  <si>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</si>
  <si>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</si>
  <si>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</si>
  <si>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</si>
  <si>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</si>
  <si>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</si>
  <si>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</si>
  <si>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</si>
  <si>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</si>
  <si>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</si>
  <si>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</si>
  <si>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</si>
  <si>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</si>
  <si>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</si>
  <si>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</si>
  <si>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</si>
  <si>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</si>
  <si>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</si>
  <si>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</si>
  <si>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</si>
  <si>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</si>
  <si>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</si>
  <si>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</si>
  <si>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</si>
  <si>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</si>
  <si>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</si>
  <si>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</si>
  <si>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</si>
  <si>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</si>
  <si>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</si>
  <si>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</si>
  <si>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</si>
  <si>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</si>
  <si>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</si>
  <si>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</si>
  <si>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</si>
  <si>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</si>
  <si>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</si>
  <si>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</si>
  <si>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</si>
  <si>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</si>
  <si>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</si>
  <si>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</si>
  <si>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</si>
  <si>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</si>
  <si>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</si>
  <si>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</si>
  <si>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</si>
  <si>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</si>
  <si>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</si>
  <si>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</si>
  <si>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</si>
  <si>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</si>
  <si>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</si>
  <si>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</si>
  <si>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</si>
  <si>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</si>
  <si>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</si>
  <si>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</si>
  <si>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</si>
  <si>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</si>
  <si>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</si>
  <si>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</si>
  <si>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</si>
  <si>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</si>
  <si>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</si>
  <si>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</si>
  <si>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</si>
  <si>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</si>
  <si>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</si>
  <si>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</si>
  <si>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</si>
  <si>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</si>
  <si>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</si>
  <si>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</si>
  <si>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</si>
  <si>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</si>
  <si>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</si>
  <si>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</si>
  <si>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</si>
  <si>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</si>
  <si>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</si>
  <si>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</si>
  <si>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</si>
  <si>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</si>
  <si>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</si>
  <si>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</si>
  <si>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</si>
  <si>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</si>
  <si>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</si>
  <si>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</si>
  <si>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</si>
  <si>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</si>
  <si>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</si>
  <si>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</si>
  <si>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</si>
  <si>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</si>
  <si>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</si>
  <si>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</si>
  <si>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</si>
  <si>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</si>
  <si>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</si>
  <si>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</si>
  <si>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</si>
  <si>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</si>
  <si>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</si>
  <si>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</si>
  <si>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</si>
  <si>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</si>
  <si>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</si>
  <si>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</si>
  <si>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</si>
  <si>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</si>
  <si>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</si>
  <si>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</si>
  <si>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</si>
  <si>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</si>
  <si>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</si>
  <si>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</si>
  <si>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</si>
  <si>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</si>
  <si>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</si>
  <si>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</si>
  <si>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</si>
  <si>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</si>
  <si>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</si>
  <si>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</si>
  <si>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</si>
  <si>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</si>
  <si>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</si>
  <si>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</si>
  <si>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</si>
  <si>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</si>
  <si>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</si>
  <si>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</si>
  <si>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</si>
  <si>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</si>
  <si>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</si>
  <si>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</si>
  <si>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</si>
  <si>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</si>
  <si>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</si>
  <si>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</si>
  <si>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</si>
  <si>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</si>
  <si>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</si>
  <si>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</si>
  <si>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</si>
  <si>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</si>
  <si>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</si>
  <si>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</si>
  <si>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</si>
  <si>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</si>
  <si>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</si>
  <si>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</si>
  <si>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</si>
  <si>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</si>
  <si>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</si>
  <si>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</si>
  <si>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</si>
  <si>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</si>
  <si>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</si>
  <si>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</si>
  <si>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</si>
  <si>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</si>
  <si>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</si>
  <si>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</si>
  <si>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</si>
  <si>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</si>
  <si>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</si>
  <si>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</si>
  <si>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</si>
  <si>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</si>
  <si>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</si>
  <si>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</si>
  <si>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</si>
  <si>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</si>
  <si>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</si>
  <si>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</si>
  <si>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</si>
  <si>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</si>
  <si>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</si>
  <si>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</si>
  <si>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</si>
  <si>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</si>
  <si>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</si>
  <si>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</si>
  <si>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</si>
  <si>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</si>
  <si>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</si>
  <si>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</si>
  <si>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</si>
  <si>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</si>
  <si>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</si>
  <si>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</si>
  <si>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</si>
  <si>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</si>
  <si>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</si>
  <si>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</si>
  <si>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</si>
  <si>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</si>
  <si>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</si>
  <si>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</si>
  <si>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</si>
  <si>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</si>
  <si>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</si>
  <si>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</si>
  <si>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</si>
  <si>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</si>
  <si>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</si>
  <si>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</si>
  <si>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</si>
  <si>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</si>
  <si>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</si>
  <si>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</si>
  <si>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</si>
  <si>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</si>
  <si>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</si>
  <si>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</si>
  <si>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</si>
  <si>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</si>
  <si>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</si>
  <si>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</si>
  <si>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</si>
  <si>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</si>
  <si>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</si>
  <si>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</si>
  <si>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</si>
  <si>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</si>
  <si>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</si>
  <si>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</si>
  <si>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</si>
  <si>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</si>
  <si>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</si>
  <si>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</si>
  <si>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</si>
  <si>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</si>
  <si>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</si>
  <si>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</si>
  <si>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</si>
  <si>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</si>
  <si>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</si>
  <si>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</si>
  <si>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</si>
  <si>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</si>
  <si>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</si>
  <si>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</si>
  <si>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</si>
  <si>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</si>
  <si>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</si>
  <si>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</si>
  <si>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</si>
  <si>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</si>
  <si>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</si>
  <si>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</si>
  <si>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</si>
  <si>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</si>
  <si>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</si>
  <si>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</si>
  <si>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</si>
  <si>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</si>
  <si>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</si>
  <si>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</si>
  <si>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</si>
  <si>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</si>
  <si>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</si>
  <si>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</si>
  <si>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</si>
  <si>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</si>
  <si>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</si>
  <si>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</si>
  <si>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</si>
  <si>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</si>
  <si>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</si>
  <si>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</si>
  <si>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</si>
  <si>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</si>
  <si>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</si>
  <si>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</si>
  <si>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</si>
  <si>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</si>
  <si>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</si>
  <si>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</si>
  <si>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</si>
  <si>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</si>
  <si>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</si>
  <si>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</si>
  <si>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</si>
  <si>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</si>
  <si>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</si>
  <si>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</si>
  <si>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</si>
  <si>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</si>
  <si>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</si>
  <si>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</si>
  <si>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</si>
  <si>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</si>
  <si>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</si>
  <si>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</si>
  <si>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</si>
  <si>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</si>
  <si>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</si>
  <si>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</si>
  <si>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</si>
  <si>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</si>
  <si>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</si>
  <si>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</si>
  <si>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</si>
  <si>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</si>
  <si>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</si>
  <si>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</si>
  <si>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</si>
  <si>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</si>
  <si>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</si>
  <si>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</si>
  <si>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</si>
  <si>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</si>
  <si>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</si>
  <si>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</si>
  <si>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</si>
  <si>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</si>
  <si>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</si>
  <si>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</si>
  <si>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</si>
  <si>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</si>
  <si>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</si>
  <si>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</si>
  <si>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</si>
  <si>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</si>
  <si>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</si>
  <si>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</si>
  <si>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</si>
  <si>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</si>
  <si>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</si>
  <si>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</si>
  <si>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</si>
  <si>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</si>
  <si>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</si>
  <si>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</si>
  <si>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</si>
  <si>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</si>
  <si>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</si>
  <si>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</si>
  <si>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</si>
  <si>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</si>
  <si>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</si>
  <si>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</si>
  <si>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</si>
  <si>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</si>
  <si>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</si>
  <si>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</si>
  <si>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</si>
  <si>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</si>
  <si>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</si>
  <si>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</si>
  <si>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</si>
  <si>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</si>
  <si>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</si>
  <si>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</si>
  <si>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</si>
  <si>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</si>
  <si>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</si>
  <si>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</si>
  <si>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</si>
  <si>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</si>
  <si>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</si>
  <si>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</si>
  <si>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</si>
  <si>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</si>
  <si>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</si>
  <si>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</si>
  <si>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</si>
  <si>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</si>
  <si>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</si>
  <si>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</si>
  <si>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</si>
  <si>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</si>
  <si>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</si>
  <si>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</si>
  <si>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</si>
  <si>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</si>
  <si>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</si>
  <si>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</si>
  <si>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</si>
  <si>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</si>
  <si>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</si>
  <si>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</si>
  <si>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</si>
  <si>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</si>
  <si>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</si>
  <si>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</si>
  <si>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</si>
  <si>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</si>
  <si>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</si>
  <si>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</si>
  <si>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</si>
  <si>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</si>
  <si>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</si>
  <si>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</si>
  <si>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</si>
  <si>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</si>
  <si>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</si>
  <si>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</si>
  <si>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</si>
  <si>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</si>
  <si>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</si>
  <si>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</si>
  <si>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</si>
  <si>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</si>
  <si>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</si>
  <si>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</si>
  <si>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</si>
  <si>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</si>
  <si>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</si>
  <si>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</si>
  <si>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</si>
  <si>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</si>
  <si>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</si>
  <si>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</si>
  <si>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</si>
  <si>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</si>
  <si>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</si>
  <si>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</si>
  <si>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</si>
  <si>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</si>
  <si>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</si>
  <si>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</si>
  <si>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</si>
  <si>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</si>
  <si>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</si>
  <si>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</si>
  <si>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</si>
  <si>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</si>
  <si>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</si>
  <si>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</si>
  <si>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</si>
  <si>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</si>
  <si>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</si>
  <si>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</si>
  <si>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</si>
  <si>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</si>
  <si>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</si>
  <si>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</si>
  <si>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</si>
  <si>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</si>
  <si>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</si>
  <si>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</si>
  <si>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</si>
  <si>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</si>
  <si>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</si>
  <si>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</si>
  <si>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</si>
  <si>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</si>
  <si>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</si>
  <si>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</si>
  <si>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</si>
  <si>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</si>
  <si>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</si>
  <si>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</si>
  <si>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</si>
  <si>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</si>
  <si>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</si>
  <si>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</si>
  <si>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</si>
  <si>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</si>
  <si>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</si>
  <si>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</si>
  <si>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</si>
  <si>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</si>
  <si>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</si>
  <si>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</si>
  <si>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</si>
  <si>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</si>
  <si>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</si>
  <si>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</si>
  <si>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</si>
  <si>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</si>
  <si>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</si>
  <si>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</si>
  <si>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</si>
  <si>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</si>
  <si>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</si>
  <si>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</si>
  <si>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</si>
  <si>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</si>
  <si>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</si>
  <si>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</si>
  <si>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</si>
  <si>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</si>
  <si>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</si>
  <si>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</si>
  <si>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</si>
  <si>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</si>
  <si>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</si>
  <si>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</si>
  <si>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</si>
  <si>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</si>
  <si>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</si>
  <si>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</si>
  <si>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</si>
  <si>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</si>
  <si>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</si>
  <si>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</si>
  <si>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</si>
  <si>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</si>
  <si>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</si>
  <si>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</si>
  <si>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</si>
  <si>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</si>
  <si>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</si>
  <si>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</si>
  <si>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</si>
  <si>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</si>
  <si>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</si>
  <si>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</si>
  <si>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</si>
  <si>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</si>
  <si>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</si>
  <si>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</si>
  <si>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</si>
  <si>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</si>
  <si>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</si>
  <si>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</si>
  <si>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</si>
  <si>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</si>
  <si>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</si>
  <si>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</si>
  <si>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</si>
  <si>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</si>
  <si>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</si>
  <si>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</si>
  <si>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</si>
  <si>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</si>
  <si>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</si>
  <si>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</si>
  <si>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</si>
  <si>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</si>
  <si>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</si>
  <si>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</si>
  <si>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</si>
  <si>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</si>
  <si>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</si>
  <si>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</si>
  <si>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</si>
  <si>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</si>
  <si>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</si>
  <si>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</si>
  <si>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</si>
  <si>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</si>
  <si>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</si>
  <si>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</si>
  <si>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</si>
  <si>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</si>
  <si>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</si>
  <si>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</si>
  <si>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</si>
  <si>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</si>
  <si>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</si>
  <si>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</si>
  <si>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</si>
  <si>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</si>
  <si>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</si>
  <si>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</si>
  <si>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</si>
  <si>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</si>
  <si>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</si>
  <si>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</si>
  <si>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</si>
  <si>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</si>
  <si>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</si>
  <si>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</si>
  <si>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</si>
  <si>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</si>
  <si>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</si>
  <si>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</si>
  <si>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</si>
  <si>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</si>
  <si>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</si>
  <si>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</si>
  <si>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</si>
  <si>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</si>
  <si>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</si>
  <si>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</si>
  <si>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</si>
  <si>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</si>
  <si>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</si>
  <si>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</si>
  <si>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</si>
  <si>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</si>
  <si>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</si>
  <si>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</si>
  <si>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</si>
  <si>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</si>
  <si>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</si>
  <si>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</si>
  <si>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</si>
  <si>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</si>
  <si>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</si>
  <si>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</si>
  <si>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</si>
  <si>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</si>
  <si>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</si>
  <si>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</si>
  <si>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</si>
  <si>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</si>
  <si>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</si>
  <si>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</si>
  <si>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</si>
  <si>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</si>
  <si>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</si>
  <si>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</si>
  <si>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</si>
  <si>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</si>
  <si>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</si>
  <si>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</si>
  <si>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</si>
  <si>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</si>
  <si>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</si>
  <si>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</si>
  <si>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</si>
  <si>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</si>
  <si>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</si>
  <si>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</si>
  <si>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</si>
  <si>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</si>
  <si>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</si>
  <si>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</si>
  <si>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</si>
  <si>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</si>
  <si>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</si>
  <si>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</si>
  <si>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</si>
  <si>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</si>
  <si>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</si>
  <si>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</si>
  <si>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</si>
  <si>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</si>
  <si>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</si>
  <si>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</si>
  <si>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</si>
  <si>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</si>
  <si>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</si>
  <si>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</si>
  <si>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</si>
  <si>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</si>
  <si>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</si>
  <si>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</si>
  <si>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</si>
  <si>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</si>
  <si>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</si>
  <si>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</si>
  <si>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</si>
  <si>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</si>
  <si>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</si>
  <si>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</si>
  <si>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</si>
  <si>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</si>
  <si>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</si>
  <si>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</si>
  <si>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</si>
  <si>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</si>
  <si>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</si>
  <si>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</si>
  <si>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</si>
  <si>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</si>
  <si>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</si>
  <si>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</si>
  <si>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</si>
  <si>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</si>
  <si>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</si>
  <si>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</si>
  <si>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</si>
  <si>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</si>
  <si>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</si>
  <si>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</si>
  <si>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</si>
  <si>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</si>
  <si>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</si>
  <si>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</si>
  <si>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</si>
  <si>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</si>
  <si>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</si>
  <si>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</si>
  <si>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</si>
  <si>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</si>
  <si>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</si>
  <si>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</si>
  <si>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</si>
  <si>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</si>
  <si>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</si>
  <si>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</si>
  <si>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</si>
  <si>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</si>
  <si>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</si>
  <si>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</si>
  <si>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</si>
  <si>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</si>
  <si>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</si>
  <si>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</si>
  <si>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</si>
  <si>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</si>
  <si>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</si>
  <si>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</si>
  <si>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</si>
  <si>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</si>
  <si>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</si>
  <si>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</si>
  <si>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</si>
  <si>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</si>
  <si>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</si>
  <si>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</si>
  <si>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</si>
  <si>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</si>
  <si>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</si>
  <si>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</si>
  <si>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</si>
  <si>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</si>
  <si>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</si>
  <si>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</si>
  <si>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</si>
  <si>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</si>
  <si>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</si>
  <si>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</si>
  <si>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</si>
  <si>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</si>
  <si>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</si>
  <si>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</si>
  <si>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</si>
  <si>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</si>
  <si>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</si>
  <si>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</si>
  <si>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</si>
  <si>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</si>
  <si>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</si>
  <si>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</si>
  <si>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</si>
  <si>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</si>
  <si>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</si>
  <si>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</si>
  <si>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</si>
  <si>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</si>
  <si>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</si>
  <si>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</si>
  <si>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</si>
  <si>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</si>
  <si>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</si>
  <si>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</si>
  <si>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</si>
  <si>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</si>
  <si>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</si>
  <si>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</si>
  <si>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</si>
  <si>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</si>
  <si>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</si>
  <si>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</si>
  <si>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</si>
  <si>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</si>
  <si>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</si>
  <si>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</si>
  <si>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</si>
  <si>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</si>
  <si>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</si>
  <si>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</si>
  <si>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</si>
  <si>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</si>
  <si>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</si>
  <si>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</si>
  <si>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</si>
  <si>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</si>
  <si>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</si>
  <si>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</si>
  <si>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</si>
  <si>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</si>
  <si>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</si>
  <si>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</si>
  <si>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</si>
  <si>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</si>
  <si>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</si>
  <si>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</si>
  <si>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</si>
  <si>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</si>
  <si>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</si>
  <si>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</si>
  <si>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</si>
  <si>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</si>
  <si>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</si>
  <si>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</si>
  <si>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</si>
  <si>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</si>
  <si>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</si>
  <si>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</si>
  <si>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</si>
  <si>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</si>
  <si>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</si>
  <si>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</si>
  <si>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</si>
  <si>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</si>
  <si>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</si>
  <si>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</si>
  <si>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</si>
  <si>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</si>
  <si>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</si>
  <si>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</si>
  <si>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</si>
  <si>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</si>
  <si>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</si>
  <si>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</si>
  <si>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</si>
  <si>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</si>
  <si>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</si>
  <si>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</si>
  <si>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</si>
  <si>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</si>
  <si>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</si>
  <si>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</si>
  <si>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</si>
  <si>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</si>
  <si>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</si>
  <si>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</si>
  <si>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</si>
  <si>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</si>
  <si>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</si>
  <si>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</si>
  <si>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</si>
  <si>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</si>
  <si>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</si>
  <si>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</si>
  <si>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</si>
  <si>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</si>
  <si>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</si>
  <si>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</si>
  <si>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</si>
  <si>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</si>
  <si>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</si>
  <si>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</si>
  <si>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</si>
  <si>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</si>
  <si>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</si>
  <si>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</si>
  <si>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</si>
  <si>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</si>
  <si>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</si>
  <si>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</si>
  <si>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</si>
  <si>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</si>
  <si>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</si>
  <si>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</si>
  <si>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</si>
  <si>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</si>
  <si>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</si>
  <si>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</si>
  <si>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</si>
  <si>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</si>
  <si>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</si>
  <si>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</si>
  <si>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</si>
  <si>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</si>
  <si>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</si>
  <si>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</si>
  <si>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</si>
  <si>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</si>
  <si>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</si>
  <si>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</si>
  <si>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</si>
  <si>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</si>
  <si>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</si>
  <si>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</si>
  <si>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</si>
  <si>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</si>
  <si>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</si>
  <si>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</si>
  <si>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</si>
  <si>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</si>
  <si>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</si>
  <si>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</si>
  <si>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</si>
  <si>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</si>
  <si>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</si>
  <si>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</si>
  <si>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</si>
  <si>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</si>
  <si>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</si>
  <si>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</si>
  <si>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</si>
  <si>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</si>
  <si>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</si>
  <si>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</si>
  <si>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</si>
  <si>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</si>
  <si>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</si>
  <si>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</si>
  <si>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</si>
  <si>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</si>
  <si>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</si>
  <si>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</si>
  <si>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</si>
  <si>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</si>
  <si>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</si>
  <si>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</si>
  <si>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</si>
  <si>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</si>
  <si>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</si>
  <si>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</si>
  <si>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</si>
  <si>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</si>
  <si>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</si>
  <si>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</si>
  <si>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</si>
  <si>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</si>
  <si>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</si>
  <si>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</si>
  <si>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</si>
  <si>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</si>
  <si>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</si>
  <si>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</si>
  <si>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</si>
  <si>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</si>
  <si>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</si>
  <si>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</si>
  <si>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</si>
  <si>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</si>
  <si>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</si>
  <si>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</si>
  <si>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</si>
  <si>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</si>
  <si>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</si>
  <si>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</si>
  <si>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</si>
  <si>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</si>
  <si>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</si>
  <si>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</si>
  <si>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</si>
  <si>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</si>
  <si>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</si>
  <si>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</si>
  <si>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</si>
  <si>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</si>
  <si>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</si>
  <si>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</si>
  <si>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</si>
  <si>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</si>
  <si>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</si>
  <si>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</si>
  <si>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</si>
  <si>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</si>
  <si>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</si>
  <si>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</si>
  <si>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</si>
  <si>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</si>
  <si>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</si>
  <si>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</si>
  <si>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</si>
  <si>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</si>
  <si>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</si>
  <si>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</si>
  <si>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</si>
  <si>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</si>
  <si>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</si>
  <si>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</si>
  <si>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</si>
  <si>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</si>
  <si>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</si>
  <si>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</si>
  <si>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</si>
  <si>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</si>
  <si>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</si>
  <si>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</si>
  <si>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</si>
  <si>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</si>
  <si>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</si>
  <si>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</si>
  <si>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</si>
  <si>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</si>
  <si>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</si>
  <si>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</si>
  <si>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</si>
  <si>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</si>
  <si>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</si>
  <si>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</si>
  <si>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</si>
  <si>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</si>
  <si>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</si>
  <si>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</si>
  <si>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</si>
  <si>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</si>
  <si>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</si>
  <si>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</si>
  <si>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</si>
  <si>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</si>
  <si>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</si>
  <si>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</si>
  <si>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</si>
  <si>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</si>
  <si>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</si>
  <si>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</si>
  <si>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</si>
  <si>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</si>
  <si>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</si>
  <si>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</si>
  <si>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</si>
  <si>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</si>
  <si>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</si>
  <si>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</si>
  <si>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</si>
  <si>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</si>
  <si>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</si>
  <si>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</si>
  <si>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</si>
  <si>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</si>
  <si>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</si>
  <si>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</si>
  <si>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</si>
  <si>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</si>
  <si>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</si>
  <si>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</si>
  <si>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</si>
  <si>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</si>
  <si>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</si>
  <si>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</si>
  <si>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</si>
  <si>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</si>
  <si>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</si>
  <si>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</si>
  <si>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</si>
  <si>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</si>
  <si>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</si>
  <si>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</si>
  <si>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</si>
  <si>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</si>
  <si>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</si>
  <si>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</si>
  <si>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</si>
  <si>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</si>
  <si>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</si>
  <si>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</si>
  <si>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</si>
  <si>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</si>
  <si>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</si>
  <si>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</si>
  <si>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</si>
  <si>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</si>
  <si>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</si>
  <si>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</si>
  <si>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</si>
  <si>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</si>
  <si>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</si>
  <si>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</si>
  <si>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</si>
  <si>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</si>
  <si>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</si>
  <si>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</si>
  <si>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</si>
  <si>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</si>
  <si>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</si>
  <si>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</si>
  <si>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</si>
  <si>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</si>
  <si>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</si>
  <si>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</si>
  <si>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</si>
  <si>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</si>
  <si>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</si>
  <si>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</si>
  <si>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</si>
  <si>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</si>
  <si>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</si>
  <si>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</si>
  <si>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</si>
  <si>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</si>
  <si>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</si>
  <si>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</si>
  <si>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</si>
  <si>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</si>
  <si>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</si>
  <si>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</si>
  <si>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</si>
  <si>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</si>
  <si>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</si>
  <si>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</si>
  <si>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</si>
  <si>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</si>
  <si>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</si>
  <si>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</si>
  <si>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</si>
  <si>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</si>
  <si>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</si>
  <si>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</si>
  <si>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</si>
  <si>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</si>
  <si>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</si>
  <si>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</si>
  <si>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</si>
  <si>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</si>
  <si>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</si>
  <si>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</si>
  <si>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</si>
  <si>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</si>
  <si>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</si>
  <si>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</si>
  <si>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</si>
  <si>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</si>
  <si>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</si>
  <si>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</si>
  <si>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</si>
  <si>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</si>
  <si>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</si>
  <si>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</si>
  <si>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</si>
  <si>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</si>
  <si>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</si>
  <si>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</si>
  <si>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</si>
  <si>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</si>
  <si>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</si>
  <si>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</si>
  <si>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</si>
  <si>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</si>
  <si>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</si>
  <si>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</si>
  <si>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</si>
  <si>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</si>
  <si>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</si>
  <si>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</si>
  <si>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</si>
  <si>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</si>
  <si>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</si>
  <si>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</si>
  <si>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</si>
  <si>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</si>
  <si>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</si>
  <si>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</si>
  <si>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</si>
  <si>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</si>
  <si>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</si>
  <si>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</si>
  <si>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</si>
  <si>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</si>
  <si>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</si>
  <si>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</si>
  <si>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</si>
  <si>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</si>
  <si>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</si>
  <si>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</si>
  <si>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</si>
  <si>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</si>
  <si>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</si>
  <si>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</si>
  <si>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</si>
  <si>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</si>
  <si>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</si>
  <si>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</si>
  <si>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</si>
  <si>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</si>
  <si>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</si>
  <si>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</si>
  <si>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</si>
  <si>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</si>
  <si>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</si>
  <si>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</si>
  <si>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</si>
  <si>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</si>
  <si>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</si>
  <si>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</si>
  <si>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</si>
  <si>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</si>
  <si>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</si>
  <si>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</si>
  <si>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</si>
  <si>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</si>
  <si>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</si>
  <si>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</si>
  <si>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</si>
  <si>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</si>
  <si>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</si>
  <si>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</si>
  <si>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</si>
  <si>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</si>
  <si>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</si>
  <si>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</si>
  <si>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</si>
  <si>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</si>
  <si>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</si>
  <si>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</si>
  <si>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</si>
  <si>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</si>
  <si>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</si>
  <si>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</si>
  <si>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</si>
  <si>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</si>
  <si>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</si>
  <si>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</si>
  <si>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</si>
  <si>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</si>
  <si>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</si>
  <si>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</si>
  <si>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</si>
  <si>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</si>
  <si>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</si>
  <si>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</si>
  <si>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</si>
  <si>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</si>
  <si>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</si>
  <si>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</si>
  <si>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</si>
  <si>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</si>
  <si>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</si>
  <si>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</si>
  <si>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</si>
  <si>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</si>
  <si>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</si>
  <si>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</si>
  <si>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</si>
  <si>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</si>
  <si>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</si>
  <si>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</si>
  <si>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</si>
  <si>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</si>
  <si>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</si>
  <si>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</si>
  <si>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</si>
  <si>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</si>
  <si>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</si>
  <si>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</si>
  <si>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</si>
  <si>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</si>
  <si>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</si>
  <si>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</si>
  <si>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</si>
  <si>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</si>
  <si>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</si>
  <si>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</si>
  <si>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</si>
  <si>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</si>
  <si>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</si>
  <si>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</si>
  <si>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</si>
  <si>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</si>
  <si>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</si>
  <si>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</si>
  <si>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</si>
  <si>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</si>
  <si>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</si>
  <si>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</si>
  <si>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</si>
  <si>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</si>
  <si>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</si>
  <si>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</si>
  <si>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</si>
  <si>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</si>
  <si>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</si>
  <si>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</si>
  <si>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</si>
  <si>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</si>
  <si>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</si>
  <si>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</si>
  <si>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</si>
  <si>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</si>
  <si>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</si>
  <si>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</si>
  <si>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</si>
  <si>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</si>
  <si>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</si>
  <si>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</si>
  <si>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</si>
  <si>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</si>
  <si>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</si>
  <si>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</si>
  <si>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</si>
  <si>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</si>
  <si>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</si>
  <si>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</si>
  <si>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</si>
  <si>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</si>
  <si>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</si>
  <si>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</si>
  <si>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</si>
  <si>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</si>
  <si>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</si>
  <si>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</si>
  <si>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</si>
  <si>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</si>
  <si>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</si>
  <si>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</si>
  <si>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</si>
  <si>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</si>
  <si>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</si>
  <si>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</si>
  <si>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</si>
  <si>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</si>
  <si>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</si>
  <si>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</si>
  <si>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</si>
  <si>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</si>
  <si>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</si>
  <si>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</si>
  <si>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</si>
  <si>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</si>
  <si>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</si>
  <si>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</si>
  <si>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</si>
  <si>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</si>
  <si>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</si>
  <si>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</si>
  <si>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</si>
  <si>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</si>
  <si>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</si>
  <si>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</si>
  <si>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</si>
  <si>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</si>
  <si>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</si>
  <si>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</si>
  <si>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</si>
  <si>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</si>
  <si>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</si>
  <si>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</si>
  <si>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</si>
  <si>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</si>
  <si>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</si>
  <si>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</si>
  <si>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</si>
  <si>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</si>
  <si>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</si>
  <si>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</si>
  <si>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</si>
  <si>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</si>
  <si>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</si>
  <si>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</si>
  <si>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</si>
  <si>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</si>
  <si>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</si>
  <si>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</si>
  <si>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</si>
  <si>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</si>
  <si>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</si>
  <si>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</si>
  <si>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</si>
  <si>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</si>
  <si>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</si>
  <si>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</si>
  <si>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</si>
  <si>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</si>
  <si>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</si>
  <si>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</si>
  <si>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</si>
  <si>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</si>
  <si>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</si>
  <si>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</si>
  <si>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</si>
  <si>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</si>
  <si>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</si>
  <si>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</si>
  <si>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</si>
  <si>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</si>
  <si>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</si>
  <si>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</si>
  <si>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</si>
  <si>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</si>
  <si>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</si>
  <si>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</si>
  <si>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</si>
  <si>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</si>
  <si>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</si>
  <si>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</si>
  <si>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</si>
  <si>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</si>
  <si>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</si>
  <si>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</si>
  <si>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</si>
  <si>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</si>
  <si>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</si>
  <si>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</si>
  <si>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</si>
  <si>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</si>
  <si>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</si>
  <si>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</si>
  <si>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</si>
  <si>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</si>
  <si>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</si>
  <si>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</si>
  <si>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</si>
  <si>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</si>
  <si>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</si>
  <si>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</si>
  <si>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</si>
  <si>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</si>
  <si>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</si>
  <si>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</si>
  <si>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</si>
  <si>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</si>
  <si>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</si>
  <si>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</si>
  <si>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</si>
  <si>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</si>
  <si>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</si>
  <si>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</si>
  <si>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</si>
  <si>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</si>
  <si>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</si>
  <si>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</si>
  <si>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</si>
  <si>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</si>
  <si>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</si>
  <si>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</si>
  <si>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</si>
  <si>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</si>
  <si>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</si>
  <si>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</si>
  <si>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</si>
  <si>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</si>
  <si>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</si>
  <si>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</si>
  <si>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</si>
  <si>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</si>
  <si>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</si>
  <si>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</si>
  <si>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</si>
  <si>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</si>
  <si>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</si>
  <si>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</si>
  <si>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</si>
  <si>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</si>
  <si>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</si>
  <si>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</si>
  <si>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</si>
  <si>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</si>
  <si>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</si>
  <si>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</si>
  <si>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</si>
  <si>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</si>
  <si>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</si>
  <si>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</si>
  <si>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</si>
  <si>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</si>
  <si>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</si>
  <si>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</si>
  <si>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</si>
  <si>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</si>
  <si>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</si>
  <si>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</si>
  <si>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</si>
  <si>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</si>
  <si>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</si>
  <si>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</si>
  <si>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</si>
  <si>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</si>
  <si>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</si>
  <si>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</si>
  <si>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</si>
  <si>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</si>
  <si>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</si>
  <si>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</si>
  <si>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</si>
  <si>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</si>
  <si>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</si>
  <si>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</si>
  <si>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</si>
  <si>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</si>
  <si>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</si>
  <si>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</si>
  <si>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</si>
  <si>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</si>
  <si>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</si>
  <si>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</si>
  <si>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</si>
  <si>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</si>
  <si>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</si>
  <si>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</si>
  <si>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</si>
  <si>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</si>
  <si>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</si>
  <si>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</si>
  <si>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</si>
  <si>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</si>
  <si>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</si>
  <si>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</si>
  <si>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</si>
  <si>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</si>
  <si>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</si>
  <si>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</si>
  <si>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</si>
  <si>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</si>
  <si>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</si>
  <si>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</si>
  <si>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</si>
  <si>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</si>
  <si>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</si>
  <si>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</si>
  <si>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</si>
  <si>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</si>
  <si>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</si>
  <si>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</si>
  <si>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</si>
  <si>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</si>
  <si>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</si>
  <si>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</si>
  <si>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</si>
  <si>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</si>
  <si>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</si>
  <si>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</si>
  <si>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</si>
  <si>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</si>
  <si>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</si>
  <si>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</si>
  <si>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</si>
  <si>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</si>
  <si>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</si>
  <si>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</si>
  <si>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</si>
  <si>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</si>
  <si>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</si>
  <si>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</si>
  <si>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</si>
  <si>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</si>
  <si>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</si>
  <si>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</si>
  <si>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</si>
  <si>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</si>
  <si>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</si>
  <si>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</si>
  <si>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</si>
  <si>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</si>
  <si>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</si>
  <si>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</si>
  <si>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</si>
  <si>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</si>
  <si>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</si>
  <si>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</si>
  <si>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</si>
  <si>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</si>
  <si>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</si>
  <si>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</si>
  <si>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</si>
  <si>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</si>
  <si>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</si>
  <si>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</si>
  <si>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</si>
  <si>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</si>
  <si>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</si>
  <si>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</si>
  <si>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</si>
  <si>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</si>
  <si>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</si>
  <si>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</si>
  <si>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</si>
  <si>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</si>
  <si>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</si>
  <si>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</si>
  <si>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</si>
  <si>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</si>
  <si>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</si>
  <si>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</si>
  <si>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</si>
  <si>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</si>
  <si>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</si>
  <si>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</si>
  <si>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</si>
  <si>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</si>
  <si>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</si>
  <si>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</si>
  <si>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</si>
  <si>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</si>
  <si>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</si>
  <si>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</si>
  <si>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</si>
  <si>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</si>
  <si>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</si>
  <si>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</si>
  <si>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</si>
  <si>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</si>
  <si>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</si>
  <si>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</si>
  <si>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</si>
  <si>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</si>
  <si>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</si>
  <si>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</si>
  <si>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</si>
  <si>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</si>
  <si>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</si>
  <si>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</si>
  <si>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</si>
  <si>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</si>
  <si>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</si>
  <si>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</si>
  <si>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</si>
  <si>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</si>
  <si>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</si>
  <si>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</si>
  <si>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</si>
  <si>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</si>
  <si>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</si>
  <si>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</si>
  <si>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</si>
  <si>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</si>
  <si>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</si>
  <si>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</si>
  <si>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</si>
  <si>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</si>
  <si>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</si>
  <si>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</si>
  <si>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</si>
  <si>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</si>
  <si>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</si>
  <si>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</si>
  <si>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</si>
  <si>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</si>
  <si>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</si>
  <si>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</si>
  <si>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</si>
  <si>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</si>
  <si>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</si>
  <si>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</si>
  <si>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</si>
  <si>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</si>
  <si>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</si>
  <si>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</si>
  <si>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</si>
  <si>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</si>
  <si>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</si>
  <si>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</si>
  <si>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</si>
  <si>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</si>
  <si>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</si>
  <si>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</si>
  <si>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</si>
  <si>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</si>
  <si>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</si>
  <si>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</si>
  <si>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</si>
  <si>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</si>
  <si>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</si>
  <si>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</si>
  <si>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</si>
  <si>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</si>
  <si>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</si>
  <si>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</si>
  <si>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</si>
  <si>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</si>
  <si>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</si>
  <si>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</si>
  <si>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</si>
  <si>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</si>
  <si>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</si>
  <si>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</si>
  <si>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</si>
  <si>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</si>
  <si>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</si>
  <si>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</si>
  <si>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</si>
  <si>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</si>
  <si>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</si>
  <si>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</si>
  <si>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</si>
  <si>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</si>
  <si>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</si>
  <si>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</si>
  <si>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</si>
  <si>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</si>
  <si>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</si>
  <si>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</si>
  <si>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</si>
  <si>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</si>
  <si>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</si>
  <si>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</si>
  <si>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</si>
  <si>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</si>
  <si>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</si>
  <si>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</si>
  <si>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</si>
  <si>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</si>
  <si>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</si>
  <si>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</si>
  <si>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</si>
  <si>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</si>
  <si>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</si>
  <si>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</si>
  <si>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</si>
  <si>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</si>
  <si>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</si>
  <si>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</si>
  <si>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</si>
  <si>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</si>
  <si>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</si>
  <si>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</si>
  <si>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</si>
  <si>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</si>
  <si>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</si>
  <si>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</si>
  <si>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</si>
  <si>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</si>
  <si>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</si>
  <si>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</si>
  <si>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</si>
  <si>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</si>
  <si>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</si>
  <si>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</si>
  <si>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</si>
  <si>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</si>
  <si>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</si>
  <si>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</si>
  <si>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</si>
  <si>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</si>
  <si>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</si>
  <si>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</si>
  <si>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</si>
  <si>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</si>
  <si>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</si>
  <si>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</si>
  <si>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</si>
  <si>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</si>
  <si>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</si>
  <si>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</si>
  <si>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</si>
  <si>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</si>
  <si>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</si>
  <si>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</si>
  <si>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</si>
  <si>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</si>
  <si>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</si>
  <si>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</si>
  <si>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</si>
  <si>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</si>
  <si>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</si>
  <si>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</si>
  <si>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</si>
  <si>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</si>
  <si>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</si>
  <si>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</si>
  <si>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</si>
  <si>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</si>
  <si>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</si>
  <si>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</si>
  <si>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</si>
  <si>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</si>
  <si>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</si>
  <si>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</si>
  <si>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</si>
  <si>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</si>
  <si>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</si>
  <si>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</si>
  <si>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</si>
  <si>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</si>
  <si>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</si>
  <si>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</si>
  <si>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</si>
  <si>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</si>
  <si>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</si>
  <si>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</si>
  <si>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</si>
  <si>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</si>
  <si>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</si>
  <si>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</si>
  <si>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</si>
  <si>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</si>
  <si>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</si>
  <si>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</si>
  <si>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</si>
  <si>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</si>
  <si>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</si>
  <si>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</si>
  <si>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</si>
  <si>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</si>
  <si>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</si>
  <si>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</si>
  <si>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</si>
  <si>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</si>
  <si>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</si>
  <si>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</si>
  <si>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</si>
  <si>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</si>
  <si>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</si>
  <si>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</si>
  <si>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</si>
  <si>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</si>
  <si>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</si>
  <si>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</si>
  <si>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</si>
  <si>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</si>
  <si>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</si>
  <si>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</si>
  <si>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</si>
  <si>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</si>
  <si>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</si>
  <si>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</si>
  <si>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</si>
  <si>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</si>
  <si>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</si>
  <si>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</si>
  <si>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</si>
  <si>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</si>
  <si>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</si>
  <si>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</si>
  <si>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</si>
  <si>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</si>
  <si>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</si>
  <si>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</si>
  <si>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</si>
  <si>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</si>
  <si>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</si>
  <si>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</si>
  <si>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</si>
  <si>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</si>
  <si>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</si>
  <si>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</si>
  <si>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</si>
  <si>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</si>
  <si>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</si>
  <si>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</si>
  <si>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</si>
  <si>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</si>
  <si>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</si>
  <si>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</si>
  <si>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</si>
  <si>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</si>
  <si>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</si>
  <si>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</si>
  <si>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</si>
  <si>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</si>
  <si>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</si>
  <si>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</si>
  <si>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</si>
  <si>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</si>
  <si>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</si>
  <si>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</si>
  <si>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</si>
  <si>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</si>
  <si>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</si>
  <si>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</si>
  <si>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</si>
  <si>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</si>
  <si>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</si>
  <si>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</si>
  <si>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</si>
  <si>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</si>
  <si>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</si>
  <si>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</si>
  <si>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</si>
  <si>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</si>
  <si>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</si>
  <si>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</si>
  <si>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</si>
  <si>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</si>
  <si>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</si>
  <si>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</si>
  <si>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</si>
  <si>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</si>
  <si>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</si>
  <si>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</si>
  <si>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</si>
  <si>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</si>
  <si>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</si>
  <si>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</si>
  <si>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</si>
  <si>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</si>
  <si>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</si>
  <si>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</si>
  <si>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</si>
  <si>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</si>
  <si>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</si>
  <si>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</si>
  <si>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</si>
  <si>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</si>
  <si>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</si>
  <si>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</si>
  <si>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</si>
  <si>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</si>
  <si>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</si>
  <si>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</si>
  <si>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</si>
  <si>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</si>
  <si>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</si>
  <si>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</si>
  <si>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</si>
  <si>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</si>
  <si>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</si>
  <si>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</si>
  <si>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</si>
  <si>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</si>
  <si>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</si>
  <si>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</si>
  <si>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</si>
  <si>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</si>
  <si>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</si>
  <si>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</si>
  <si>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</si>
  <si>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</si>
  <si>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</si>
  <si>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</si>
  <si>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</si>
  <si>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</si>
  <si>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</si>
  <si>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</si>
  <si>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</si>
  <si>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</si>
  <si>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</si>
  <si>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</si>
  <si>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</si>
  <si>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</si>
  <si>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</si>
  <si>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</si>
  <si>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</si>
  <si>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</si>
  <si>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</si>
  <si>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</si>
  <si>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</si>
  <si>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</si>
  <si>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</si>
  <si>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</si>
  <si>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</si>
  <si>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</si>
  <si>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</si>
  <si>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</si>
  <si>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</si>
  <si>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</si>
  <si>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</si>
  <si>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</si>
  <si>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</si>
  <si>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</si>
  <si>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</si>
  <si>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</si>
  <si>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</si>
  <si>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</si>
  <si>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</si>
  <si>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</si>
  <si>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</si>
  <si>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</si>
  <si>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</si>
  <si>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</si>
  <si>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</si>
  <si>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</si>
  <si>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</si>
  <si>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</si>
  <si>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</si>
  <si>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</si>
  <si>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</si>
  <si>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</si>
  <si>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</si>
  <si>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</si>
  <si>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</si>
  <si>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</si>
  <si>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</si>
  <si>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</si>
  <si>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</si>
  <si>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</si>
  <si>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</si>
  <si>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</si>
  <si>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</si>
  <si>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</si>
  <si>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</si>
  <si>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</si>
  <si>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</si>
  <si>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</si>
  <si>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</si>
  <si>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</si>
  <si>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</si>
  <si>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</si>
  <si>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</si>
  <si>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</si>
  <si>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</si>
  <si>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</si>
  <si>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</si>
  <si>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</si>
  <si>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</si>
  <si>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</si>
  <si>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</si>
  <si>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</si>
  <si>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</si>
  <si>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</si>
  <si>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</si>
  <si>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</si>
  <si>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</si>
  <si>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</si>
  <si>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</si>
  <si>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</si>
  <si>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</si>
  <si>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</si>
  <si>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</si>
  <si>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</si>
  <si>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</si>
  <si>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</si>
  <si>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</si>
  <si>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</si>
  <si>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</si>
  <si>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</si>
  <si>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</si>
  <si>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</si>
  <si>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</si>
  <si>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</si>
  <si>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</si>
  <si>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</si>
  <si>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</si>
  <si>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</si>
  <si>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</si>
  <si>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</si>
  <si>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</si>
  <si>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</si>
  <si>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</si>
  <si>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</si>
  <si>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</si>
  <si>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</si>
  <si>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</si>
  <si>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</si>
  <si>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</si>
  <si>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</si>
  <si>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</si>
  <si>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</si>
  <si>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</si>
  <si>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</si>
  <si>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</si>
  <si>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</si>
  <si>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</si>
  <si>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</si>
  <si>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</si>
  <si>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</si>
  <si>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</si>
  <si>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</si>
  <si>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</si>
  <si>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</si>
  <si>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</si>
  <si>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</si>
  <si>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</si>
  <si>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</si>
  <si>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</si>
  <si>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</si>
  <si>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</si>
  <si>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</si>
  <si>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</si>
  <si>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</si>
  <si>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</si>
  <si>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</si>
  <si>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</si>
  <si>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</si>
  <si>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</si>
  <si>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</si>
  <si>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</si>
  <si>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</si>
  <si>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</si>
  <si>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</si>
  <si>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</si>
  <si>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</si>
  <si>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</si>
  <si>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</si>
  <si>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</si>
  <si>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</si>
  <si>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</si>
  <si>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</si>
  <si>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</si>
  <si>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</si>
  <si>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</si>
  <si>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</si>
  <si>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</si>
  <si>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</si>
  <si>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</si>
  <si>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</si>
  <si>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</si>
  <si>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</si>
  <si>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</si>
  <si>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</si>
  <si>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</si>
  <si>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</si>
  <si>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</si>
  <si>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</si>
  <si>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</si>
  <si>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</si>
  <si>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</si>
  <si>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</si>
  <si>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</si>
  <si>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</si>
  <si>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</si>
  <si>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</si>
  <si>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</si>
  <si>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</si>
  <si>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</si>
  <si>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</si>
  <si>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</si>
  <si>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</si>
  <si>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</si>
  <si>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</si>
  <si>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</si>
  <si>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</si>
  <si>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</si>
  <si>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</si>
  <si>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</si>
  <si>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</si>
  <si>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</si>
  <si>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</si>
  <si>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</si>
  <si>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</si>
  <si>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</si>
  <si>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</si>
  <si>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</si>
  <si>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</si>
  <si>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</si>
  <si>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</si>
  <si>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</si>
  <si>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</si>
  <si>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</si>
  <si>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</si>
  <si>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</si>
  <si>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</si>
  <si>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</si>
  <si>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</si>
  <si>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</si>
  <si>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</si>
  <si>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</si>
  <si>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</si>
  <si>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</si>
  <si>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</si>
  <si>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</si>
  <si>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</si>
  <si>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</si>
  <si>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</si>
  <si>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</si>
  <si>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</si>
  <si>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</si>
  <si>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</si>
  <si>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</si>
  <si>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</si>
  <si>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</si>
  <si>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</si>
  <si>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</si>
  <si>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</si>
  <si>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</si>
  <si>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</si>
  <si>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</si>
  <si>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</si>
  <si>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</si>
  <si>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</si>
  <si>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</si>
  <si>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</si>
  <si>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</si>
  <si>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</si>
  <si>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</si>
  <si>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</si>
  <si>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</si>
  <si>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</si>
  <si>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</si>
  <si>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</si>
  <si>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</si>
  <si>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</si>
  <si>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</si>
  <si>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</si>
  <si>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</si>
  <si>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</si>
  <si>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</si>
  <si>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</si>
  <si>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</si>
  <si>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</si>
  <si>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</si>
  <si>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</si>
  <si>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</si>
  <si>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</si>
  <si>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</si>
  <si>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</si>
  <si>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</si>
  <si>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</si>
  <si>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</si>
  <si>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</si>
  <si>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</si>
  <si>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</si>
  <si>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</si>
  <si>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</si>
  <si>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</si>
  <si>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</si>
  <si>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</si>
  <si>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</si>
  <si>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</si>
  <si>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</si>
  <si>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</si>
  <si>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</si>
  <si>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</si>
  <si>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</si>
  <si>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</si>
  <si>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</si>
  <si>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</si>
  <si>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</si>
  <si>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</si>
  <si>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</si>
  <si>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</si>
  <si>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</si>
  <si>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</si>
  <si>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</si>
  <si>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</si>
  <si>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</si>
  <si>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</si>
  <si>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</si>
  <si>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</si>
  <si>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</si>
  <si>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</si>
  <si>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</si>
  <si>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</si>
  <si>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</si>
  <si>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</si>
  <si>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</si>
  <si>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</si>
  <si>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</si>
  <si>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</si>
  <si>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</si>
  <si>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</si>
  <si>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</si>
  <si>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</si>
  <si>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</si>
  <si>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</si>
  <si>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</si>
  <si>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</si>
  <si>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</si>
  <si>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</si>
  <si>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</si>
  <si>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</si>
  <si>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</si>
  <si>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</si>
  <si>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</si>
  <si>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</si>
  <si>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</si>
  <si>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</si>
  <si>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</si>
  <si>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</si>
  <si>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</si>
  <si>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</si>
  <si>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</si>
  <si>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</si>
  <si>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</si>
  <si>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</si>
  <si>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</si>
  <si>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</si>
  <si>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</si>
  <si>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</si>
  <si>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</si>
  <si>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</si>
  <si>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</si>
  <si>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</si>
  <si>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</si>
  <si>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</si>
  <si>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</si>
  <si>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</si>
  <si>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</si>
  <si>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</si>
  <si>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</si>
  <si>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</si>
  <si>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</si>
  <si>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</si>
  <si>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</si>
  <si>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</si>
  <si>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</si>
  <si>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</si>
  <si>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</si>
  <si>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</si>
  <si>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</si>
  <si>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</si>
  <si>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</si>
  <si>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</si>
  <si>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</si>
  <si>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</si>
  <si>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</si>
  <si>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</si>
  <si>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</si>
  <si>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</si>
  <si>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</si>
  <si>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</si>
  <si>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</si>
  <si>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</si>
  <si>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</si>
  <si>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</si>
  <si>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</si>
  <si>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</si>
  <si>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</si>
  <si>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</si>
  <si>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</si>
  <si>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</si>
  <si>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</si>
  <si>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</si>
  <si>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</si>
  <si>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</si>
  <si>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</si>
  <si>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</si>
  <si>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</si>
  <si>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</si>
  <si>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</si>
  <si>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</si>
  <si>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</si>
  <si>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</si>
  <si>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</si>
  <si>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</si>
  <si>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</si>
  <si>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</si>
  <si>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</si>
  <si>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</si>
  <si>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</si>
  <si>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</si>
  <si>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</si>
  <si>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</si>
  <si>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</si>
  <si>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</si>
  <si>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</si>
  <si>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</si>
  <si>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</si>
  <si>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</si>
  <si>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</si>
  <si>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</si>
  <si>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</si>
  <si>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</si>
  <si>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</si>
  <si>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</si>
  <si>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</si>
  <si>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</si>
  <si>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</si>
  <si>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</si>
  <si>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</si>
  <si>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</si>
  <si>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</si>
  <si>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</si>
  <si>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</si>
  <si>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</si>
  <si>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</si>
  <si>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</si>
  <si>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</si>
  <si>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</si>
  <si>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</si>
  <si>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</si>
  <si>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</si>
  <si>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</si>
  <si>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</si>
  <si>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</si>
  <si>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</si>
  <si>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</si>
  <si>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</si>
  <si>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</si>
  <si>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</si>
  <si>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</si>
  <si>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</si>
  <si>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</si>
  <si>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</si>
  <si>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</si>
  <si>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</si>
  <si>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</si>
  <si>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</si>
  <si>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</si>
  <si>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</si>
  <si>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</si>
  <si>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</si>
  <si>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</si>
  <si>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</si>
  <si>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</si>
  <si>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</si>
  <si>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</si>
  <si>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</si>
  <si>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</si>
  <si>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</si>
  <si>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</si>
  <si>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</si>
  <si>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</si>
  <si>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</si>
  <si>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</si>
  <si>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</si>
  <si>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</si>
  <si>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</si>
  <si>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</si>
  <si>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</si>
  <si>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</si>
  <si>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</si>
  <si>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</si>
  <si>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</si>
  <si>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</si>
  <si>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</si>
  <si>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</si>
  <si>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</si>
  <si>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</si>
  <si>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</si>
  <si>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</si>
  <si>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</si>
  <si>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</si>
  <si>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</si>
  <si>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</si>
  <si>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</si>
  <si>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</si>
  <si>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</si>
  <si>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</si>
  <si>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</si>
  <si>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</si>
  <si>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</si>
  <si>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</si>
  <si>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</si>
  <si>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</si>
  <si>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</si>
  <si>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</si>
  <si>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</si>
  <si>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</si>
  <si>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</si>
  <si>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</si>
  <si>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</si>
  <si>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</si>
  <si>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</si>
  <si>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</si>
  <si>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</si>
  <si>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</si>
  <si>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</si>
  <si>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</si>
  <si>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</si>
  <si>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</si>
  <si>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</si>
  <si>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</si>
  <si>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</si>
  <si>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</si>
  <si>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</si>
  <si>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</si>
  <si>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</si>
  <si>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</si>
  <si>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</si>
  <si>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</si>
  <si>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</si>
  <si>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</si>
  <si>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</si>
  <si>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</si>
  <si>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</si>
  <si>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</si>
  <si>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</si>
  <si>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</si>
  <si>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</si>
  <si>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</si>
  <si>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</si>
  <si>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</si>
  <si>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</si>
  <si>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</si>
  <si>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</si>
  <si>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</si>
  <si>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</si>
  <si>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</si>
  <si>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</si>
  <si>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</si>
  <si>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</si>
  <si>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</si>
  <si>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</si>
  <si>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</si>
  <si>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</si>
  <si>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</si>
  <si>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</si>
  <si>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</si>
  <si>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</si>
  <si>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</si>
  <si>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</si>
  <si>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</si>
  <si>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</si>
  <si>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</si>
  <si>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</si>
  <si>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</si>
  <si>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</si>
  <si>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</si>
  <si>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</si>
  <si>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</si>
  <si>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</si>
  <si>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</si>
  <si>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</si>
  <si>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</si>
  <si>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</si>
  <si>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</si>
  <si>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</si>
  <si>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</si>
  <si>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</si>
  <si>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</si>
  <si>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</si>
  <si>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</si>
  <si>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</si>
  <si>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</si>
  <si>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</si>
  <si>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</si>
  <si>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</si>
  <si>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</si>
  <si>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</si>
  <si>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</si>
  <si>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</si>
  <si>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</si>
  <si>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</si>
  <si>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</si>
  <si>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</si>
  <si>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</si>
  <si>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</si>
  <si>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</si>
  <si>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</si>
  <si>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</si>
  <si>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</si>
  <si>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</si>
  <si>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</si>
  <si>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</si>
  <si>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</si>
  <si>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</si>
  <si>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</si>
  <si>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</si>
  <si>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</si>
  <si>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</si>
  <si>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</si>
  <si>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</si>
  <si>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</si>
  <si>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</si>
  <si>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</si>
  <si>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</si>
  <si>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</si>
  <si>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</si>
  <si>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</si>
  <si>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</si>
  <si>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</si>
  <si>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</si>
  <si>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</si>
  <si>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</si>
  <si>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</si>
  <si>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</si>
  <si>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</si>
  <si>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</si>
  <si>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</si>
  <si>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</si>
  <si>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</si>
  <si>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</si>
  <si>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</si>
  <si>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</si>
  <si>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</si>
  <si>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</si>
  <si>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</si>
  <si>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</si>
  <si>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</si>
  <si>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</si>
  <si>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</si>
  <si>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</si>
  <si>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</si>
  <si>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</si>
  <si>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</si>
  <si>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</si>
  <si>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</si>
  <si>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</si>
  <si>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</si>
  <si>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</si>
  <si>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</si>
  <si>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</si>
  <si>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</si>
  <si>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</si>
  <si>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</si>
  <si>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</si>
  <si>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</si>
  <si>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</si>
  <si>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</si>
  <si>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</si>
  <si>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</si>
  <si>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</si>
  <si>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</si>
  <si>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</si>
  <si>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</si>
  <si>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</si>
  <si>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</si>
  <si>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</si>
  <si>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</si>
  <si>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</si>
  <si>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</si>
  <si>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</si>
  <si>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</si>
  <si>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</si>
  <si>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</si>
  <si>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</si>
  <si>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</si>
  <si>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</si>
  <si>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</si>
  <si>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</si>
  <si>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</si>
  <si>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</si>
  <si>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</si>
  <si>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</si>
  <si>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</si>
  <si>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</si>
  <si>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</si>
  <si>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</si>
  <si>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</si>
  <si>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</si>
  <si>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</si>
  <si>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</si>
  <si>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</si>
  <si>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</si>
  <si>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</si>
  <si>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</si>
  <si>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</si>
  <si>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</si>
  <si>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</si>
  <si>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</si>
  <si>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</si>
  <si>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</si>
  <si>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</si>
  <si>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</si>
  <si>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</si>
  <si>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</si>
  <si>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</si>
  <si>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</si>
  <si>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</si>
  <si>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</si>
  <si>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</si>
  <si>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</si>
  <si>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</si>
  <si>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</si>
  <si>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</si>
  <si>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</si>
  <si>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</si>
  <si>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</si>
  <si>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</si>
  <si>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</si>
  <si>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</si>
  <si>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</si>
  <si>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</si>
  <si>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</si>
  <si>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</si>
  <si>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</si>
  <si>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</si>
  <si>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</si>
  <si>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</si>
  <si>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</si>
  <si>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</si>
  <si>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</si>
  <si>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</si>
  <si>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</si>
  <si>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</si>
  <si>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</si>
  <si>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</si>
  <si>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</si>
  <si>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</si>
  <si>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</si>
  <si>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</si>
  <si>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</si>
  <si>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</si>
  <si>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</si>
  <si>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</si>
  <si>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</si>
  <si>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</si>
  <si>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</si>
  <si>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</si>
  <si>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</si>
  <si>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</si>
  <si>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</si>
  <si>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</si>
  <si>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</si>
  <si>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</si>
  <si>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</si>
  <si>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</si>
  <si>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</si>
  <si>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</si>
  <si>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</si>
  <si>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</si>
  <si>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</si>
  <si>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</si>
  <si>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</si>
  <si>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</si>
  <si>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</si>
  <si>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</si>
  <si>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</si>
  <si>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</si>
  <si>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</si>
  <si>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</si>
  <si>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</si>
  <si>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</si>
  <si>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</si>
  <si>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</si>
  <si>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</si>
  <si>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</si>
  <si>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</si>
  <si>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</si>
  <si>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</si>
  <si>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</si>
  <si>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</si>
  <si>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</si>
  <si>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</si>
  <si>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</si>
  <si>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</si>
  <si>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</si>
  <si>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</si>
  <si>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</si>
  <si>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</si>
  <si>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</si>
  <si>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</si>
  <si>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</si>
  <si>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</si>
  <si>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</si>
  <si>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</si>
  <si>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</si>
  <si>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</si>
  <si>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</si>
  <si>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</si>
  <si>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</si>
  <si>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</si>
  <si>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</si>
  <si>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</si>
  <si>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</si>
  <si>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</si>
  <si>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</si>
  <si>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</si>
  <si>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</si>
  <si>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</si>
  <si>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</si>
  <si>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</si>
  <si>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</si>
  <si>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</si>
  <si>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</si>
  <si>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</si>
  <si>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</si>
  <si>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</si>
  <si>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</si>
  <si>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</si>
  <si>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</si>
  <si>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</si>
  <si>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</si>
  <si>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</si>
  <si>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</si>
  <si>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</si>
  <si>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</si>
  <si>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</si>
  <si>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</si>
  <si>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</si>
  <si>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</si>
  <si>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</si>
  <si>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</si>
  <si>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</si>
  <si>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</si>
  <si>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</si>
  <si>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</si>
  <si>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</si>
  <si>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</si>
  <si>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</si>
  <si>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</si>
  <si>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</si>
  <si>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</si>
  <si>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</si>
  <si>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</si>
  <si>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</si>
  <si>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</si>
  <si>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</si>
  <si>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</si>
  <si>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</si>
  <si>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</si>
  <si>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</si>
  <si>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</si>
  <si>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</si>
  <si>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</si>
  <si>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</si>
  <si>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</si>
  <si>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</si>
  <si>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</si>
  <si>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</si>
  <si>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</si>
  <si>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</si>
  <si>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</si>
  <si>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</si>
  <si>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</si>
  <si>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</si>
  <si>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</si>
  <si>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</si>
  <si>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</si>
  <si>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</si>
  <si>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</si>
  <si>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</si>
  <si>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</si>
  <si>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</si>
  <si>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</si>
  <si>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</si>
  <si>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</si>
  <si>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</si>
  <si>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</si>
  <si>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</si>
  <si>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</si>
  <si>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</si>
  <si>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</si>
  <si>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</si>
  <si>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</si>
  <si>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</si>
  <si>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</si>
  <si>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</si>
  <si>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</si>
  <si>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</si>
  <si>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</si>
  <si>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</si>
  <si>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</si>
  <si>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</si>
  <si>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</si>
  <si>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</si>
  <si>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</si>
  <si>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</si>
  <si>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</si>
  <si>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</si>
  <si>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</si>
  <si>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</si>
  <si>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</si>
  <si>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</si>
  <si>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</si>
  <si>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</si>
  <si>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</si>
  <si>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</si>
  <si>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</si>
  <si>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</si>
  <si>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</si>
  <si>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</si>
  <si>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</si>
  <si>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</si>
  <si>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</si>
  <si>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</si>
  <si>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</si>
  <si>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</si>
  <si>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</si>
  <si>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</si>
  <si>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</si>
  <si>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</si>
  <si>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</si>
  <si>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</si>
  <si>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</si>
  <si>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</si>
  <si>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</si>
  <si>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</si>
  <si>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</si>
  <si>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</si>
  <si>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</si>
  <si>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</si>
  <si>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</si>
  <si>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</si>
  <si>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</si>
  <si>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</si>
  <si>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</si>
  <si>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</si>
  <si>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</si>
  <si>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</si>
  <si>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</si>
  <si>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</si>
  <si>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</si>
  <si>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</si>
  <si>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</si>
  <si>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</si>
  <si>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</si>
  <si>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</si>
  <si>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</si>
  <si>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</si>
  <si>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</si>
  <si>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</si>
  <si>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</si>
  <si>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</si>
  <si>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</si>
  <si>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</si>
  <si>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</si>
  <si>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</si>
  <si>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</si>
  <si>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</si>
  <si>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</si>
  <si>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</si>
  <si>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</si>
  <si>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</si>
  <si>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</si>
  <si>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</si>
  <si>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</si>
  <si>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</si>
  <si>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</si>
  <si>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</si>
  <si>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</si>
  <si>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</si>
  <si>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</si>
  <si>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</si>
  <si>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</si>
  <si>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</si>
  <si>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</si>
  <si>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</si>
  <si>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</si>
  <si>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</si>
  <si>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</si>
  <si>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</si>
  <si>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</si>
  <si>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</si>
  <si>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</si>
  <si>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</si>
  <si>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</si>
  <si>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</si>
  <si>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</si>
  <si>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</si>
  <si>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</si>
  <si>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</si>
  <si>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</si>
  <si>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</si>
  <si>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</si>
  <si>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</si>
  <si>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</si>
  <si>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</si>
  <si>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</si>
  <si>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</si>
  <si>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</si>
  <si>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</si>
  <si>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</si>
  <si>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</si>
  <si>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</si>
  <si>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</si>
  <si>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</si>
  <si>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</si>
  <si>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</si>
  <si>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</si>
  <si>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</si>
  <si>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</si>
  <si>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</si>
  <si>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</si>
  <si>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</si>
  <si>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</si>
  <si>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</si>
  <si>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</si>
  <si>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</si>
  <si>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</si>
  <si>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</si>
  <si>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</si>
  <si>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</si>
  <si>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</si>
  <si>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</si>
  <si>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</si>
  <si>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</si>
  <si>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</si>
  <si>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</si>
  <si>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</si>
  <si>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</si>
  <si>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</si>
  <si>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</si>
  <si>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</si>
  <si>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</si>
  <si>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</si>
  <si>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</si>
  <si>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</si>
  <si>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</si>
  <si>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</si>
  <si>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</si>
  <si>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</si>
  <si>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</si>
  <si>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</si>
  <si>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</si>
  <si>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</si>
  <si>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</si>
  <si>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</si>
  <si>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</si>
  <si>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</si>
  <si>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</si>
  <si>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</si>
  <si>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</si>
  <si>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</si>
  <si>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</si>
  <si>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</si>
  <si>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</si>
  <si>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</si>
  <si>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</si>
  <si>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</si>
  <si>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</si>
  <si>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</si>
  <si>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</si>
  <si>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</si>
  <si>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</si>
  <si>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</si>
  <si>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</si>
  <si>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</si>
  <si>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</si>
  <si>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</si>
  <si>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</si>
  <si>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</si>
  <si>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</si>
  <si>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</si>
  <si>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</si>
  <si>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</si>
  <si>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</si>
  <si>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</si>
  <si>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</si>
  <si>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</si>
  <si>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</si>
  <si>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</si>
  <si>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</si>
  <si>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</si>
  <si>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</si>
  <si>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</si>
  <si>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</si>
  <si>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</si>
  <si>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</si>
  <si>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</si>
  <si>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</si>
  <si>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</si>
  <si>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</si>
  <si>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</si>
  <si>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</si>
  <si>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</si>
  <si>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</si>
  <si>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</si>
  <si>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</si>
  <si>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</si>
  <si>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</si>
  <si>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</si>
  <si>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</si>
  <si>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</si>
  <si>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</si>
  <si>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</si>
  <si>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</si>
  <si>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</si>
  <si>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</si>
  <si>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</si>
  <si>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</si>
  <si>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</si>
  <si>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</si>
  <si>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</si>
  <si>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</si>
  <si>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</si>
  <si>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</si>
  <si>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</si>
  <si>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</si>
  <si>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</si>
  <si>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</si>
  <si>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</si>
  <si>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</si>
  <si>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</si>
  <si>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</si>
  <si>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</si>
  <si>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</si>
  <si>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</si>
  <si>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</si>
  <si>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</si>
  <si>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</si>
  <si>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</si>
  <si>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</si>
  <si>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</si>
  <si>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</si>
  <si>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</si>
  <si>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</si>
  <si>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</si>
  <si>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</si>
  <si>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</si>
  <si>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</si>
  <si>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</si>
  <si>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</si>
  <si>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</si>
  <si>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</si>
  <si>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</si>
  <si>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</si>
  <si>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</si>
  <si>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</si>
  <si>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</si>
  <si>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</si>
  <si>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</si>
  <si>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</si>
  <si>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</si>
  <si>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</si>
  <si>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</si>
  <si>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</si>
  <si>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</si>
  <si>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</si>
  <si>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</si>
  <si>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</si>
  <si>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</si>
  <si>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</si>
  <si>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</si>
  <si>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</si>
  <si>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</si>
  <si>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</si>
  <si>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</si>
  <si>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</si>
  <si>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</si>
  <si>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</si>
  <si>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</si>
  <si>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</si>
  <si>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</si>
  <si>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</si>
  <si>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</si>
  <si>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</si>
  <si>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</si>
  <si>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</si>
  <si>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</si>
  <si>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</si>
  <si>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</si>
  <si>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</si>
  <si>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</si>
  <si>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</si>
  <si>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</si>
  <si>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</si>
  <si>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</si>
  <si>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</si>
  <si>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</si>
  <si>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</si>
  <si>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</si>
  <si>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</si>
  <si>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</si>
  <si>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</si>
  <si>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</si>
  <si>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</si>
  <si>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</si>
  <si>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</si>
  <si>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</si>
  <si>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</si>
  <si>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</si>
  <si>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</si>
  <si>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</si>
  <si>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</si>
  <si>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</si>
  <si>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</si>
  <si>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</si>
  <si>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</si>
  <si>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</si>
  <si>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</si>
  <si>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</si>
  <si>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</si>
  <si>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</si>
  <si>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</si>
  <si>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</si>
  <si>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</si>
  <si>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</si>
  <si>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</si>
  <si>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</si>
  <si>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</si>
  <si>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</si>
  <si>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</si>
  <si>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</si>
  <si>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</si>
  <si>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</si>
  <si>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</si>
  <si>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</si>
  <si>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</si>
  <si>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</si>
  <si>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</si>
  <si>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</si>
  <si>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</si>
  <si>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</si>
  <si>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</si>
  <si>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</si>
  <si>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</si>
  <si>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</si>
  <si>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</si>
  <si>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</si>
  <si>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</si>
  <si>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</si>
  <si>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</si>
  <si>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</si>
  <si>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</si>
  <si>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</si>
  <si>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</si>
  <si>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</si>
  <si>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</si>
  <si>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</si>
  <si>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</si>
  <si>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</si>
  <si>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</si>
  <si>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</si>
  <si>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</si>
  <si>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</si>
  <si>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</si>
  <si>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</si>
  <si>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</si>
  <si>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</si>
  <si>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</si>
  <si>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</si>
  <si>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</si>
  <si>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</si>
  <si>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</si>
  <si>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</si>
  <si>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</si>
  <si>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</si>
  <si>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</si>
  <si>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</si>
  <si>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</si>
  <si>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</si>
  <si>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</si>
  <si>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</si>
  <si>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</si>
  <si>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</si>
  <si>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</si>
  <si>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</si>
  <si>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</si>
  <si>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</si>
  <si>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</si>
  <si>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</si>
  <si>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</si>
  <si>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</si>
  <si>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</si>
  <si>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</si>
  <si>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</si>
  <si>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</si>
  <si>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</si>
  <si>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</si>
  <si>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</si>
  <si>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</si>
  <si>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</si>
  <si>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</si>
  <si>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</si>
  <si>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</si>
  <si>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</si>
  <si>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</si>
  <si>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</si>
  <si>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</si>
  <si>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</si>
  <si>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</si>
  <si>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</si>
  <si>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</si>
  <si>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</si>
  <si>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</si>
  <si>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</si>
  <si>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</si>
  <si>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</si>
  <si>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</si>
  <si>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</si>
  <si>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</si>
  <si>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</si>
  <si>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</si>
  <si>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</si>
  <si>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</si>
  <si>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</si>
  <si>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</si>
  <si>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</si>
  <si>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</si>
  <si>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</si>
  <si>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</si>
  <si>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</si>
  <si>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</si>
  <si>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</si>
  <si>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</si>
  <si>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</si>
  <si>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</si>
  <si>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</si>
  <si>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</si>
  <si>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</si>
  <si>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</si>
  <si>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</si>
  <si>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</si>
  <si>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</si>
  <si>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</si>
  <si>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</si>
  <si>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</si>
  <si>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</si>
  <si>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</si>
  <si>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</si>
  <si>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</si>
  <si>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</si>
  <si>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</si>
  <si>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</si>
  <si>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</si>
  <si>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</si>
  <si>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</si>
  <si>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</si>
  <si>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</si>
  <si>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</si>
  <si>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</si>
  <si>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</si>
  <si>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</si>
  <si>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</si>
  <si>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</si>
  <si>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</si>
  <si>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</si>
  <si>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</si>
  <si>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</si>
  <si>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</si>
  <si>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</si>
  <si>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</si>
  <si>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</si>
  <si>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</si>
  <si>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</si>
  <si>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</si>
  <si>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</si>
  <si>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</si>
  <si>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</si>
  <si>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</si>
  <si>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</si>
  <si>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</si>
  <si>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</si>
  <si>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</si>
  <si>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</si>
  <si>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</si>
  <si>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</si>
  <si>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</si>
  <si>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</si>
  <si>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</si>
  <si>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</si>
  <si>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</si>
  <si>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</si>
  <si>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</si>
  <si>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</si>
  <si>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</si>
  <si>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</si>
  <si>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</si>
  <si>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</si>
  <si>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</si>
  <si>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</si>
  <si>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</si>
  <si>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</si>
  <si>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</si>
  <si>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</si>
  <si>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</si>
  <si>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</si>
  <si>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</si>
  <si>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</si>
  <si>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</si>
  <si>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</si>
  <si>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</si>
  <si>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</si>
  <si>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</si>
  <si>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</si>
  <si>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</si>
  <si>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</si>
  <si>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</si>
  <si>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</si>
  <si>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</si>
  <si>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</si>
  <si>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</si>
  <si>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</si>
  <si>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</si>
  <si>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</si>
  <si>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</si>
  <si>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</si>
  <si>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</si>
  <si>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</si>
  <si>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</si>
  <si>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</si>
  <si>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</si>
  <si>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</si>
  <si>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</si>
  <si>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</si>
  <si>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</si>
  <si>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</si>
  <si>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</si>
  <si>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</si>
  <si>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</si>
  <si>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</si>
  <si>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</si>
  <si>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</si>
  <si>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</si>
  <si>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</si>
  <si>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</si>
  <si>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</si>
  <si>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</si>
  <si>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</si>
  <si>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</si>
  <si>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</si>
  <si>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</si>
  <si>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</si>
  <si>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</si>
  <si>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</si>
  <si>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</si>
  <si>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</si>
  <si>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</si>
  <si>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</si>
  <si>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</si>
  <si>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</si>
  <si>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</si>
  <si>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</si>
  <si>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</si>
  <si>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</si>
  <si>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</si>
  <si>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</si>
  <si>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</si>
  <si>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</si>
  <si>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</si>
  <si>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</si>
  <si>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</si>
  <si>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</si>
  <si>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</si>
  <si>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</si>
  <si>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</si>
  <si>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</si>
  <si>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</si>
  <si>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</si>
  <si>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</si>
  <si>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</si>
  <si>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</si>
  <si>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</si>
  <si>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</si>
  <si>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</si>
  <si>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</si>
  <si>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</si>
  <si>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</si>
  <si>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</si>
  <si>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</si>
  <si>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</si>
  <si>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</si>
  <si>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</si>
  <si>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</si>
  <si>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</si>
  <si>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</si>
  <si>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</si>
  <si>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</si>
  <si>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</si>
  <si>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</si>
  <si>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</si>
  <si>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</si>
  <si>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</si>
  <si>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</si>
  <si>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</si>
  <si>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</si>
  <si>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</si>
  <si>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</si>
  <si>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</si>
  <si>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</si>
  <si>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</si>
  <si>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</si>
  <si>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</si>
  <si>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</si>
  <si>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</si>
  <si>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</si>
  <si>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</si>
  <si>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</si>
  <si>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</si>
  <si>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</si>
  <si>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</si>
  <si>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</si>
  <si>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</si>
  <si>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</si>
  <si>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</si>
  <si>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</si>
  <si>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</si>
  <si>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</si>
  <si>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</si>
  <si>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</si>
  <si>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</si>
  <si>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</si>
  <si>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</si>
  <si>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</si>
  <si>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</si>
  <si>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</si>
  <si>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</si>
  <si>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</si>
  <si>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</si>
  <si>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</si>
  <si>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</si>
  <si>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</si>
  <si>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</si>
  <si>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</si>
  <si>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</si>
  <si>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</si>
  <si>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</si>
  <si>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</si>
  <si>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</si>
  <si>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</si>
  <si>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</si>
  <si>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</si>
  <si>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</si>
  <si>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</si>
  <si>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</si>
  <si>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</si>
  <si>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</si>
  <si>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</si>
  <si>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</si>
  <si>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</si>
  <si>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</si>
  <si>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</si>
  <si>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</si>
  <si>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</si>
  <si>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</si>
  <si>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</si>
  <si>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</si>
  <si>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</si>
  <si>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</si>
  <si>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</si>
  <si>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</si>
  <si>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</si>
  <si>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</si>
  <si>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</si>
  <si>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</si>
  <si>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</si>
  <si>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</si>
  <si>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</si>
  <si>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</si>
  <si>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</si>
  <si>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</si>
  <si>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</si>
  <si>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</si>
  <si>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</si>
  <si>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</si>
  <si>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</si>
  <si>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</si>
  <si>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</si>
  <si>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</si>
  <si>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</si>
  <si>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</si>
  <si>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</si>
  <si>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</si>
  <si>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</si>
  <si>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</si>
  <si>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</si>
  <si>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</si>
  <si>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</si>
  <si>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</si>
  <si>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</si>
  <si>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</si>
  <si>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</si>
  <si>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</si>
  <si>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</si>
  <si>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</si>
  <si>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</si>
  <si>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</si>
  <si>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</si>
  <si>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</si>
  <si>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</si>
  <si>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</si>
  <si>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</si>
  <si>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</si>
  <si>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</si>
  <si>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</si>
  <si>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</si>
  <si>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</si>
  <si>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</si>
  <si>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</si>
  <si>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</si>
  <si>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</si>
  <si>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</si>
  <si>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</si>
  <si>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</si>
  <si>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</si>
  <si>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</si>
  <si>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</si>
  <si>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</si>
  <si>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</si>
  <si>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</si>
  <si>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</si>
  <si>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</si>
  <si>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</si>
  <si>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</si>
  <si>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</si>
  <si>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</si>
  <si>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</si>
  <si>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</si>
  <si>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</si>
  <si>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</si>
  <si>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</si>
  <si>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</si>
  <si>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</si>
  <si>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</si>
  <si>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</si>
  <si>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</si>
  <si>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</si>
  <si>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</si>
  <si>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</si>
  <si>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</si>
  <si>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</si>
  <si>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</si>
  <si>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</si>
  <si>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</si>
  <si>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</si>
  <si>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</si>
  <si>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</si>
  <si>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</si>
  <si>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</si>
  <si>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</si>
  <si>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</si>
  <si>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</si>
  <si>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</si>
  <si>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</si>
  <si>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</si>
  <si>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</si>
  <si>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</si>
  <si>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</si>
  <si>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</si>
  <si>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</si>
  <si>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</si>
  <si>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</si>
  <si>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</si>
  <si>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</si>
  <si>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</si>
  <si>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</si>
  <si>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</si>
  <si>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</si>
  <si>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</si>
  <si>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</si>
  <si>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</si>
  <si>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</si>
  <si>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</si>
  <si>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</si>
  <si>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</si>
  <si>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</si>
  <si>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</si>
  <si>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</si>
  <si>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</si>
  <si>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</si>
  <si>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</si>
  <si>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</si>
  <si>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</si>
  <si>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</si>
  <si>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</si>
  <si>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</si>
  <si>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</si>
  <si>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</si>
  <si>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</si>
  <si>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</si>
  <si>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</si>
  <si>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</si>
  <si>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</si>
  <si>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</si>
  <si>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</si>
  <si>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</si>
  <si>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</si>
  <si>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</si>
  <si>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</si>
  <si>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</si>
  <si>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</si>
  <si>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</si>
  <si>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</si>
  <si>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</si>
  <si>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</si>
  <si>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</si>
  <si>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</si>
  <si>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</si>
  <si>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</si>
  <si>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</si>
  <si>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</si>
  <si>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</si>
  <si>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</si>
  <si>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</si>
  <si>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</si>
  <si>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</si>
  <si>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</si>
  <si>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</si>
  <si>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</si>
  <si>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</si>
  <si>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</si>
  <si>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</si>
  <si>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</si>
  <si>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</si>
  <si>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</si>
  <si>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</si>
  <si>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</si>
  <si>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</si>
  <si>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</si>
  <si>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</si>
  <si>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</si>
  <si>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</si>
  <si>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</si>
  <si>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</si>
  <si>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</si>
  <si>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</si>
  <si>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</si>
  <si>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</si>
  <si>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</si>
  <si>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</si>
  <si>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</si>
  <si>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</si>
  <si>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</si>
  <si>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</si>
  <si>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</si>
  <si>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</si>
  <si>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</si>
  <si>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</si>
  <si>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</si>
  <si>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</si>
  <si>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</si>
  <si>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</si>
  <si>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</si>
  <si>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</si>
  <si>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</si>
  <si>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</si>
  <si>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</si>
  <si>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</si>
  <si>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</si>
  <si>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</si>
  <si>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</si>
  <si>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</si>
  <si>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</si>
  <si>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</si>
  <si>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</si>
  <si>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</si>
  <si>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</si>
  <si>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</si>
  <si>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</si>
  <si>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</si>
  <si>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</si>
  <si>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</si>
  <si>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</si>
  <si>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</si>
  <si>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</si>
  <si>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</si>
  <si>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</si>
  <si>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</si>
  <si>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</si>
  <si>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</si>
  <si>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</si>
  <si>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</si>
  <si>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</si>
  <si>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</si>
  <si>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</si>
  <si>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</si>
  <si>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</si>
  <si>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</si>
  <si>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</si>
  <si>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</si>
  <si>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</si>
  <si>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</si>
  <si>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</si>
  <si>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</si>
  <si>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</si>
  <si>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</si>
  <si>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</si>
  <si>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</si>
  <si>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</si>
  <si>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</si>
  <si>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</si>
  <si>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</si>
  <si>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</si>
  <si>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</si>
  <si>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</si>
  <si>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</si>
  <si>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</si>
  <si>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</si>
  <si>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</si>
  <si>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</si>
  <si>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</si>
  <si>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</si>
  <si>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</si>
  <si>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</si>
  <si>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</si>
  <si>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</si>
  <si>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</si>
  <si>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</si>
  <si>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</si>
  <si>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</si>
  <si>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</si>
  <si>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</si>
  <si>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</si>
  <si>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</si>
  <si>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</si>
  <si>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</si>
  <si>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</si>
  <si>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</si>
  <si>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</si>
  <si>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</si>
  <si>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</si>
  <si>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</si>
  <si>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</si>
  <si>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</si>
  <si>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</si>
  <si>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</si>
  <si>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</si>
  <si>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</si>
  <si>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</si>
  <si>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</si>
  <si>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</si>
  <si>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</si>
  <si>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</si>
  <si>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</si>
  <si>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</si>
  <si>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</si>
  <si>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</si>
  <si>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</si>
  <si>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</si>
  <si>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</si>
  <si>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</si>
  <si>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</si>
  <si>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</si>
  <si>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</si>
  <si>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</si>
  <si>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</si>
  <si>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</si>
  <si>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</si>
  <si>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</si>
  <si>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</si>
  <si>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</si>
  <si>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</si>
  <si>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</si>
  <si>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</si>
  <si>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</si>
  <si>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</si>
  <si>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</si>
  <si>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</si>
  <si>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</si>
  <si>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</si>
  <si>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</si>
  <si>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</si>
  <si>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</si>
  <si>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</si>
  <si>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</si>
  <si>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</si>
  <si>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</si>
  <si>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</si>
  <si>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</si>
  <si>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</si>
  <si>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</si>
  <si>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</si>
  <si>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</si>
  <si>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</si>
  <si>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</si>
  <si>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</si>
  <si>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</si>
  <si>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</si>
  <si>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</si>
  <si>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</si>
  <si>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</si>
  <si>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</si>
  <si>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</si>
  <si>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</si>
  <si>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</si>
  <si>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</si>
  <si>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</si>
  <si>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</si>
  <si>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</si>
  <si>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</si>
  <si>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</si>
  <si>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</si>
  <si>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</si>
  <si>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</si>
  <si>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</si>
  <si>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</si>
  <si>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</si>
  <si>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</si>
  <si>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</si>
  <si>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</si>
  <si>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</si>
  <si>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</si>
  <si>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</si>
  <si>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</si>
  <si>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</si>
  <si>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</si>
  <si>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</si>
  <si>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</si>
  <si>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</si>
  <si>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</si>
  <si>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</si>
  <si>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</si>
  <si>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</si>
  <si>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</si>
  <si>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</si>
  <si>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</si>
  <si>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</si>
  <si>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</si>
  <si>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</si>
  <si>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</si>
  <si>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</si>
  <si>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</si>
  <si>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</si>
  <si>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</si>
  <si>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</si>
  <si>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</si>
  <si>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</si>
  <si>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</si>
  <si>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</si>
  <si>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</si>
  <si>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</si>
  <si>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</si>
  <si>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</si>
  <si>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</si>
  <si>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</si>
  <si>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</si>
  <si>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</si>
  <si>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</si>
  <si>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</si>
  <si>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</si>
  <si>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</si>
  <si>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</si>
  <si>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</si>
  <si>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</si>
  <si>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</si>
  <si>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</si>
  <si>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</si>
  <si>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</si>
  <si>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</si>
  <si>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</si>
  <si>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</si>
  <si>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</si>
  <si>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</si>
  <si>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</si>
  <si>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</si>
  <si>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</si>
  <si>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</si>
  <si>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</si>
  <si>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</si>
  <si>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</si>
  <si>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</si>
  <si>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</si>
  <si>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</si>
  <si>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</si>
  <si>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</si>
  <si>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</si>
  <si>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</si>
  <si>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</si>
  <si>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</si>
  <si>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</si>
  <si>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</si>
  <si>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</si>
  <si>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</si>
  <si>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</si>
  <si>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</si>
  <si>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</si>
  <si>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</si>
  <si>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</si>
  <si>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</si>
  <si>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</si>
  <si>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</si>
  <si>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</si>
  <si>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</si>
  <si>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</si>
  <si>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</si>
  <si>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</si>
  <si>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</si>
  <si>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</si>
  <si>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</si>
  <si>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</si>
  <si>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</si>
  <si>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</si>
  <si>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</si>
  <si>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</si>
  <si>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</si>
  <si>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</si>
  <si>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</si>
  <si>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</si>
  <si>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</si>
  <si>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</si>
  <si>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</si>
  <si>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</si>
  <si>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</si>
  <si>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</si>
  <si>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</si>
  <si>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</si>
  <si>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</si>
  <si>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</si>
  <si>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</si>
  <si>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</si>
  <si>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</si>
  <si>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</si>
  <si>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</si>
  <si>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</si>
  <si>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</si>
  <si>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</si>
  <si>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</si>
  <si>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</si>
  <si>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</si>
  <si>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</si>
  <si>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</si>
  <si>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</si>
  <si>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</si>
  <si>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</si>
  <si>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</si>
  <si>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</si>
  <si>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</si>
  <si>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</si>
  <si>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</si>
  <si>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</si>
  <si>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</si>
  <si>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</si>
  <si>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</si>
  <si>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</si>
  <si>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</si>
  <si>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</si>
  <si>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</si>
  <si>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</si>
  <si>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</si>
  <si>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</si>
  <si>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</si>
  <si>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</si>
  <si>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</si>
  <si>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</si>
  <si>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</si>
  <si>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</si>
  <si>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</si>
  <si>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</si>
  <si>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</si>
  <si>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</si>
  <si>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</si>
  <si>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</si>
  <si>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</si>
  <si>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</si>
  <si>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</si>
  <si>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</si>
  <si>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</si>
  <si>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</si>
  <si>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</si>
  <si>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</si>
  <si>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</si>
  <si>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</si>
  <si>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</si>
  <si>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</si>
  <si>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</si>
  <si>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</si>
  <si>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</si>
  <si>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</si>
  <si>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</si>
  <si>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</si>
  <si>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</si>
  <si>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</si>
  <si>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</si>
  <si>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</si>
  <si>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</si>
  <si>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</si>
  <si>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</si>
  <si>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</si>
  <si>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</si>
  <si>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</si>
  <si>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</si>
  <si>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</si>
  <si>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</si>
  <si>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</si>
  <si>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</si>
  <si>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</si>
  <si>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</si>
  <si>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</si>
  <si>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</si>
  <si>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</si>
  <si>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</si>
  <si>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</si>
  <si>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</si>
  <si>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</si>
  <si>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</si>
  <si>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</si>
  <si>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</si>
  <si>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</si>
  <si>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</si>
  <si>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</si>
  <si>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</si>
  <si>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</si>
  <si>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</si>
  <si>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</si>
  <si>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</si>
  <si>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</si>
  <si>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</si>
  <si>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</si>
  <si>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</si>
  <si>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</si>
  <si>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</si>
  <si>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</si>
  <si>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</si>
  <si>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</si>
  <si>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</si>
  <si>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</si>
  <si>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</si>
  <si>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</si>
  <si>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</si>
  <si>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</si>
  <si>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</si>
  <si>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</si>
  <si>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</si>
  <si>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</si>
  <si>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</si>
  <si>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</si>
  <si>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</si>
  <si>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</si>
  <si>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</si>
  <si>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</si>
  <si>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</si>
  <si>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</si>
  <si>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</si>
  <si>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</si>
  <si>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</si>
  <si>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</si>
  <si>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</si>
  <si>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</si>
  <si>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</si>
  <si>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</si>
  <si>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</si>
  <si>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</si>
  <si>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</si>
  <si>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</si>
  <si>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</si>
  <si>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</si>
  <si>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</si>
  <si>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</si>
  <si>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</si>
  <si>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</si>
  <si>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</si>
  <si>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</si>
  <si>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</si>
  <si>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</si>
  <si>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</si>
  <si>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</si>
  <si>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</si>
  <si>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</si>
  <si>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</si>
  <si>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</si>
  <si>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</si>
  <si>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</si>
  <si>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</si>
  <si>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</si>
  <si>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</si>
  <si>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</si>
  <si>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</si>
  <si>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</si>
  <si>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</si>
  <si>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</si>
  <si>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</si>
  <si>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</si>
  <si>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</si>
  <si>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</si>
  <si>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</si>
  <si>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</si>
  <si>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</si>
  <si>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</si>
  <si>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</si>
  <si>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</si>
  <si>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</si>
  <si>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</si>
  <si>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</si>
  <si>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</si>
  <si>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</si>
  <si>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</si>
  <si>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</si>
  <si>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</si>
  <si>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</si>
  <si>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</si>
  <si>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</si>
  <si>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</si>
  <si>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</si>
  <si>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</si>
  <si>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</si>
  <si>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</si>
  <si>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</si>
  <si>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</si>
  <si>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</si>
  <si>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</si>
  <si>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</si>
  <si>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</si>
  <si>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</si>
  <si>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</si>
  <si>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</si>
  <si>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</si>
  <si>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</si>
  <si>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</si>
  <si>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</si>
  <si>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</si>
  <si>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</si>
  <si>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</si>
  <si>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</si>
  <si>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</si>
  <si>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</si>
  <si>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</si>
  <si>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</si>
  <si>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</si>
  <si>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</si>
  <si>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</si>
  <si>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</si>
  <si>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</si>
  <si>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</si>
  <si>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</si>
  <si>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</si>
  <si>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</si>
  <si>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</si>
  <si>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</si>
  <si>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</si>
  <si>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</si>
  <si>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</si>
  <si>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</si>
  <si>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</si>
  <si>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</si>
  <si>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</si>
  <si>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</si>
  <si>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</si>
  <si>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</si>
  <si>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</si>
  <si>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</si>
  <si>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</si>
  <si>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</si>
  <si>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</si>
  <si>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</si>
  <si>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</si>
  <si>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</si>
  <si>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</si>
  <si>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</si>
  <si>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</si>
  <si>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</si>
  <si>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</si>
  <si>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</si>
  <si>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</si>
  <si>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</si>
  <si>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</si>
  <si>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</si>
  <si>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</si>
  <si>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</si>
  <si>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</si>
  <si>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</si>
  <si>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</si>
  <si>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</si>
  <si>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</si>
  <si>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</si>
  <si>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</si>
  <si>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</si>
  <si>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</si>
  <si>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</si>
  <si>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</si>
  <si>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</si>
  <si>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</si>
  <si>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</si>
  <si>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</si>
  <si>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</si>
  <si>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</si>
  <si>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</si>
  <si>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</si>
  <si>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</si>
  <si>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</si>
  <si>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</si>
  <si>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</si>
  <si>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</si>
  <si>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</si>
  <si>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</si>
  <si>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</si>
  <si>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</si>
  <si>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</si>
  <si>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</si>
  <si>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</si>
  <si>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</si>
  <si>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</si>
  <si>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</si>
  <si>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</si>
  <si>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</si>
  <si>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</si>
  <si>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</si>
  <si>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</si>
  <si>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</si>
  <si>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</si>
  <si>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</si>
  <si>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</si>
  <si>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</si>
  <si>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</si>
  <si>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</si>
  <si>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</si>
  <si>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</si>
  <si>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</si>
  <si>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</si>
  <si>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</si>
  <si>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</si>
  <si>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</si>
  <si>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</si>
  <si>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</si>
  <si>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</si>
  <si>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</si>
  <si>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</si>
  <si>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</si>
  <si>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</si>
  <si>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</si>
  <si>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</si>
  <si>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</si>
  <si>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</si>
  <si>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</si>
  <si>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</si>
  <si>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</si>
  <si>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</si>
  <si>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</si>
  <si>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</si>
  <si>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</si>
  <si>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</si>
  <si>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</si>
  <si>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</si>
  <si>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</si>
  <si>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</si>
  <si>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</si>
  <si>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</si>
  <si>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</si>
  <si>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</si>
  <si>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</si>
  <si>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</si>
  <si>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</si>
  <si>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</si>
  <si>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</si>
  <si>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</si>
  <si>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</si>
  <si>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</si>
  <si>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</si>
  <si>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</si>
  <si>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</si>
  <si>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</si>
  <si>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</si>
  <si>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</si>
  <si>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</si>
  <si>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</si>
  <si>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</si>
  <si>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</si>
  <si>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</si>
  <si>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</si>
  <si>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</si>
  <si>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</si>
  <si>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</si>
  <si>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</si>
  <si>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</si>
  <si>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</si>
  <si>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</si>
  <si>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</si>
  <si>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</si>
  <si>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</si>
  <si>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</si>
  <si>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</si>
  <si>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</si>
  <si>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</si>
  <si>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</si>
  <si>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</si>
  <si>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</si>
  <si>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</si>
  <si>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</si>
  <si>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</si>
  <si>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</si>
  <si>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</si>
  <si>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</si>
  <si>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</si>
  <si>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</si>
  <si>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</si>
  <si>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</si>
  <si>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</si>
  <si>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</si>
  <si>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</si>
  <si>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</si>
  <si>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</si>
  <si>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</si>
  <si>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</si>
  <si>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</si>
  <si>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</si>
  <si>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</si>
  <si>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</si>
  <si>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</si>
  <si>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</si>
  <si>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</si>
  <si>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</si>
  <si>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</si>
  <si>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</si>
  <si>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</si>
  <si>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</si>
  <si>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</si>
  <si>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</si>
  <si>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</si>
  <si>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</si>
  <si>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</si>
  <si>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</si>
  <si>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</si>
  <si>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</si>
  <si>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</si>
  <si>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</si>
  <si>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</si>
  <si>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</si>
  <si>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</si>
  <si>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</si>
  <si>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</si>
  <si>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</si>
  <si>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</si>
  <si>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</si>
  <si>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</si>
  <si>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</si>
  <si>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</si>
  <si>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</si>
  <si>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</si>
  <si>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</si>
  <si>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</si>
  <si>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</si>
  <si>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</si>
  <si>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</si>
  <si>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</si>
  <si>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</si>
  <si>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</si>
  <si>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</si>
  <si>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</si>
  <si>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</si>
  <si>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</si>
  <si>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</si>
  <si>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</si>
  <si>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</si>
  <si>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</si>
  <si>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</si>
  <si>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</si>
  <si>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</si>
  <si>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</si>
  <si>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</si>
  <si>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</si>
  <si>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</si>
  <si>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</si>
  <si>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</si>
  <si>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</si>
  <si>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</si>
  <si>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</si>
  <si>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</si>
  <si>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</si>
  <si>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</si>
  <si>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</si>
  <si>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</si>
  <si>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</si>
  <si>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</si>
  <si>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</si>
  <si>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</si>
  <si>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</si>
  <si>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</si>
  <si>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</si>
  <si>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</si>
  <si>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</si>
  <si>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</si>
  <si>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</si>
  <si>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</si>
  <si>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</si>
  <si>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</si>
  <si>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</si>
  <si>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</si>
  <si>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</si>
  <si>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</si>
  <si>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</si>
  <si>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</si>
  <si>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</si>
  <si>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</si>
  <si>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</si>
  <si>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</si>
  <si>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</si>
  <si>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</si>
  <si>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</si>
  <si>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</si>
  <si>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</si>
  <si>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</si>
  <si>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</si>
  <si>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</si>
  <si>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</si>
  <si>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</si>
  <si>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</si>
  <si>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</si>
  <si>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</si>
  <si>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</si>
  <si>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</si>
  <si>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</si>
  <si>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</si>
  <si>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</si>
  <si>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</si>
  <si>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</si>
  <si>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</si>
  <si>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</si>
  <si>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</si>
  <si>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</si>
  <si>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</si>
  <si>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</si>
  <si>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</si>
  <si>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</si>
  <si>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</si>
  <si>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</si>
  <si>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</si>
  <si>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</si>
  <si>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</si>
  <si>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</si>
  <si>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</si>
  <si>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</si>
  <si>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</si>
  <si>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</si>
  <si>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</si>
  <si>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</si>
  <si>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</si>
  <si>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</si>
  <si>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</si>
  <si>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</si>
  <si>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</si>
  <si>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</si>
  <si>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</si>
  <si>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</si>
  <si>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</si>
  <si>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</si>
  <si>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</si>
  <si>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</si>
  <si>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</si>
  <si>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</si>
  <si>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</si>
  <si>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</si>
  <si>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</si>
  <si>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</si>
  <si>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</si>
  <si>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</si>
  <si>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</si>
  <si>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</si>
  <si>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</si>
  <si>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</si>
  <si>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</si>
  <si>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</si>
  <si>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</si>
  <si>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</si>
  <si>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</si>
  <si>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</si>
  <si>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</si>
  <si>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</si>
  <si>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</si>
  <si>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</si>
  <si>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</si>
  <si>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</si>
  <si>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</si>
  <si>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</si>
  <si>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</si>
  <si>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</si>
  <si>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</si>
  <si>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</si>
  <si>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</si>
  <si>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</si>
  <si>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</si>
  <si>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</si>
  <si>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</si>
  <si>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</si>
  <si>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</si>
  <si>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</si>
  <si>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</si>
  <si>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</si>
  <si>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</si>
  <si>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</si>
  <si>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</si>
  <si>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</si>
  <si>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</si>
  <si>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</si>
  <si>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</si>
  <si>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</si>
  <si>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</si>
  <si>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</si>
  <si>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</si>
  <si>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</si>
  <si>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</si>
  <si>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</si>
  <si>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</si>
  <si>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</si>
  <si>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</si>
  <si>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</si>
  <si>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</si>
  <si>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</si>
  <si>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</si>
  <si>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</si>
  <si>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</si>
  <si>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</si>
  <si>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</si>
  <si>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</si>
  <si>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</si>
  <si>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</si>
  <si>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</si>
  <si>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</si>
  <si>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</si>
  <si>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</si>
  <si>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</si>
  <si>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</si>
  <si>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</si>
  <si>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</si>
  <si>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</si>
  <si>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</si>
  <si>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</si>
  <si>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</si>
  <si>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</si>
  <si>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</si>
  <si>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</si>
  <si>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</si>
  <si>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</si>
  <si>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</si>
  <si>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</si>
  <si>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</si>
  <si>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</si>
  <si>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</si>
  <si>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</si>
  <si>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</si>
  <si>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</si>
  <si>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</si>
  <si>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</si>
  <si>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</si>
  <si>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</si>
  <si>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</si>
  <si>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</si>
  <si>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</si>
  <si>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</si>
  <si>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</si>
  <si>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</si>
  <si>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</si>
  <si>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</si>
  <si>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</si>
  <si>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</si>
  <si>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</si>
  <si>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</si>
  <si>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</si>
  <si>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</si>
  <si>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</si>
  <si>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</si>
  <si>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</si>
  <si>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</si>
  <si>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</si>
  <si>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</si>
  <si>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</si>
  <si>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</si>
  <si>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</si>
  <si>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</si>
  <si>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</si>
  <si>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</si>
  <si>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</si>
  <si>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</si>
  <si>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</si>
  <si>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</si>
  <si>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</si>
  <si>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</si>
  <si>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</si>
  <si>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</si>
  <si>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</si>
  <si>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</si>
  <si>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</si>
  <si>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</si>
  <si>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</si>
  <si>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</si>
  <si>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</si>
  <si>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</si>
  <si>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</si>
  <si>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</si>
  <si>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</si>
  <si>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</si>
  <si>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</si>
  <si>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</si>
  <si>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</si>
  <si>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</si>
  <si>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</si>
  <si>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</si>
  <si>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</si>
  <si>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</si>
  <si>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</si>
  <si>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</si>
  <si>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</si>
  <si>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</si>
  <si>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</si>
  <si>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</si>
  <si>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</si>
  <si>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</si>
  <si>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</si>
  <si>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</si>
  <si>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</si>
  <si>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</si>
  <si>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</si>
  <si>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</si>
  <si>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</si>
  <si>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</si>
  <si>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</si>
  <si>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</si>
  <si>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</si>
  <si>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</si>
  <si>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</si>
  <si>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</si>
  <si>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</si>
  <si>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</si>
  <si>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</si>
  <si>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</si>
  <si>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</si>
  <si>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</si>
  <si>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</si>
  <si>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</si>
  <si>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</si>
  <si>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</si>
  <si>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</si>
  <si>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</si>
  <si>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</si>
  <si>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</si>
  <si>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</si>
  <si>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</si>
  <si>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</si>
  <si>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</si>
  <si>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</si>
  <si>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</si>
  <si>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</si>
  <si>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</si>
  <si>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</si>
  <si>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</si>
  <si>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</si>
  <si>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</si>
  <si>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</si>
  <si>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</si>
  <si>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</si>
  <si>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</si>
  <si>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</si>
  <si>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</si>
  <si>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</si>
  <si>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</si>
  <si>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</si>
  <si>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</si>
  <si>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</si>
  <si>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</si>
  <si>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</si>
  <si>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</si>
  <si>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</si>
  <si>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</si>
  <si>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</si>
  <si>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</si>
  <si>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</si>
  <si>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</si>
  <si>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</si>
  <si>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</si>
  <si>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</si>
  <si>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</si>
  <si>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</si>
  <si>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</si>
  <si>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</si>
  <si>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</si>
  <si>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</si>
  <si>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</si>
  <si>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</si>
  <si>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</si>
  <si>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</si>
  <si>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</si>
  <si>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</si>
  <si>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</si>
  <si>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</si>
  <si>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</si>
  <si>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</si>
  <si>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</si>
  <si>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</si>
  <si>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</si>
  <si>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</si>
  <si>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</si>
  <si>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</si>
  <si>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</si>
  <si>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</si>
  <si>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</si>
  <si>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</si>
  <si>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</si>
  <si>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</si>
  <si>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</si>
  <si>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</si>
  <si>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</si>
  <si>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</si>
  <si>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</si>
  <si>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</si>
  <si>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</si>
  <si>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</si>
  <si>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</si>
  <si>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</si>
  <si>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</si>
  <si>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</si>
  <si>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</si>
  <si>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</si>
  <si>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</si>
  <si>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</si>
  <si>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</si>
  <si>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</si>
  <si>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</si>
  <si>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</si>
  <si>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</si>
  <si>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</si>
  <si>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</si>
  <si>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</si>
  <si>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</si>
  <si>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</si>
  <si>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</si>
  <si>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</si>
  <si>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</si>
  <si>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</si>
  <si>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</si>
  <si>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</si>
  <si>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</si>
  <si>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</si>
  <si>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</si>
  <si>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</si>
  <si>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</si>
  <si>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</si>
  <si>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</si>
  <si>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</si>
  <si>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</si>
  <si>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</si>
  <si>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</si>
  <si>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</si>
  <si>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</si>
  <si>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</si>
  <si>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</si>
  <si>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</si>
  <si>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</si>
  <si>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</si>
  <si>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</si>
  <si>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</si>
  <si>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</si>
  <si>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</si>
  <si>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</si>
  <si>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</si>
  <si>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</si>
  <si>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</si>
  <si>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</si>
  <si>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</si>
  <si>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</si>
  <si>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</si>
  <si>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</si>
  <si>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</si>
  <si>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</si>
  <si>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</si>
  <si>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</si>
  <si>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</si>
  <si>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</si>
  <si>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</si>
  <si>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</si>
  <si>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</si>
  <si>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</si>
  <si>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</si>
  <si>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</si>
  <si>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</si>
  <si>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</si>
  <si>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</si>
  <si>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</si>
  <si>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</si>
  <si>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</si>
  <si>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</si>
  <si>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</si>
  <si>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</si>
  <si>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</si>
  <si>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</si>
  <si>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</si>
  <si>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</si>
  <si>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</si>
  <si>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</si>
  <si>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</si>
  <si>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</si>
  <si>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</si>
  <si>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</si>
  <si>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</si>
  <si>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</si>
  <si>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</si>
  <si>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</si>
  <si>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</si>
  <si>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</si>
  <si>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</si>
  <si>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</si>
  <si>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</si>
  <si>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</si>
  <si>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</si>
  <si>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</si>
  <si>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</si>
  <si>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</si>
  <si>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</si>
  <si>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</si>
  <si>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</si>
  <si>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</si>
  <si>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</si>
  <si>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</si>
  <si>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</si>
  <si>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</si>
  <si>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</si>
  <si>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</si>
  <si>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</si>
  <si>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</si>
  <si>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</si>
  <si>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</si>
  <si>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</si>
  <si>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</si>
  <si>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</si>
  <si>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</si>
  <si>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</si>
  <si>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</si>
  <si>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</si>
  <si>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</si>
  <si>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</si>
  <si>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</si>
  <si>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</si>
  <si>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</si>
  <si>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</si>
  <si>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</si>
  <si>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</si>
  <si>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</si>
  <si>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</si>
  <si>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</si>
  <si>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</si>
  <si>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</si>
  <si>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</si>
  <si>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</si>
  <si>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</si>
  <si>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</si>
  <si>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</si>
  <si>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</si>
  <si>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</si>
  <si>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</si>
  <si>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</si>
  <si>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</si>
  <si>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</si>
  <si>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</si>
  <si>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</si>
  <si>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</si>
  <si>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</si>
  <si>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</si>
  <si>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</si>
  <si>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</si>
  <si>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</si>
  <si>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</si>
  <si>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</si>
  <si>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</si>
  <si>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</si>
  <si>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</si>
  <si>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</si>
  <si>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</si>
  <si>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</si>
  <si>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</si>
  <si>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</si>
  <si>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</si>
  <si>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</si>
  <si>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</si>
  <si>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</si>
  <si>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</si>
  <si>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</si>
  <si>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</si>
  <si>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</si>
  <si>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</si>
  <si>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</si>
  <si>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</si>
  <si>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</si>
  <si>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</si>
  <si>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</si>
  <si>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</si>
  <si>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</si>
  <si>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</si>
  <si>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</si>
  <si>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</si>
  <si>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</si>
  <si>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</si>
  <si>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</si>
  <si>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</si>
  <si>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</si>
  <si>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</si>
  <si>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</si>
  <si>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</si>
  <si>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</si>
  <si>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</si>
  <si>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</si>
  <si>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</si>
  <si>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</si>
  <si>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</si>
  <si>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</si>
  <si>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</si>
  <si>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</si>
  <si>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</si>
  <si>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</si>
  <si>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</si>
  <si>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</si>
  <si>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</si>
  <si>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</si>
  <si>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</si>
  <si>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</si>
  <si>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</si>
  <si>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</si>
  <si>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</si>
  <si>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</si>
  <si>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</si>
  <si>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</si>
  <si>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</si>
  <si>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</si>
  <si>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</si>
  <si>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</si>
  <si>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</si>
  <si>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</si>
  <si>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</si>
  <si>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</si>
  <si>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</si>
  <si>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</si>
  <si>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</si>
  <si>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</si>
  <si>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</si>
  <si>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</si>
  <si>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</si>
  <si>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</si>
  <si>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</si>
  <si>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</si>
  <si>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</si>
  <si>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</si>
  <si>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</si>
  <si>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</si>
  <si>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</si>
  <si>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</si>
  <si>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</si>
  <si>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</si>
  <si>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</si>
  <si>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</si>
  <si>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</si>
  <si>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</si>
  <si>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</si>
  <si>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</si>
  <si>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</si>
  <si>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</si>
  <si>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</si>
  <si>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</si>
  <si>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</si>
  <si>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</si>
  <si>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</si>
  <si>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</si>
  <si>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</si>
  <si>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</si>
  <si>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</si>
  <si>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</si>
  <si>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</si>
  <si>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</si>
  <si>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</si>
  <si>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</si>
  <si>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</si>
  <si>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</si>
  <si>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</si>
  <si>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</si>
  <si>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</si>
  <si>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</si>
  <si>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</si>
  <si>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</si>
  <si>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</si>
  <si>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</si>
  <si>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</si>
  <si>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</si>
  <si>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</si>
  <si>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</si>
  <si>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</si>
  <si>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</si>
  <si>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</si>
  <si>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</si>
  <si>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</si>
  <si>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</si>
  <si>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</si>
  <si>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</si>
  <si>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</si>
  <si>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</si>
  <si>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</si>
  <si>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</si>
  <si>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</si>
  <si>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</si>
  <si>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</si>
  <si>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</si>
  <si>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</si>
  <si>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</si>
  <si>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</si>
  <si>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</si>
  <si>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</si>
  <si>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</si>
  <si>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</si>
  <si>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</si>
  <si>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</si>
  <si>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</si>
  <si>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</si>
  <si>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</si>
  <si>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</si>
  <si>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</si>
  <si>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</si>
  <si>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</si>
  <si>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</si>
  <si>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</si>
  <si>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</si>
  <si>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</si>
  <si>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</si>
  <si>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</si>
  <si>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</si>
  <si>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</si>
  <si>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</si>
  <si>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</si>
  <si>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</si>
  <si>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</si>
  <si>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</si>
  <si>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</si>
  <si>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</si>
  <si>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</si>
  <si>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</si>
  <si>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</si>
  <si>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</si>
  <si>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</si>
  <si>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</si>
  <si>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</si>
  <si>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</si>
  <si>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</si>
  <si>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</si>
  <si>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</si>
  <si>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</si>
  <si>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</si>
  <si>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</si>
  <si>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</si>
  <si>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</si>
  <si>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</si>
  <si>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</si>
  <si>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</si>
  <si>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</si>
  <si>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</si>
  <si>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</si>
  <si>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</si>
  <si>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</si>
  <si>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</si>
  <si>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</si>
  <si>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</si>
  <si>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</si>
  <si>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</si>
  <si>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</si>
  <si>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</si>
  <si>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</si>
  <si>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</si>
  <si>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</si>
  <si>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</si>
  <si>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</si>
  <si>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</si>
  <si>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</si>
  <si>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</si>
  <si>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</si>
  <si>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</si>
  <si>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</si>
  <si>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</si>
  <si>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</si>
  <si>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</si>
  <si>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</si>
  <si>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</si>
  <si>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</si>
  <si>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</si>
  <si>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</si>
  <si>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</si>
  <si>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</si>
  <si>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</si>
  <si>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</si>
  <si>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</si>
  <si>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</si>
  <si>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</si>
  <si>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</si>
  <si>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</si>
  <si>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</si>
  <si>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</si>
  <si>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</si>
  <si>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</si>
  <si>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</si>
  <si>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</si>
  <si>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</si>
  <si>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</si>
  <si>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</si>
  <si>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</si>
  <si>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</si>
  <si>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</si>
  <si>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</si>
  <si>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</si>
  <si>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</si>
  <si>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</si>
  <si>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</si>
  <si>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</si>
  <si>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</si>
  <si>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</si>
  <si>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</si>
  <si>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</si>
  <si>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</si>
  <si>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</si>
  <si>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</si>
  <si>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</si>
  <si>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</si>
  <si>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</si>
  <si>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</si>
  <si>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</si>
  <si>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</si>
  <si>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</si>
  <si>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</si>
  <si>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</si>
  <si>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</si>
  <si>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</si>
  <si>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</si>
  <si>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</si>
  <si>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</si>
  <si>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</si>
  <si>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</si>
  <si>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</si>
  <si>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</si>
  <si>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</si>
  <si>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</si>
  <si>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</si>
  <si>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</si>
  <si>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</si>
  <si>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</si>
  <si>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</si>
  <si>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</si>
  <si>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</si>
  <si>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</si>
  <si>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</si>
  <si>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</si>
  <si>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</si>
  <si>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</si>
  <si>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</si>
  <si>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</si>
  <si>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</si>
  <si>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</si>
  <si>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</si>
  <si>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</si>
  <si>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</si>
  <si>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</si>
  <si>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</si>
  <si>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</si>
  <si>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</si>
  <si>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</si>
  <si>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</si>
  <si>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</si>
  <si>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</si>
  <si>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</si>
  <si>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</si>
  <si>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</si>
  <si>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</si>
  <si>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</si>
  <si>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</si>
  <si>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</si>
  <si>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</si>
  <si>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</si>
  <si>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</si>
  <si>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</si>
  <si>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</si>
  <si>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</si>
  <si>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</si>
  <si>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</si>
  <si>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</si>
  <si>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</si>
  <si>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</si>
  <si>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</si>
  <si>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</si>
  <si>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</si>
  <si>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</si>
  <si>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</si>
  <si>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</si>
  <si>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</si>
  <si>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</si>
  <si>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</si>
  <si>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</si>
  <si>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</si>
  <si>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</si>
  <si>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</si>
  <si>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</si>
  <si>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</si>
  <si>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</si>
  <si>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</si>
  <si>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</si>
  <si>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</si>
  <si>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</si>
  <si>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</si>
  <si>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</si>
  <si>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</si>
  <si>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</si>
  <si>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</si>
  <si>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</si>
  <si>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</si>
  <si>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</si>
  <si>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</si>
  <si>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</si>
  <si>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</si>
  <si>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</si>
  <si>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</si>
  <si>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</si>
  <si>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</si>
  <si>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</si>
  <si>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</si>
  <si>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</si>
  <si>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</si>
  <si>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</si>
  <si>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</si>
  <si>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</si>
  <si>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</si>
  <si>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</si>
  <si>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</si>
  <si>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</si>
  <si>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</si>
  <si>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</si>
  <si>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</si>
  <si>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</si>
  <si>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</si>
  <si>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</si>
  <si>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</si>
  <si>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</si>
  <si>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</si>
  <si>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</si>
  <si>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</si>
  <si>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</si>
  <si>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</si>
  <si>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</si>
  <si>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</si>
  <si>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</si>
  <si>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</si>
  <si>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</si>
  <si>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</si>
  <si>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</si>
  <si>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</si>
  <si>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</si>
  <si>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</si>
  <si>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</si>
  <si>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</si>
  <si>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</si>
  <si>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</si>
  <si>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</si>
  <si>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</si>
  <si>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</si>
  <si>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</si>
  <si>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</si>
  <si>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</si>
  <si>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</si>
  <si>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</si>
  <si>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</si>
  <si>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</si>
  <si>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</si>
  <si>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</si>
  <si>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</si>
  <si>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</si>
  <si>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</si>
  <si>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</si>
  <si>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</si>
  <si>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</si>
  <si>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</si>
  <si>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</si>
  <si>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</si>
  <si>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</si>
  <si>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</si>
  <si>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</si>
  <si>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</si>
  <si>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</si>
  <si>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</si>
  <si>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</si>
  <si>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</si>
  <si>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</si>
  <si>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</si>
  <si>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</si>
  <si>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</si>
  <si>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</si>
  <si>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</si>
  <si>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</si>
  <si>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</si>
  <si>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</si>
  <si>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</si>
  <si>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</si>
  <si>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</si>
  <si>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</si>
  <si>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</si>
  <si>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</si>
  <si>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</si>
  <si>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</si>
  <si>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</si>
  <si>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</si>
  <si>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</si>
  <si>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</si>
  <si>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</si>
  <si>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</si>
  <si>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</si>
  <si>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</si>
  <si>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</si>
  <si>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</si>
  <si>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</si>
  <si>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</si>
  <si>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</si>
  <si>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</si>
  <si>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</si>
  <si>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</si>
  <si>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</si>
  <si>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</si>
  <si>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</si>
  <si>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</si>
  <si>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</si>
  <si>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</si>
  <si>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</si>
  <si>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</si>
  <si>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</si>
  <si>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</si>
  <si>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</si>
  <si>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</si>
  <si>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</si>
  <si>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</si>
  <si>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</si>
  <si>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</si>
  <si>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</si>
  <si>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</si>
  <si>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</si>
  <si>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</si>
  <si>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</si>
  <si>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</si>
  <si>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</si>
  <si>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</si>
  <si>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</si>
  <si>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</si>
  <si>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</si>
  <si>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</si>
  <si>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</si>
  <si>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</si>
  <si>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</si>
  <si>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</si>
  <si>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</si>
  <si>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</si>
  <si>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</si>
  <si>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</si>
  <si>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</si>
  <si>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</si>
  <si>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</si>
  <si>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</si>
  <si>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</si>
  <si>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</si>
  <si>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</si>
  <si>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</si>
  <si>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</si>
  <si>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</si>
  <si>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</si>
  <si>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</si>
  <si>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</si>
  <si>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</si>
  <si>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</si>
  <si>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</si>
  <si>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</si>
  <si>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</si>
  <si>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</si>
  <si>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</si>
  <si>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</si>
  <si>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</si>
  <si>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</si>
  <si>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</si>
  <si>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</si>
  <si>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</si>
  <si>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</si>
  <si>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</si>
  <si>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</si>
  <si>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</si>
  <si>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</si>
  <si>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</si>
  <si>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</si>
  <si>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</si>
  <si>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</si>
  <si>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</si>
  <si>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</si>
  <si>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</si>
  <si>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</si>
  <si>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</si>
  <si>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</si>
  <si>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</si>
  <si>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</si>
  <si>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</si>
  <si>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</si>
  <si>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</si>
  <si>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</si>
  <si>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</si>
  <si>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</si>
  <si>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</si>
  <si>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</si>
  <si>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</si>
  <si>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</si>
  <si>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</si>
  <si>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</si>
  <si>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</si>
  <si>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</si>
  <si>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</si>
  <si>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</si>
  <si>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</si>
  <si>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</si>
  <si>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</si>
  <si>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</si>
  <si>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</si>
  <si>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</si>
  <si>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</si>
  <si>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</si>
  <si>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</si>
  <si>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</si>
  <si>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</si>
  <si>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</si>
  <si>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</si>
  <si>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</si>
  <si>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</si>
  <si>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</si>
  <si>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</si>
  <si>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</si>
  <si>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</si>
  <si>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</si>
  <si>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</si>
  <si>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</si>
  <si>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</si>
  <si>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</si>
  <si>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</si>
  <si>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</si>
  <si>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</si>
  <si>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</si>
  <si>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</si>
  <si>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</si>
  <si>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</si>
  <si>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</si>
  <si>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</si>
  <si>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</si>
  <si>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</si>
  <si>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</si>
  <si>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</si>
  <si>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</si>
  <si>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</si>
  <si>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</si>
  <si>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</si>
  <si>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</si>
  <si>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</si>
  <si>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</si>
  <si>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</si>
  <si>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</si>
  <si>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</si>
  <si>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</si>
  <si>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</si>
  <si>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</si>
  <si>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</si>
  <si>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</si>
  <si>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</si>
  <si>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</si>
  <si>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</si>
  <si>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</si>
  <si>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</si>
  <si>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</si>
  <si>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</si>
  <si>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</si>
  <si>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</si>
  <si>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</si>
  <si>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</si>
  <si>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</si>
  <si>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</si>
  <si>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</si>
  <si>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</si>
  <si>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</si>
  <si>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</si>
  <si>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</si>
  <si>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</si>
  <si>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</si>
  <si>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</si>
  <si>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</si>
  <si>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</si>
  <si>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</si>
  <si>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</si>
  <si>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</si>
  <si>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</si>
  <si>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</si>
  <si>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</si>
  <si>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</si>
  <si>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</si>
  <si>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</si>
  <si>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</si>
  <si>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</si>
  <si>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</si>
  <si>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</si>
  <si>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</si>
  <si>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</si>
  <si>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</si>
  <si>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</si>
  <si>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</si>
  <si>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</si>
  <si>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</si>
  <si>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</si>
  <si>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</si>
  <si>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</si>
  <si>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</si>
  <si>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</si>
  <si>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</si>
  <si>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</si>
  <si>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</si>
  <si>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</si>
  <si>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</si>
  <si>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</si>
  <si>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</si>
  <si>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</si>
  <si>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</si>
  <si>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</si>
  <si>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</si>
  <si>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</si>
  <si>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</si>
  <si>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</si>
  <si>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</si>
  <si>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</si>
  <si>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</si>
  <si>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</si>
  <si>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</si>
  <si>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</si>
  <si>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</si>
  <si>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</si>
  <si>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</si>
  <si>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</si>
  <si>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</si>
  <si>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</si>
  <si>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</si>
  <si>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</si>
  <si>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</si>
  <si>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</si>
  <si>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</si>
  <si>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</si>
  <si>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</si>
  <si>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</si>
  <si>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</si>
  <si>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</si>
  <si>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</si>
  <si>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</si>
  <si>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</si>
  <si>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</si>
  <si>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</si>
  <si>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</si>
  <si>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</si>
  <si>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</si>
  <si>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</si>
  <si>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</si>
  <si>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</si>
  <si>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</si>
  <si>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</si>
  <si>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</si>
  <si>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</si>
  <si>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</si>
  <si>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</si>
  <si>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</si>
  <si>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</si>
  <si>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</si>
  <si>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</si>
  <si>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</si>
  <si>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</si>
  <si>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</si>
  <si>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</si>
  <si>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</si>
  <si>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</si>
  <si>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</si>
  <si>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</si>
  <si>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</si>
  <si>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</si>
  <si>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</si>
  <si>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</si>
  <si>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</si>
  <si>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</si>
  <si>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</si>
  <si>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</si>
  <si>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</si>
  <si>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</si>
  <si>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</si>
  <si>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</si>
  <si>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</si>
  <si>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</si>
  <si>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</si>
  <si>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</si>
  <si>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</si>
  <si>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</si>
  <si>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</si>
  <si>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</si>
  <si>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</si>
  <si>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</si>
  <si>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</si>
  <si>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</si>
  <si>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</si>
  <si>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</si>
  <si>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</si>
  <si>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</si>
  <si>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</si>
  <si>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</si>
  <si>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</si>
  <si>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</si>
  <si>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</si>
  <si>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</si>
  <si>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</si>
  <si>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</si>
  <si>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</si>
  <si>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</si>
  <si>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</si>
  <si>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</si>
  <si>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</si>
  <si>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</si>
  <si>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</si>
  <si>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</si>
  <si>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</si>
  <si>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</si>
  <si>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</si>
  <si>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</si>
  <si>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</si>
  <si>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</si>
  <si>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</si>
  <si>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</si>
  <si>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</si>
  <si>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</si>
  <si>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</si>
  <si>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</si>
  <si>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</si>
  <si>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</si>
  <si>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</si>
  <si>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</si>
  <si>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</si>
  <si>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</si>
  <si>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</si>
  <si>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</si>
  <si>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</si>
  <si>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</si>
  <si>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</si>
  <si>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</si>
  <si>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</si>
  <si>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</si>
  <si>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</si>
  <si>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</si>
  <si>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</si>
  <si>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</si>
  <si>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</si>
  <si>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</si>
  <si>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</si>
  <si>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</si>
  <si>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</si>
  <si>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</si>
  <si>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</si>
  <si>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</si>
  <si>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</si>
  <si>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</si>
  <si>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</si>
  <si>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</si>
  <si>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</si>
  <si>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</si>
  <si>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</si>
  <si>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</si>
  <si>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</si>
  <si>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</si>
  <si>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</si>
  <si>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</si>
  <si>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</si>
  <si>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</si>
  <si>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</si>
  <si>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</si>
  <si>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</si>
  <si>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</si>
  <si>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</si>
  <si>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</si>
  <si>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</si>
  <si>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</si>
  <si>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</si>
  <si>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</si>
  <si>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</si>
  <si>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</si>
  <si>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</si>
  <si>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</si>
  <si>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</si>
  <si>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</si>
  <si>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</si>
  <si>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</si>
  <si>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</si>
  <si>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</si>
  <si>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</si>
  <si>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</si>
  <si>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</si>
  <si>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</si>
  <si>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</si>
  <si>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</si>
  <si>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</si>
  <si>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</si>
  <si>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</si>
  <si>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</si>
  <si>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</si>
  <si>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</si>
  <si>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</si>
  <si>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</si>
  <si>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</si>
  <si>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</si>
  <si>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</si>
  <si>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</si>
  <si>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</si>
  <si>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</si>
  <si>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</si>
  <si>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</si>
  <si>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</si>
  <si>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</si>
  <si>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</si>
  <si>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</si>
  <si>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</si>
  <si>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</si>
  <si>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</si>
  <si>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</si>
  <si>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</si>
  <si>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</si>
  <si>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</si>
  <si>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</si>
  <si>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</si>
  <si>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</si>
  <si>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</si>
  <si>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</si>
  <si>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</si>
  <si>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</si>
  <si>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</si>
  <si>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</si>
  <si>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</si>
  <si>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</si>
  <si>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</si>
  <si>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</si>
  <si>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</si>
  <si>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</si>
  <si>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</si>
  <si>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</si>
  <si>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</si>
  <si>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</si>
  <si>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</si>
  <si>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</si>
  <si>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</si>
  <si>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</si>
  <si>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</si>
  <si>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</si>
  <si>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</si>
  <si>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</si>
  <si>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</si>
  <si>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</si>
  <si>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</si>
  <si>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</si>
  <si>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</si>
  <si>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</si>
  <si>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</si>
  <si>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</si>
  <si>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</si>
  <si>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</si>
  <si>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</si>
  <si>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</si>
  <si>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</si>
  <si>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</si>
  <si>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</si>
  <si>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</si>
  <si>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</si>
  <si>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</si>
  <si>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</si>
  <si>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</si>
  <si>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</si>
  <si>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</si>
  <si>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</si>
  <si>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</si>
  <si>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</si>
  <si>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</si>
  <si>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</si>
  <si>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</si>
  <si>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</si>
  <si>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</si>
  <si>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</si>
  <si>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</si>
  <si>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</si>
  <si>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</si>
  <si>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</si>
  <si>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</si>
  <si>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</si>
  <si>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</si>
  <si>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</si>
  <si>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</si>
  <si>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</si>
  <si>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</si>
  <si>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</si>
  <si>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</si>
  <si>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</si>
  <si>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</si>
  <si>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</si>
  <si>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</si>
  <si>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</si>
  <si>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</si>
  <si>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</si>
  <si>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</si>
  <si>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</si>
  <si>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</si>
  <si>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</si>
  <si>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</si>
  <si>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</si>
  <si>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</si>
  <si>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</si>
  <si>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</si>
  <si>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</si>
  <si>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</si>
  <si>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</si>
  <si>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</si>
  <si>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</si>
  <si>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</si>
  <si>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</si>
  <si>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</si>
  <si>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</si>
  <si>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</si>
  <si>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</si>
  <si>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</si>
  <si>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</si>
  <si>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</si>
  <si>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</si>
  <si>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</si>
  <si>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</si>
  <si>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</si>
  <si>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</si>
  <si>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</si>
  <si>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</si>
  <si>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</si>
  <si>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</si>
  <si>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</si>
  <si>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</si>
  <si>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</si>
  <si>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</si>
  <si>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</si>
  <si>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</si>
  <si>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</si>
  <si>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</si>
  <si>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</si>
  <si>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</si>
  <si>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</si>
  <si>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</si>
  <si>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</si>
  <si>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</si>
  <si>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</si>
  <si>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</si>
  <si>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</si>
  <si>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</si>
  <si>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</si>
  <si>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</si>
  <si>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</si>
  <si>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</si>
  <si>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</si>
  <si>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</si>
  <si>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</si>
  <si>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</si>
  <si>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</si>
  <si>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</si>
  <si>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</si>
  <si>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</si>
  <si>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</si>
  <si>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</si>
  <si>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</si>
  <si>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</si>
  <si>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</si>
  <si>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</si>
  <si>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</si>
  <si>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</si>
  <si>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</si>
  <si>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</si>
  <si>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</si>
  <si>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</si>
  <si>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</si>
  <si>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</si>
  <si>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</si>
  <si>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</si>
  <si>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</si>
  <si>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</si>
  <si>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</si>
  <si>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</si>
  <si>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</si>
  <si>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</si>
  <si>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</si>
  <si>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</si>
  <si>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</si>
  <si>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</si>
  <si>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</si>
  <si>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</si>
  <si>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</si>
  <si>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</si>
  <si>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</si>
  <si>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</si>
  <si>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</si>
  <si>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</si>
  <si>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</si>
  <si>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</si>
  <si>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</si>
  <si>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</si>
  <si>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</si>
  <si>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</si>
  <si>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</si>
  <si>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</si>
  <si>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</si>
  <si>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</si>
  <si>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</si>
  <si>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</si>
  <si>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</si>
  <si>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</si>
  <si>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</si>
  <si>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</si>
  <si>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</si>
  <si>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</si>
  <si>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</si>
  <si>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</si>
  <si>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</si>
  <si>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</si>
  <si>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</si>
  <si>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</si>
  <si>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</si>
  <si>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</si>
  <si>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</si>
  <si>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</si>
  <si>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</si>
  <si>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</si>
  <si>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</si>
  <si>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</si>
  <si>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</si>
  <si>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</si>
  <si>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</si>
  <si>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</si>
  <si>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</si>
  <si>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</si>
  <si>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</si>
  <si>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</si>
  <si>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</si>
  <si>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</si>
  <si>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</si>
  <si>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</si>
  <si>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</si>
  <si>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</si>
  <si>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</si>
  <si>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</si>
  <si>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</si>
  <si>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</si>
  <si>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</si>
  <si>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</si>
  <si>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</si>
  <si>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</si>
  <si>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</si>
  <si>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</si>
  <si>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</si>
  <si>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</si>
  <si>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</si>
  <si>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</si>
  <si>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</si>
  <si>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</si>
  <si>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</si>
  <si>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</si>
  <si>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</si>
  <si>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</si>
  <si>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</si>
  <si>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</si>
  <si>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</si>
  <si>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</si>
  <si>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</si>
  <si>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</si>
  <si>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</si>
  <si>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</si>
  <si>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</si>
  <si>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</si>
  <si>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</si>
  <si>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</si>
  <si>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</si>
  <si>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</si>
  <si>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</si>
  <si>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</si>
  <si>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</si>
  <si>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</si>
  <si>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</si>
  <si>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</si>
  <si>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</si>
  <si>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</si>
  <si>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</si>
  <si>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</si>
  <si>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</si>
  <si>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</si>
  <si>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</si>
  <si>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</si>
  <si>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</si>
  <si>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</si>
  <si>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</si>
  <si>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</si>
  <si>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</si>
  <si>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</si>
  <si>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</si>
  <si>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</si>
  <si>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</si>
  <si>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</si>
  <si>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</si>
  <si>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</si>
  <si>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</si>
  <si>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</si>
  <si>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</si>
  <si>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</si>
  <si>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</si>
  <si>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</si>
  <si>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</si>
  <si>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</si>
  <si>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</si>
  <si>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</si>
  <si>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</si>
  <si>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</si>
  <si>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</si>
  <si>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</si>
  <si>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</si>
  <si>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</si>
  <si>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</si>
  <si>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</si>
  <si>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</si>
  <si>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</si>
  <si>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</si>
  <si>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</si>
  <si>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</si>
  <si>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</si>
  <si>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</si>
  <si>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</si>
  <si>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</si>
  <si>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</si>
  <si>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</si>
  <si>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</si>
  <si>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</si>
  <si>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</si>
  <si>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</si>
  <si>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</si>
  <si>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</si>
  <si>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</si>
  <si>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</si>
  <si>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</si>
  <si>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</si>
  <si>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</si>
  <si>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</si>
  <si>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</si>
  <si>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</si>
  <si>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</si>
  <si>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</si>
  <si>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</si>
  <si>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</si>
  <si>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</si>
  <si>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</si>
  <si>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</si>
  <si>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</si>
  <si>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</si>
  <si>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</si>
  <si>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</si>
  <si>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</si>
  <si>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</si>
  <si>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</si>
  <si>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</si>
  <si>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</si>
  <si>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</si>
  <si>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</si>
  <si>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</si>
  <si>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</si>
  <si>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</si>
  <si>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</si>
  <si>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</si>
  <si>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</si>
  <si>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</si>
  <si>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</si>
  <si>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</si>
  <si>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</si>
  <si>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</si>
  <si>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</si>
  <si>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</si>
  <si>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</si>
  <si>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</si>
  <si>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</si>
  <si>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</si>
  <si>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</si>
  <si>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</si>
  <si>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</si>
  <si>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</si>
  <si>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</si>
  <si>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</si>
  <si>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</si>
  <si>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</si>
  <si>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</si>
  <si>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</si>
  <si>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</si>
  <si>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</si>
  <si>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</si>
  <si>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</si>
  <si>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</si>
  <si>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</si>
  <si>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</si>
  <si>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</si>
  <si>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</si>
  <si>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</si>
  <si>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</si>
  <si>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</si>
  <si>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</si>
  <si>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</si>
  <si>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</si>
  <si>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</si>
  <si>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</si>
  <si>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</si>
  <si>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</si>
  <si>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</si>
  <si>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</si>
  <si>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</si>
  <si>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</si>
  <si>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</si>
  <si>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</si>
  <si>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</si>
  <si>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</si>
  <si>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</si>
  <si>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</si>
  <si>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</si>
  <si>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</si>
  <si>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</si>
  <si>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</si>
  <si>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</si>
  <si>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</si>
  <si>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</si>
  <si>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</si>
  <si>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</si>
  <si>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</si>
  <si>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</si>
  <si>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</si>
  <si>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</si>
  <si>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</si>
  <si>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</si>
  <si>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</si>
  <si>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</si>
  <si>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</si>
  <si>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</si>
  <si>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</si>
  <si>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</si>
  <si>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</si>
  <si>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</si>
  <si>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</si>
  <si>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</si>
  <si>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</si>
  <si>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</si>
  <si>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</si>
  <si>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</si>
  <si>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</si>
  <si>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</si>
  <si>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</si>
  <si>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</si>
  <si>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</si>
  <si>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</si>
  <si>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</si>
  <si>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</si>
  <si>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</si>
  <si>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</si>
  <si>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</si>
  <si>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</si>
  <si>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</si>
  <si>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</si>
  <si>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</si>
  <si>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</si>
  <si>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</si>
  <si>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</si>
  <si>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</si>
  <si>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</si>
  <si>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</si>
  <si>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</si>
  <si>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</si>
  <si>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</si>
  <si>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</si>
  <si>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</si>
  <si>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</si>
  <si>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</si>
  <si>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</si>
  <si>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</si>
  <si>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</si>
  <si>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</si>
  <si>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</si>
  <si>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</si>
  <si>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</si>
  <si>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</si>
  <si>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</si>
  <si>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</si>
  <si>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</si>
  <si>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</si>
  <si>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</si>
  <si>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</si>
  <si>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</si>
  <si>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</si>
  <si>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</si>
  <si>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</si>
  <si>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</si>
  <si>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</si>
  <si>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</si>
  <si>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</si>
  <si>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</si>
  <si>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</si>
  <si>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</si>
  <si>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</si>
  <si>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</si>
  <si>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</si>
  <si>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</si>
  <si>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</si>
  <si>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</si>
  <si>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</si>
  <si>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</si>
  <si>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</si>
  <si>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</si>
  <si>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</si>
  <si>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</si>
  <si>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</si>
  <si>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</si>
  <si>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</si>
  <si>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</si>
  <si>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</si>
  <si>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</si>
  <si>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</si>
  <si>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</si>
  <si>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</si>
  <si>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</si>
  <si>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</si>
  <si>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</si>
  <si>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</si>
  <si>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</si>
  <si>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</si>
  <si>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</si>
  <si>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</si>
  <si>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</si>
  <si>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</si>
  <si>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</si>
  <si>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</si>
  <si>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</si>
  <si>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</si>
  <si>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</si>
  <si>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</si>
  <si>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</si>
  <si>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</si>
  <si>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</si>
  <si>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</si>
  <si>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</si>
  <si>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</si>
  <si>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</si>
  <si>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</si>
  <si>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</si>
  <si>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</si>
  <si>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</si>
  <si>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</si>
  <si>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</si>
  <si>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</si>
  <si>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</si>
  <si>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</si>
  <si>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</si>
  <si>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</si>
  <si>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</si>
  <si>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</si>
  <si>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</si>
  <si>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</si>
  <si>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</si>
  <si>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</si>
  <si>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</si>
  <si>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</si>
  <si>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</si>
  <si>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</si>
  <si>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</si>
  <si>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</si>
  <si>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</si>
  <si>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</si>
  <si>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</si>
  <si>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</si>
  <si>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</si>
  <si>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</si>
  <si>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</si>
  <si>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</si>
  <si>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</si>
  <si>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</si>
  <si>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</si>
  <si>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</si>
  <si>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</si>
  <si>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</si>
  <si>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</si>
  <si>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</si>
  <si>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</si>
  <si>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</si>
  <si>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</si>
  <si>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</si>
  <si>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</si>
  <si>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</si>
  <si>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</si>
  <si>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</si>
  <si>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</si>
  <si>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</si>
  <si>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</si>
  <si>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</si>
  <si>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</si>
  <si>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</si>
  <si>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</si>
  <si>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</si>
  <si>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</si>
  <si>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</si>
  <si>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</si>
  <si>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</si>
  <si>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</si>
  <si>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</si>
  <si>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</si>
  <si>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</si>
  <si>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</si>
  <si>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</si>
  <si>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</si>
  <si>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</si>
  <si>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</si>
  <si>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</si>
  <si>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</si>
  <si>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</si>
  <si>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</si>
  <si>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</si>
  <si>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</si>
  <si>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</si>
  <si>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</si>
  <si>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</si>
  <si>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</si>
  <si>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</si>
  <si>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</si>
  <si>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</si>
  <si>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</si>
  <si>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</si>
  <si>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</si>
  <si>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</si>
  <si>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</si>
  <si>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</si>
  <si>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</si>
  <si>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</si>
  <si>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</si>
  <si>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</si>
  <si>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</si>
  <si>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</si>
  <si>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</si>
  <si>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</si>
  <si>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</si>
  <si>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</si>
  <si>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</si>
  <si>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</si>
  <si>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</si>
  <si>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</si>
  <si>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</si>
  <si>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</si>
  <si>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</si>
  <si>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</si>
  <si>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</si>
  <si>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</si>
  <si>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</si>
  <si>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</si>
  <si>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</si>
  <si>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</si>
  <si>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</si>
  <si>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</si>
  <si>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</si>
  <si>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</si>
  <si>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</si>
  <si>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</si>
  <si>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</si>
  <si>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</si>
  <si>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</si>
  <si>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</si>
  <si>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</si>
  <si>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</si>
  <si>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</si>
  <si>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</si>
  <si>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</si>
  <si>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</si>
  <si>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</si>
  <si>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</si>
  <si>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</si>
  <si>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</si>
  <si>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</si>
  <si>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</si>
  <si>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</si>
  <si>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</si>
  <si>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</si>
  <si>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</si>
  <si>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</si>
  <si>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</si>
  <si>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</si>
  <si>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</si>
  <si>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</si>
  <si>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</si>
  <si>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</si>
  <si>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</si>
  <si>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</si>
  <si>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</si>
  <si>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</si>
  <si>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</si>
  <si>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</si>
  <si>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</si>
  <si>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</si>
  <si>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</si>
  <si>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</si>
  <si>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</si>
  <si>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</si>
  <si>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</si>
  <si>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</si>
  <si>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</si>
  <si>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</si>
  <si>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</si>
  <si>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</si>
  <si>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</si>
  <si>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</si>
  <si>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</si>
  <si>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</si>
  <si>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</si>
  <si>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</si>
  <si>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</si>
  <si>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</si>
  <si>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</si>
  <si>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</si>
  <si>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</si>
  <si>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</si>
  <si>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</si>
  <si>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</si>
  <si>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</si>
  <si>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</si>
  <si>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</si>
  <si>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</si>
  <si>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</si>
  <si>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</si>
  <si>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</si>
  <si>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</si>
  <si>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</si>
  <si>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</si>
  <si>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</si>
  <si>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</si>
  <si>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</si>
  <si>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</si>
  <si>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</si>
  <si>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</si>
  <si>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</si>
  <si>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</si>
  <si>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</si>
  <si>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</si>
  <si>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</si>
  <si>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</si>
  <si>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</si>
  <si>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</si>
  <si>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</si>
  <si>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</si>
  <si>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</si>
  <si>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</si>
  <si>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</si>
  <si>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</si>
  <si>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</si>
  <si>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</si>
  <si>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</si>
  <si>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</si>
  <si>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</si>
  <si>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</si>
  <si>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</si>
  <si>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</si>
  <si>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</si>
  <si>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</si>
  <si>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</si>
  <si>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</si>
  <si>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</si>
  <si>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</si>
  <si>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</si>
  <si>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</si>
  <si>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</si>
  <si>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</si>
  <si>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</si>
  <si>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</si>
  <si>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</si>
  <si>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</si>
  <si>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</si>
  <si>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</si>
  <si>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</si>
  <si>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</si>
  <si>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</si>
  <si>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</si>
  <si>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</si>
  <si>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</si>
  <si>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</si>
  <si>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</si>
  <si>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</si>
  <si>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</si>
  <si>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</si>
  <si>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</si>
  <si>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</si>
  <si>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</si>
  <si>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</si>
  <si>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</si>
  <si>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</si>
  <si>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</si>
  <si>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</si>
  <si>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</si>
  <si>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</si>
  <si>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</si>
  <si>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</si>
  <si>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</si>
  <si>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</si>
  <si>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</si>
  <si>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</si>
  <si>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</si>
  <si>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</si>
  <si>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</si>
  <si>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</si>
  <si>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</si>
  <si>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</si>
  <si>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</si>
  <si>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</si>
  <si>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</si>
  <si>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</si>
  <si>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</si>
  <si>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</si>
  <si>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</si>
  <si>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</si>
  <si>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</si>
  <si>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</si>
  <si>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</si>
  <si>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</si>
  <si>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</si>
  <si>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</si>
  <si>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</si>
  <si>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</si>
  <si>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</si>
  <si>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</si>
  <si>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</si>
  <si>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</si>
  <si>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</si>
  <si>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</si>
  <si>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</si>
  <si>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</si>
  <si>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</si>
  <si>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</si>
  <si>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</si>
  <si>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</si>
  <si>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</si>
  <si>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</si>
  <si>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</si>
  <si>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</si>
  <si>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</si>
  <si>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</si>
  <si>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</si>
  <si>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</si>
  <si>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</si>
  <si>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</si>
  <si>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</si>
  <si>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</si>
  <si>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</si>
  <si>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</si>
  <si>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</si>
  <si>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</si>
  <si>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</si>
  <si>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</si>
  <si>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</si>
  <si>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</si>
  <si>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</si>
  <si>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</si>
  <si>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</si>
  <si>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</si>
  <si>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</si>
  <si>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</si>
  <si>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</si>
  <si>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</si>
  <si>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</si>
  <si>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</si>
  <si>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</si>
  <si>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</si>
  <si>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</si>
  <si>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</si>
  <si>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</si>
  <si>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</si>
  <si>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</si>
  <si>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</si>
  <si>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</si>
  <si>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</si>
  <si>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</si>
  <si>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</si>
  <si>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</si>
  <si>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</si>
  <si>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</si>
  <si>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</si>
  <si>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</si>
  <si>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</si>
  <si>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</si>
  <si>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</si>
  <si>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</si>
  <si>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</si>
  <si>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</si>
  <si>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</si>
  <si>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</si>
  <si>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</si>
  <si>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</si>
  <si>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</si>
  <si>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</si>
  <si>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</si>
  <si>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</si>
  <si>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</si>
  <si>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</si>
  <si>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</si>
  <si>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</si>
  <si>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</si>
  <si>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</si>
  <si>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</si>
  <si>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</si>
  <si>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</si>
  <si>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</si>
  <si>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</si>
  <si>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</si>
  <si>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</si>
  <si>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</si>
  <si>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</si>
  <si>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</si>
  <si>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</si>
  <si>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</si>
  <si>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</si>
  <si>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</si>
  <si>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</si>
  <si>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</si>
  <si>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</si>
  <si>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</si>
  <si>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</si>
  <si>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</si>
  <si>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</si>
  <si>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</si>
  <si>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</si>
  <si>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</si>
  <si>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</si>
  <si>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</si>
  <si>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</si>
  <si>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</si>
  <si>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</si>
  <si>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</si>
  <si>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</si>
  <si>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</si>
  <si>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</si>
  <si>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</si>
  <si>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</si>
  <si>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</si>
  <si>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</si>
  <si>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</si>
  <si>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</si>
  <si>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</si>
  <si>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</si>
  <si>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</si>
  <si>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</si>
  <si>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</si>
  <si>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</si>
  <si>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</si>
  <si>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</si>
  <si>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</si>
  <si>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</si>
  <si>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</si>
  <si>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</si>
  <si>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</si>
  <si>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</si>
  <si>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</si>
  <si>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</si>
  <si>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</si>
  <si>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</si>
  <si>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</si>
  <si>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</si>
  <si>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</si>
  <si>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</si>
  <si>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</si>
  <si>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</si>
  <si>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</si>
  <si>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</si>
  <si>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</si>
  <si>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</si>
  <si>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</si>
  <si>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</si>
  <si>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</si>
  <si>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</si>
  <si>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</si>
  <si>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</si>
  <si>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</si>
  <si>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</si>
  <si>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</si>
  <si>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</si>
  <si>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</si>
  <si>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</si>
  <si>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</si>
  <si>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</si>
  <si>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</si>
  <si>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</si>
  <si>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</si>
  <si>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</si>
  <si>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</si>
  <si>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</si>
  <si>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</si>
  <si>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</si>
  <si>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</si>
  <si>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</si>
  <si>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</si>
  <si>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</si>
  <si>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</si>
  <si>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</si>
  <si>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</si>
  <si>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</si>
  <si>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</si>
  <si>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</si>
  <si>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</si>
  <si>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</si>
  <si>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</si>
  <si>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</si>
  <si>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</si>
  <si>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</si>
  <si>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</si>
  <si>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</si>
  <si>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</si>
  <si>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</si>
  <si>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</si>
  <si>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</si>
  <si>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</si>
  <si>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</si>
  <si>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</si>
  <si>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</si>
  <si>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</si>
  <si>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</si>
  <si>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</si>
  <si>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</si>
  <si>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</si>
  <si>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</si>
  <si>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</si>
  <si>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</si>
  <si>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</si>
  <si>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</si>
  <si>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</si>
  <si>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</si>
  <si>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</si>
  <si>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</si>
  <si>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</si>
  <si>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</si>
  <si>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</si>
  <si>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</si>
  <si>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</si>
  <si>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</si>
  <si>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</si>
  <si>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</si>
  <si>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</si>
  <si>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</si>
  <si>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</si>
  <si>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</si>
  <si>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</si>
  <si>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</si>
  <si>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</si>
  <si>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</si>
  <si>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</si>
  <si>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</si>
  <si>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</si>
  <si>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</si>
  <si>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</si>
  <si>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</si>
  <si>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</si>
  <si>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</si>
  <si>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</si>
  <si>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</si>
  <si>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</si>
  <si>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</si>
  <si>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</si>
  <si>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</si>
  <si>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</si>
  <si>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</si>
  <si>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</si>
  <si>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</si>
  <si>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</si>
  <si>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</si>
  <si>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</si>
  <si>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</si>
  <si>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</si>
  <si>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</si>
  <si>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</si>
  <si>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</si>
  <si>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</si>
  <si>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</si>
  <si>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</si>
  <si>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</si>
  <si>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</si>
  <si>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</si>
  <si>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</si>
  <si>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</si>
  <si>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</si>
  <si>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</si>
  <si>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</si>
  <si>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</si>
  <si>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</si>
  <si>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</si>
  <si>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</si>
  <si>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</si>
  <si>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</si>
  <si>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</si>
  <si>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</si>
  <si>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</si>
  <si>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</si>
  <si>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</si>
  <si>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</si>
  <si>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</si>
  <si>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</si>
  <si>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</si>
  <si>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</si>
  <si>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</si>
  <si>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</si>
  <si>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</si>
  <si>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</si>
  <si>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</si>
  <si>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</si>
  <si>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</si>
  <si>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</si>
  <si>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</si>
  <si>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</si>
  <si>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</si>
  <si>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</si>
  <si>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</si>
  <si>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</si>
  <si>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</si>
  <si>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</si>
  <si>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</si>
  <si>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</si>
  <si>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</si>
  <si>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</si>
  <si>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</si>
  <si>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</si>
  <si>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</si>
  <si>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</si>
  <si>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</si>
  <si>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</si>
  <si>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</si>
  <si>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</si>
  <si>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</si>
  <si>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</si>
  <si>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</si>
  <si>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</si>
  <si>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</si>
  <si>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</si>
  <si>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</si>
  <si>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</si>
  <si>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</si>
  <si>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</si>
  <si>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</si>
  <si>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</si>
  <si>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</si>
  <si>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</si>
  <si>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</si>
  <si>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</si>
  <si>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</si>
  <si>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</si>
  <si>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</si>
  <si>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</si>
  <si>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</si>
  <si>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</si>
  <si>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</si>
  <si>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</si>
  <si>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</si>
  <si>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</si>
  <si>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</si>
  <si>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</si>
  <si>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</si>
  <si>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</si>
  <si>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</si>
  <si>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</si>
  <si>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</si>
  <si>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</si>
  <si>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</si>
  <si>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</si>
  <si>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</si>
  <si>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</si>
  <si>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</si>
  <si>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</si>
  <si>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</si>
  <si>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</si>
  <si>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</si>
  <si>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</si>
  <si>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</si>
  <si>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</si>
  <si>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</si>
  <si>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</si>
  <si>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</si>
  <si>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</si>
  <si>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</si>
  <si>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</si>
  <si>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</si>
  <si>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</si>
  <si>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</si>
  <si>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</si>
  <si>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</si>
  <si>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</si>
  <si>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</si>
  <si>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</si>
  <si>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</si>
  <si>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</si>
  <si>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</si>
  <si>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</si>
  <si>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</si>
  <si>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</si>
  <si>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</si>
  <si>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</si>
  <si>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</si>
  <si>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</si>
  <si>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</si>
  <si>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</si>
  <si>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</si>
  <si>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</si>
  <si>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</si>
  <si>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</si>
  <si>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</si>
  <si>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</si>
  <si>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</si>
  <si>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</si>
  <si>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</si>
  <si>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</si>
  <si>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</si>
  <si>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</si>
  <si>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</si>
  <si>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</si>
  <si>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</si>
  <si>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</si>
  <si>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</si>
  <si>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</si>
  <si>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</si>
  <si>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</si>
  <si>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</si>
  <si>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</si>
  <si>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</si>
  <si>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</si>
  <si>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</si>
  <si>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</si>
  <si>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</si>
  <si>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</si>
  <si>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</si>
  <si>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</si>
  <si>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</si>
  <si>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</si>
  <si>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</si>
  <si>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</si>
  <si>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</si>
  <si>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</si>
  <si>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</si>
  <si>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</si>
  <si>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</si>
  <si>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</si>
  <si>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</si>
  <si>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</si>
  <si>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</si>
  <si>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</si>
  <si>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</si>
  <si>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</si>
  <si>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</si>
  <si>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</si>
  <si>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</si>
  <si>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</si>
  <si>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</si>
  <si>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</si>
  <si>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</si>
  <si>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</si>
  <si>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</si>
  <si>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</si>
  <si>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</si>
  <si>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</si>
  <si>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</si>
  <si>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</si>
  <si>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</si>
  <si>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</si>
  <si>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</si>
  <si>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</si>
  <si>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</si>
  <si>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</si>
  <si>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</si>
  <si>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</si>
  <si>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</si>
  <si>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</si>
  <si>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</si>
  <si>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</si>
  <si>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</si>
  <si>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</si>
  <si>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</si>
  <si>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</si>
  <si>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</si>
  <si>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</si>
  <si>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</si>
  <si>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</si>
  <si>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</si>
  <si>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</si>
  <si>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</si>
  <si>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</si>
  <si>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</si>
  <si>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</si>
  <si>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</si>
  <si>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</si>
  <si>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</si>
  <si>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</si>
  <si>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</si>
  <si>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</si>
  <si>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</si>
  <si>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</si>
  <si>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</si>
  <si>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</si>
  <si>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</si>
  <si>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</si>
  <si>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</si>
  <si>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</si>
  <si>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</si>
  <si>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</si>
  <si>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</si>
  <si>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</si>
  <si>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</si>
  <si>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</si>
  <si>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</si>
  <si>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</si>
  <si>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</si>
  <si>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</si>
  <si>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</si>
  <si>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</si>
  <si>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</si>
  <si>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</si>
  <si>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</si>
  <si>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</si>
  <si>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</si>
  <si>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</si>
  <si>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</si>
  <si>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</si>
  <si>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</si>
  <si>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</si>
  <si>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</si>
  <si>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</si>
  <si>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</si>
  <si>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</si>
  <si>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</si>
  <si>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</si>
  <si>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</si>
  <si>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</si>
  <si>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</si>
  <si>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</si>
  <si>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</si>
  <si>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</si>
  <si>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</si>
  <si>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</si>
  <si>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</si>
  <si>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</si>
  <si>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</si>
  <si>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</si>
  <si>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</si>
  <si>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</si>
  <si>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</si>
  <si>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</si>
  <si>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</si>
  <si>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</si>
  <si>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</si>
  <si>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</si>
  <si>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</si>
  <si>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</si>
  <si>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</si>
  <si>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</si>
  <si>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</si>
  <si>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</si>
  <si>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</si>
  <si>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</si>
  <si>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</si>
  <si>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</si>
  <si>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</si>
  <si>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</si>
  <si>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</si>
  <si>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</si>
  <si>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</si>
  <si>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</si>
  <si>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</si>
  <si>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</si>
  <si>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</si>
  <si>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</si>
  <si>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</si>
  <si>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</si>
  <si>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</si>
  <si>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</si>
  <si>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</si>
  <si>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</si>
  <si>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</si>
  <si>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</si>
  <si>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</si>
  <si>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</si>
  <si>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</si>
  <si>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</si>
  <si>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</si>
  <si>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</si>
  <si>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</si>
  <si>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</si>
  <si>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</si>
  <si>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</si>
  <si>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</si>
  <si>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</si>
  <si>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</si>
  <si>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</si>
  <si>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</si>
  <si>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</si>
  <si>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</si>
  <si>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</si>
  <si>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</si>
  <si>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</si>
  <si>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</si>
  <si>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</si>
  <si>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</si>
  <si>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</si>
  <si>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</si>
  <si>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</si>
  <si>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</si>
  <si>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</si>
  <si>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</si>
  <si>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</si>
  <si>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</si>
  <si>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</si>
  <si>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</si>
  <si>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</si>
  <si>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</si>
  <si>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</si>
  <si>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</si>
  <si>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</si>
  <si>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</si>
  <si>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</si>
  <si>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</si>
  <si>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</si>
  <si>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</si>
  <si>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</si>
  <si>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</si>
  <si>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</si>
  <si>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</si>
  <si>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</si>
  <si>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</si>
  <si>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</si>
  <si>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</si>
  <si>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</si>
  <si>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</si>
  <si>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</si>
  <si>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</si>
  <si>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</si>
  <si>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</si>
  <si>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</si>
  <si>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</si>
  <si>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</si>
  <si>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</si>
  <si>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</si>
  <si>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</si>
  <si>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</si>
  <si>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</si>
  <si>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</si>
  <si>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</si>
  <si>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</si>
  <si>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</si>
  <si>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</si>
  <si>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</si>
  <si>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</si>
  <si>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</si>
  <si>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</si>
  <si>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</si>
  <si>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</si>
  <si>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</si>
  <si>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</si>
  <si>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</si>
  <si>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</si>
  <si>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</si>
  <si>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</si>
  <si>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</si>
  <si>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</si>
  <si>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</si>
  <si>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</si>
  <si>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</si>
  <si>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</si>
  <si>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</si>
  <si>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</si>
  <si>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</si>
  <si>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</si>
  <si>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</si>
  <si>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</si>
  <si>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</si>
  <si>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</si>
  <si>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</si>
  <si>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</si>
  <si>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</si>
  <si>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</si>
  <si>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</si>
  <si>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</si>
  <si>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</si>
  <si>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</si>
  <si>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</si>
  <si>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</si>
  <si>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</si>
  <si>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</si>
  <si>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</si>
  <si>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</si>
  <si>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</si>
  <si>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</si>
  <si>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</si>
  <si>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</si>
  <si>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</si>
  <si>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</si>
  <si>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</si>
  <si>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</si>
  <si>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</si>
  <si>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</si>
  <si>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</si>
  <si>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</si>
  <si>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</si>
  <si>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</si>
  <si>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</si>
  <si>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</si>
  <si>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</si>
  <si>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</si>
  <si>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</si>
  <si>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</si>
  <si>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</si>
  <si>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</si>
  <si>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</si>
  <si>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</si>
  <si>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</si>
  <si>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</si>
  <si>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</si>
  <si>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</si>
  <si>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</si>
  <si>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</si>
  <si>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</si>
  <si>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</si>
  <si>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</si>
  <si>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</si>
  <si>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</si>
  <si>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</si>
  <si>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</si>
  <si>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</si>
  <si>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</si>
  <si>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</si>
  <si>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</si>
  <si>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</si>
  <si>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</si>
  <si>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</si>
  <si>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</si>
  <si>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</si>
  <si>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</si>
  <si>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</si>
  <si>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</si>
  <si>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</si>
  <si>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</si>
  <si>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</si>
  <si>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</si>
  <si>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</si>
  <si>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</si>
  <si>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</si>
  <si>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</si>
  <si>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</si>
  <si>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</si>
  <si>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</si>
  <si>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</si>
  <si>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</si>
  <si>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</si>
  <si>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</si>
  <si>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</si>
  <si>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</si>
  <si>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</si>
  <si>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</si>
  <si>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</si>
  <si>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</si>
  <si>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</si>
  <si>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</si>
  <si>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</si>
  <si>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</si>
  <si>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</si>
  <si>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</si>
  <si>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</si>
  <si>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</si>
  <si>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</si>
  <si>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</si>
  <si>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</si>
  <si>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</si>
  <si>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</si>
  <si>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</si>
  <si>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</si>
  <si>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</si>
  <si>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</si>
  <si>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</si>
  <si>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</si>
  <si>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</si>
  <si>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</si>
  <si>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</si>
  <si>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</si>
  <si>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</si>
  <si>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</si>
  <si>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</si>
  <si>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</si>
  <si>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</si>
  <si>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</si>
  <si>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</si>
  <si>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</si>
  <si>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</si>
  <si>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</si>
  <si>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</si>
  <si>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</si>
  <si>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</si>
  <si>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</si>
  <si>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</si>
  <si>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</si>
  <si>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</si>
  <si>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</si>
  <si>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</si>
  <si>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</si>
  <si>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</si>
  <si>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</si>
  <si>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</si>
  <si>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</si>
  <si>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</si>
  <si>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</si>
  <si>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</si>
  <si>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</si>
  <si>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</si>
  <si>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</si>
  <si>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</si>
  <si>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</si>
  <si>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</si>
  <si>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</si>
  <si>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</si>
  <si>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</si>
  <si>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</si>
  <si>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</si>
  <si>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</si>
  <si>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</si>
  <si>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</si>
  <si>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</si>
  <si>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</si>
  <si>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</si>
  <si>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</si>
  <si>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</si>
  <si>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</si>
  <si>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</si>
  <si>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</si>
  <si>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</si>
  <si>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</si>
  <si>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</si>
  <si>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</si>
  <si>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</si>
  <si>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</si>
  <si>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</si>
  <si>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</si>
  <si>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</si>
  <si>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</si>
  <si>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</si>
  <si>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</si>
  <si>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</si>
  <si>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</si>
  <si>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</si>
  <si>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</si>
  <si>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</si>
  <si>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</si>
  <si>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</si>
  <si>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</si>
  <si>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</si>
  <si>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</si>
  <si>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</si>
  <si>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</si>
  <si>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</si>
  <si>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</si>
  <si>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</si>
  <si>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</si>
  <si>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</si>
  <si>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</si>
  <si>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</si>
  <si>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</si>
  <si>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</si>
  <si>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</si>
  <si>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</si>
  <si>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</si>
  <si>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</si>
  <si>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</si>
  <si>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</si>
  <si>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</si>
  <si>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</si>
  <si>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</si>
  <si>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</si>
  <si>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</si>
  <si>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</si>
  <si>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</si>
  <si>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</si>
  <si>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</si>
  <si>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</si>
  <si>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</si>
  <si>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</si>
  <si>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</si>
  <si>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</si>
  <si>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</si>
  <si>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</si>
  <si>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</si>
  <si>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</si>
  <si>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</si>
  <si>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</si>
  <si>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</si>
  <si>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</si>
  <si>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</si>
  <si>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</si>
  <si>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</si>
  <si>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</si>
  <si>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</si>
  <si>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</si>
  <si>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</si>
  <si>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</si>
  <si>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</si>
  <si>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</si>
  <si>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</si>
  <si>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</si>
  <si>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</si>
  <si>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</si>
  <si>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</si>
  <si>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</si>
  <si>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</si>
  <si>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</si>
  <si>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</si>
  <si>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</si>
  <si>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</si>
  <si>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</si>
  <si>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</si>
  <si>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</si>
  <si>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</si>
  <si>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</si>
  <si>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</si>
  <si>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</si>
  <si>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</si>
  <si>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</si>
  <si>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</si>
  <si>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</si>
  <si>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</si>
  <si>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</si>
  <si>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</si>
  <si>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</si>
  <si>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</si>
  <si>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</si>
  <si>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</si>
  <si>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</si>
  <si>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</si>
  <si>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</si>
  <si>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</si>
  <si>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</si>
  <si>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</si>
  <si>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</si>
  <si>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</si>
  <si>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</si>
  <si>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</si>
  <si>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</si>
  <si>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</si>
  <si>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</si>
  <si>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</si>
  <si>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</si>
  <si>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</si>
  <si>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</si>
  <si>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</si>
  <si>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</si>
  <si>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</si>
  <si>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</si>
  <si>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</si>
  <si>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</si>
  <si>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</si>
  <si>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</si>
  <si>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</si>
  <si>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</si>
  <si>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</si>
  <si>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</si>
  <si>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</si>
  <si>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</si>
  <si>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</si>
  <si>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</si>
  <si>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</si>
  <si>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</si>
  <si>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</si>
  <si>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</si>
  <si>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</si>
  <si>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</si>
  <si>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</si>
  <si>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</si>
  <si>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</si>
  <si>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</si>
  <si>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</si>
  <si>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</si>
  <si>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</si>
  <si>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</si>
  <si>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</si>
  <si>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</si>
  <si>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</si>
  <si>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</si>
  <si>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</si>
  <si>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</si>
  <si>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</si>
  <si>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</si>
  <si>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</si>
  <si>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</si>
  <si>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</si>
  <si>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</si>
  <si>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</si>
  <si>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</si>
  <si>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</si>
  <si>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</si>
  <si>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</si>
  <si>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</si>
  <si>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</si>
  <si>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</si>
  <si>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</si>
  <si>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</si>
  <si>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</si>
  <si>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</si>
  <si>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</si>
  <si>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</si>
  <si>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</si>
  <si>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</si>
  <si>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</si>
  <si>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</si>
  <si>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</si>
  <si>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</si>
  <si>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</si>
  <si>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</si>
  <si>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</si>
  <si>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</si>
  <si>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</si>
  <si>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</si>
  <si>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</si>
  <si>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</si>
  <si>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</si>
  <si>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</si>
  <si>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</si>
  <si>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</si>
  <si>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</si>
  <si>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</si>
  <si>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</si>
  <si>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</si>
  <si>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</si>
  <si>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</si>
  <si>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</si>
  <si>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</si>
  <si>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</si>
  <si>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</si>
  <si>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</si>
  <si>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</si>
  <si>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</si>
  <si>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</si>
  <si>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</si>
  <si>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</si>
  <si>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</si>
  <si>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</si>
  <si>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</si>
  <si>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</si>
  <si>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</si>
  <si>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</si>
  <si>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</si>
  <si>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</si>
  <si>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</si>
  <si>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</si>
  <si>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</si>
  <si>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</si>
  <si>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</si>
  <si>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</si>
  <si>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</si>
  <si>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</si>
  <si>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</si>
  <si>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</si>
  <si>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</si>
  <si>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</si>
  <si>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</si>
  <si>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</si>
  <si>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</si>
  <si>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</si>
  <si>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</si>
  <si>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</si>
  <si>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</si>
  <si>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</si>
  <si>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</si>
  <si>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</si>
  <si>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</si>
  <si>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</si>
  <si>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</si>
  <si>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</si>
  <si>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</si>
  <si>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</si>
  <si>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</si>
  <si>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</si>
  <si>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</si>
  <si>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</si>
  <si>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</si>
  <si>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</si>
  <si>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</si>
  <si>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</si>
  <si>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</si>
  <si>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</si>
  <si>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</si>
  <si>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</si>
  <si>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</si>
  <si>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</si>
  <si>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</si>
  <si>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</si>
  <si>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</si>
  <si>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</si>
  <si>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</si>
  <si>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</si>
  <si>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</si>
  <si>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</si>
  <si>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</si>
  <si>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</si>
  <si>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</si>
  <si>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</si>
  <si>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</si>
  <si>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</si>
  <si>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</si>
  <si>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</si>
  <si>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</si>
  <si>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</si>
  <si>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</si>
  <si>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</si>
  <si>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</si>
  <si>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</si>
  <si>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</si>
  <si>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</si>
  <si>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</si>
  <si>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</si>
  <si>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</si>
  <si>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</si>
  <si>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</si>
  <si>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</si>
  <si>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</si>
  <si>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</si>
  <si>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</si>
  <si>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</si>
  <si>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</si>
  <si>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</si>
  <si>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</si>
  <si>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</si>
  <si>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</si>
  <si>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</si>
  <si>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</si>
  <si>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</si>
  <si>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</si>
  <si>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</si>
  <si>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</si>
  <si>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</si>
  <si>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</si>
  <si>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</si>
  <si>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</si>
  <si>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</si>
  <si>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</si>
  <si>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</si>
  <si>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</si>
  <si>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</si>
  <si>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</si>
  <si>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</si>
  <si>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</si>
  <si>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</si>
  <si>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</si>
  <si>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</si>
  <si>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</si>
  <si>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</si>
  <si>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</si>
  <si>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</si>
  <si>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</si>
  <si>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</si>
  <si>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</si>
  <si>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</si>
  <si>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</si>
  <si>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</si>
  <si>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</si>
  <si>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</si>
  <si>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</si>
  <si>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</si>
  <si>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</si>
  <si>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</si>
  <si>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</si>
  <si>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</si>
  <si>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</si>
  <si>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</si>
  <si>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</si>
  <si>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</si>
  <si>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</si>
  <si>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</si>
  <si>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</si>
  <si>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</si>
  <si>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</si>
  <si>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</si>
  <si>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</si>
  <si>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</si>
  <si>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</si>
  <si>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</si>
  <si>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</si>
  <si>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</si>
  <si>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</si>
  <si>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</si>
  <si>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</si>
  <si>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</si>
  <si>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</si>
  <si>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</si>
  <si>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</si>
  <si>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</si>
  <si>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</si>
  <si>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</si>
  <si>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</si>
  <si>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</si>
  <si>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</si>
  <si>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</si>
  <si>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</si>
  <si>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</si>
  <si>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</si>
  <si>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</si>
  <si>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</si>
  <si>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</si>
  <si>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</si>
  <si>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</si>
  <si>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</si>
  <si>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</si>
  <si>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</si>
  <si>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</si>
  <si>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</si>
  <si>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</si>
  <si>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</si>
  <si>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</si>
  <si>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</si>
  <si>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</si>
  <si>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</si>
  <si>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</si>
  <si>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</si>
  <si>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</si>
  <si>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</si>
  <si>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</si>
  <si>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</si>
  <si>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</si>
  <si>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</si>
  <si>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</si>
  <si>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</si>
  <si>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</si>
  <si>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</si>
  <si>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</si>
  <si>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</si>
  <si>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</si>
  <si>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</si>
  <si>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</si>
  <si>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</si>
  <si>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</si>
  <si>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</si>
  <si>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</si>
  <si>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</si>
  <si>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</si>
  <si>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</si>
  <si>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</si>
  <si>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</si>
  <si>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</si>
  <si>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</si>
  <si>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</si>
  <si>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</si>
  <si>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</si>
  <si>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</si>
  <si>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</si>
  <si>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</si>
  <si>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</si>
  <si>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</si>
  <si>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</si>
  <si>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</si>
  <si>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</si>
  <si>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</si>
  <si>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</si>
  <si>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</si>
  <si>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</si>
  <si>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</si>
  <si>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</si>
  <si>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</si>
  <si>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</si>
  <si>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</si>
  <si>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</si>
  <si>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</si>
  <si>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</si>
  <si>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</si>
  <si>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</si>
  <si>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</si>
  <si>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</si>
  <si>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</si>
  <si>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</si>
  <si>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</si>
  <si>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</si>
  <si>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</si>
  <si>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</si>
  <si>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</si>
  <si>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</si>
  <si>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</si>
  <si>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</si>
  <si>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</si>
  <si>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</si>
  <si>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</si>
  <si>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</si>
  <si>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</si>
  <si>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</si>
  <si>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</si>
  <si>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</si>
  <si>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</si>
  <si>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</si>
  <si>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</si>
  <si>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</si>
  <si>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</si>
  <si>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</si>
  <si>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</si>
  <si>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</si>
  <si>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</si>
  <si>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</si>
  <si>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</si>
  <si>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</si>
  <si>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</si>
  <si>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</si>
  <si>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</si>
  <si>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</si>
  <si>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</si>
  <si>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</si>
  <si>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</si>
  <si>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</si>
  <si>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</si>
  <si>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</si>
  <si>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</si>
  <si>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</si>
  <si>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</si>
  <si>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</si>
  <si>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</si>
  <si>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</si>
  <si>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</si>
  <si>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</si>
  <si>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</si>
  <si>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</si>
  <si>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</si>
  <si>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</si>
  <si>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</si>
  <si>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</si>
  <si>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</si>
  <si>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</si>
  <si>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</si>
  <si>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</si>
  <si>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</si>
  <si>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</si>
  <si>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</si>
  <si>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</si>
  <si>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</si>
  <si>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</si>
  <si>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</si>
  <si>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</si>
  <si>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</si>
  <si>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</si>
  <si>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</si>
  <si>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</si>
  <si>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</si>
  <si>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</si>
  <si>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</si>
  <si>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</si>
  <si>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</si>
  <si>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</si>
  <si>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</si>
  <si>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</si>
  <si>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</si>
  <si>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</si>
  <si>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</si>
  <si>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</si>
  <si>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</si>
  <si>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</si>
  <si>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</si>
  <si>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</si>
  <si>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</si>
  <si>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</si>
  <si>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</si>
  <si>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</si>
  <si>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</si>
  <si>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</si>
  <si>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</si>
  <si>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</si>
  <si>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</si>
  <si>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</si>
  <si>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</si>
  <si>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</si>
  <si>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</si>
  <si>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</si>
  <si>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</si>
  <si>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</si>
  <si>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</si>
  <si>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</si>
  <si>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</si>
  <si>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</si>
  <si>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</si>
  <si>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</si>
  <si>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</si>
  <si>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</si>
  <si>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</si>
  <si>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</si>
  <si>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</si>
  <si>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</si>
  <si>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</si>
  <si>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</si>
  <si>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</si>
  <si>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</si>
  <si>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</si>
  <si>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</si>
  <si>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</si>
  <si>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</si>
  <si>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</si>
  <si>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</si>
  <si>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</si>
  <si>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</si>
  <si>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</si>
  <si>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</si>
  <si>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</si>
  <si>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</si>
  <si>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</si>
  <si>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</si>
  <si>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</si>
  <si>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</si>
  <si>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</si>
  <si>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</si>
  <si>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</si>
  <si>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</si>
  <si>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</si>
  <si>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</si>
  <si>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</si>
  <si>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</si>
  <si>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</si>
  <si>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</si>
  <si>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</si>
  <si>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</si>
  <si>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</si>
  <si>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</si>
  <si>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</si>
  <si>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</si>
  <si>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</si>
  <si>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</si>
  <si>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</si>
  <si>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</si>
  <si>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</si>
  <si>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</si>
  <si>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</si>
  <si>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</si>
  <si>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</si>
  <si>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</si>
  <si>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</si>
  <si>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</si>
  <si>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</si>
  <si>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</si>
  <si>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</si>
  <si>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</si>
  <si>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</si>
  <si>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</si>
  <si>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</si>
  <si>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</si>
  <si>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</si>
  <si>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</si>
  <si>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</si>
  <si>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</si>
  <si>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</si>
  <si>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</si>
  <si>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</si>
  <si>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</si>
  <si>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</si>
  <si>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</si>
  <si>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</si>
  <si>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</si>
  <si>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</si>
  <si>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</si>
  <si>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</si>
  <si>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</si>
  <si>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</si>
  <si>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</si>
  <si>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</si>
  <si>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</si>
  <si>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</si>
  <si>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</si>
  <si>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</si>
  <si>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</si>
  <si>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</si>
  <si>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</si>
  <si>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</si>
  <si>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</si>
  <si>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</si>
  <si>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</si>
  <si>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</si>
  <si>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</si>
  <si>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</si>
  <si>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</si>
  <si>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</si>
  <si>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</si>
  <si>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</si>
  <si>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</si>
  <si>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</si>
  <si>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</si>
  <si>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</si>
  <si>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</si>
  <si>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</si>
  <si>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</si>
  <si>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</si>
  <si>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</si>
  <si>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</si>
  <si>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</si>
  <si>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</si>
  <si>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</si>
  <si>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</si>
  <si>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</si>
  <si>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</si>
  <si>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</si>
  <si>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</si>
  <si>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</si>
  <si>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</si>
  <si>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</si>
  <si>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</si>
  <si>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</si>
  <si>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</si>
  <si>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</si>
  <si>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</si>
  <si>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</si>
  <si>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</si>
  <si>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</si>
  <si>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</si>
  <si>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</si>
  <si>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</si>
  <si>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</si>
  <si>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</si>
  <si>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</si>
  <si>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</si>
  <si>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</si>
  <si>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</si>
  <si>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</si>
  <si>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</si>
  <si>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</si>
  <si>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</si>
  <si>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</si>
  <si>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</si>
  <si>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</si>
  <si>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</si>
  <si>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</si>
  <si>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</si>
  <si>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</si>
  <si>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</si>
  <si>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</si>
  <si>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</si>
  <si>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</si>
  <si>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</si>
  <si>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</si>
  <si>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</si>
  <si>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</si>
  <si>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</si>
  <si>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</si>
  <si>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</si>
  <si>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</si>
  <si>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</si>
  <si>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</si>
  <si>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</si>
  <si>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</si>
  <si>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</si>
  <si>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</si>
  <si>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</si>
  <si>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</si>
  <si>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</si>
  <si>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</si>
  <si>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</si>
  <si>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</si>
  <si>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</si>
  <si>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</si>
  <si>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</si>
  <si>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</si>
  <si>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</si>
  <si>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</si>
  <si>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</si>
  <si>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</si>
  <si>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</si>
  <si>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</si>
  <si>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</si>
  <si>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</si>
  <si>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</si>
  <si>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</si>
  <si>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</si>
  <si>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</si>
  <si>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</si>
  <si>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</si>
  <si>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</si>
  <si>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</si>
  <si>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</si>
  <si>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</si>
  <si>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</si>
  <si>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</si>
  <si>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</si>
  <si>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</si>
  <si>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</si>
  <si>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</si>
  <si>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</si>
  <si>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</si>
  <si>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</si>
  <si>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</si>
  <si>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</si>
  <si>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</si>
  <si>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</si>
  <si>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</si>
  <si>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</si>
  <si>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</si>
  <si>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</si>
  <si>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</si>
  <si>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</si>
  <si>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</si>
  <si>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</si>
  <si>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</si>
  <si>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</si>
  <si>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</si>
  <si>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</si>
  <si>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</si>
  <si>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</si>
  <si>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</si>
  <si>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</si>
  <si>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</si>
  <si>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</si>
  <si>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</si>
  <si>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</si>
  <si>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</si>
  <si>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</si>
  <si>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</si>
  <si>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</si>
  <si>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</si>
  <si>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</si>
  <si>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</si>
  <si>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</si>
  <si>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</si>
  <si>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</si>
  <si>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</si>
  <si>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</si>
  <si>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</si>
  <si>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</si>
  <si>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</si>
  <si>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</si>
  <si>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</si>
  <si>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</si>
  <si>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</si>
  <si>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</si>
  <si>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</si>
  <si>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</si>
  <si>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</si>
  <si>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</si>
  <si>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</si>
  <si>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</si>
  <si>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</si>
  <si>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</si>
  <si>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</si>
  <si>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</si>
  <si>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</si>
  <si>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</si>
  <si>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</si>
  <si>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</si>
  <si>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</si>
  <si>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</si>
  <si>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</si>
  <si>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</si>
  <si>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</si>
  <si>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</si>
  <si>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</si>
  <si>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</si>
  <si>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</si>
  <si>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</si>
  <si>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</si>
  <si>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</si>
  <si>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</si>
  <si>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</si>
  <si>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</si>
  <si>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</si>
  <si>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</si>
  <si>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</si>
  <si>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</si>
  <si>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</si>
  <si>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</si>
  <si>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</si>
  <si>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</si>
  <si>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</si>
  <si>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</si>
  <si>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</si>
  <si>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</si>
  <si>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</si>
  <si>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</si>
  <si>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</si>
  <si>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</si>
  <si>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</si>
  <si>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</si>
  <si>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</si>
  <si>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</si>
  <si>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</si>
  <si>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</si>
  <si>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</si>
  <si>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</si>
  <si>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</si>
  <si>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</si>
  <si>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</si>
  <si>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</si>
  <si>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</si>
  <si>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</si>
  <si>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</si>
  <si>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</si>
  <si>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</si>
  <si>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</si>
  <si>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</si>
  <si>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</si>
  <si>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</si>
  <si>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</si>
  <si>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</si>
  <si>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</si>
  <si>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</si>
  <si>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</si>
  <si>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</si>
  <si>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</si>
  <si>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</si>
  <si>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</si>
  <si>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</si>
  <si>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</si>
  <si>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</si>
  <si>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</si>
  <si>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</si>
  <si>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</si>
  <si>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</si>
  <si>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</si>
  <si>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</si>
  <si>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</si>
  <si>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</si>
  <si>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</si>
  <si>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</si>
  <si>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</si>
  <si>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</si>
  <si>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</si>
  <si>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</si>
  <si>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</si>
  <si>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</si>
  <si>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</si>
  <si>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</si>
  <si>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</si>
  <si>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</si>
  <si>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</si>
  <si>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</si>
  <si>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</si>
  <si>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</si>
  <si>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</si>
  <si>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</si>
  <si>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</si>
  <si>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</si>
  <si>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</si>
  <si>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</si>
  <si>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</si>
  <si>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</si>
  <si>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</si>
  <si>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</si>
  <si>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</si>
  <si>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</si>
  <si>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</si>
  <si>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</si>
  <si>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</si>
  <si>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</si>
  <si>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</si>
  <si>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</si>
  <si>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</si>
  <si>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</si>
  <si>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</si>
  <si>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</si>
  <si>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</si>
  <si>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</si>
  <si>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</si>
  <si>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</si>
  <si>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</si>
  <si>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</si>
  <si>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</si>
  <si>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</si>
  <si>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</si>
  <si>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</si>
  <si>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</si>
  <si>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</si>
  <si>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</si>
  <si>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</si>
  <si>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</si>
  <si>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</si>
  <si>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</si>
  <si>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</si>
  <si>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</si>
  <si>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</si>
  <si>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</si>
  <si>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</si>
  <si>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</si>
  <si>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</si>
  <si>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</si>
  <si>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</si>
  <si>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</si>
  <si>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</si>
  <si>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</si>
  <si>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</si>
  <si>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</si>
  <si>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</si>
  <si>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</si>
  <si>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</si>
  <si>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</si>
  <si>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</si>
  <si>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</si>
  <si>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</si>
  <si>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</si>
  <si>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</si>
  <si>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</si>
  <si>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</si>
  <si>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</si>
  <si>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</si>
  <si>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</si>
  <si>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</si>
  <si>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</si>
  <si>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</si>
  <si>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</si>
  <si>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</si>
  <si>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</si>
  <si>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</si>
  <si>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</si>
  <si>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</si>
  <si>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</si>
  <si>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</si>
  <si>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</si>
  <si>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</si>
  <si>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</si>
  <si>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</si>
  <si>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</si>
  <si>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</si>
  <si>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</si>
  <si>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</si>
  <si>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</si>
  <si>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</si>
  <si>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</si>
  <si>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</si>
  <si>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</si>
  <si>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</si>
  <si>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</si>
  <si>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</si>
  <si>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</si>
  <si>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</si>
  <si>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</si>
  <si>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</si>
  <si>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</si>
  <si>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</si>
  <si>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</si>
  <si>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</si>
  <si>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</si>
  <si>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</si>
  <si>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</si>
  <si>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</si>
  <si>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</si>
  <si>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</si>
  <si>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</si>
  <si>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</si>
  <si>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</si>
  <si>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</si>
  <si>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</si>
  <si>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</si>
  <si>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</si>
  <si>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</si>
  <si>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</si>
  <si>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</si>
  <si>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</si>
  <si>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</si>
  <si>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</si>
  <si>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</si>
  <si>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</si>
  <si>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</si>
  <si>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</si>
  <si>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</si>
  <si>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</si>
  <si>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</si>
  <si>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</si>
  <si>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</si>
  <si>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</si>
  <si>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</si>
  <si>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</si>
  <si>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</si>
  <si>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</si>
  <si>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</si>
  <si>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</si>
  <si>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</si>
  <si>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</si>
  <si>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</si>
  <si>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</si>
  <si>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</si>
  <si>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</si>
  <si>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</si>
  <si>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</si>
  <si>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</si>
  <si>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</si>
  <si>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</si>
  <si>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</si>
  <si>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</si>
  <si>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</si>
  <si>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</si>
  <si>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</si>
  <si>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</si>
  <si>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</si>
  <si>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</si>
  <si>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</si>
  <si>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</si>
  <si>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</si>
  <si>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</si>
  <si>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</si>
  <si>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</si>
  <si>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</si>
  <si>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</si>
  <si>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</si>
  <si>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</si>
  <si>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</si>
  <si>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</si>
  <si>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</si>
  <si>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</si>
  <si>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</si>
  <si>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</si>
  <si>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</si>
  <si>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</si>
  <si>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</si>
  <si>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</si>
  <si>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</si>
  <si>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</si>
  <si>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</si>
  <si>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</si>
  <si>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</si>
  <si>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</si>
  <si>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</si>
  <si>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</si>
  <si>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</si>
  <si>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</si>
  <si>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</si>
  <si>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</si>
  <si>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</si>
  <si>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</si>
  <si>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</si>
  <si>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</si>
  <si>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</si>
  <si>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</si>
  <si>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</si>
  <si>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</si>
  <si>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</si>
  <si>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</si>
  <si>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</si>
  <si>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</si>
  <si>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</si>
  <si>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</si>
  <si>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</si>
  <si>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</si>
  <si>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</si>
  <si>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</si>
  <si>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</si>
  <si>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</si>
  <si>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</si>
  <si>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</si>
  <si>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</si>
  <si>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</si>
  <si>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</si>
  <si>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</si>
  <si>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</si>
  <si>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</si>
  <si>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</si>
  <si>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</si>
  <si>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</si>
  <si>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</si>
  <si>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</si>
  <si>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</si>
  <si>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</si>
  <si>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</si>
  <si>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</si>
  <si>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</si>
  <si>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</si>
  <si>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</si>
  <si>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</si>
  <si>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</si>
  <si>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</si>
  <si>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</si>
  <si>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</si>
  <si>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</si>
  <si>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</si>
  <si>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</si>
  <si>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</si>
  <si>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</si>
  <si>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</si>
  <si>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</si>
  <si>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</si>
  <si>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</si>
  <si>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</si>
  <si>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</si>
  <si>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</si>
  <si>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</si>
  <si>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</si>
  <si>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</si>
  <si>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</si>
  <si>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</si>
  <si>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</si>
  <si>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</si>
  <si>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</si>
  <si>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</si>
  <si>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</si>
  <si>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</si>
  <si>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</si>
  <si>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</si>
  <si>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</si>
  <si>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</si>
  <si>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</si>
  <si>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</si>
  <si>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</si>
  <si>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</si>
  <si>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</si>
  <si>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</si>
  <si>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</si>
  <si>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</si>
  <si>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</si>
  <si>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</si>
  <si>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</si>
  <si>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</si>
  <si>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</si>
  <si>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</si>
  <si>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</si>
  <si>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</si>
  <si>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</si>
  <si>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</si>
  <si>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</si>
  <si>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</si>
  <si>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</si>
  <si>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</si>
  <si>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</si>
  <si>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</si>
  <si>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</si>
  <si>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</si>
  <si>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</si>
  <si>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</si>
  <si>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</si>
  <si>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</si>
  <si>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</si>
  <si>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</si>
  <si>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</si>
  <si>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</si>
  <si>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</si>
  <si>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</si>
  <si>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</si>
  <si>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</si>
  <si>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</si>
  <si>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</si>
  <si>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</si>
  <si>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</si>
  <si>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</si>
  <si>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</si>
  <si>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</si>
  <si>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</si>
  <si>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</si>
  <si>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</si>
  <si>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</si>
  <si>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</si>
  <si>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</si>
  <si>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</si>
  <si>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</si>
  <si>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</si>
  <si>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</si>
  <si>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</si>
  <si>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</si>
  <si>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</si>
  <si>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</si>
  <si>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</si>
  <si>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</si>
  <si>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</si>
  <si>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</si>
  <si>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</si>
  <si>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</si>
  <si>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</si>
  <si>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</si>
  <si>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</si>
  <si>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</si>
  <si>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</si>
  <si>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</si>
  <si>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</si>
  <si>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</si>
  <si>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</si>
  <si>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</si>
  <si>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</si>
  <si>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</si>
  <si>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</si>
  <si>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</si>
  <si>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</si>
  <si>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</si>
  <si>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</si>
  <si>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</si>
  <si>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</si>
  <si>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</si>
  <si>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</si>
  <si>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</si>
  <si>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</si>
  <si>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</si>
  <si>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</si>
  <si>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</si>
  <si>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</si>
  <si>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</si>
  <si>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</si>
  <si>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</si>
  <si>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</si>
  <si>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</si>
  <si>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</si>
  <si>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</si>
  <si>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</si>
  <si>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</si>
  <si>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</si>
  <si>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</si>
  <si>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</si>
  <si>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</si>
  <si>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</si>
  <si>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</si>
  <si>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</si>
  <si>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</si>
  <si>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</si>
  <si>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</si>
  <si>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</si>
  <si>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</si>
  <si>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</si>
  <si>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</si>
  <si>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</si>
  <si>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</si>
  <si>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</si>
  <si>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</si>
  <si>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</si>
  <si>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</si>
  <si>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</si>
  <si>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</si>
  <si>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</si>
  <si>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</si>
  <si>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</si>
  <si>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</si>
  <si>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</si>
  <si>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</si>
  <si>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</si>
  <si>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</si>
  <si>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</si>
  <si>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</si>
  <si>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</si>
  <si>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</si>
  <si>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</si>
  <si>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</si>
  <si>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</si>
  <si>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</si>
  <si>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</si>
  <si>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</si>
  <si>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</si>
  <si>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</si>
  <si>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</si>
  <si>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</si>
  <si>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</si>
  <si>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</si>
  <si>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</si>
  <si>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</si>
  <si>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</si>
  <si>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</si>
  <si>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</si>
  <si>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</si>
  <si>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</si>
  <si>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</si>
  <si>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</si>
  <si>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</si>
  <si>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</si>
  <si>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</si>
  <si>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</si>
  <si>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</si>
  <si>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</si>
  <si>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</si>
  <si>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</si>
  <si>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</si>
  <si>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</si>
  <si>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</si>
  <si>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</si>
  <si>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</si>
  <si>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</si>
  <si>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</si>
  <si>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</si>
  <si>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</si>
  <si>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</si>
  <si>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</si>
  <si>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</si>
  <si>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</si>
  <si>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</si>
  <si>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</si>
  <si>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</si>
  <si>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</si>
  <si>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</si>
  <si>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</si>
  <si>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</si>
  <si>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</si>
  <si>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</si>
  <si>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</si>
  <si>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</si>
  <si>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</si>
  <si>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</si>
  <si>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</si>
  <si>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</si>
  <si>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</si>
  <si>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</si>
  <si>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</si>
  <si>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</si>
  <si>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</si>
  <si>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</si>
  <si>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</si>
  <si>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</si>
  <si>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</si>
  <si>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</si>
  <si>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</si>
  <si>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</si>
  <si>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</si>
  <si>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</si>
  <si>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</si>
  <si>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</si>
  <si>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</si>
  <si>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</si>
  <si>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</si>
  <si>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</si>
  <si>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</si>
  <si>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</si>
  <si>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</si>
  <si>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</si>
  <si>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</si>
  <si>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</si>
  <si>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</si>
  <si>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</si>
  <si>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</si>
  <si>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</si>
  <si>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</si>
  <si>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</si>
  <si>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</si>
  <si>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</si>
  <si>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</si>
  <si>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</si>
  <si>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</si>
  <si>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</si>
  <si>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</si>
  <si>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</si>
  <si>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</si>
  <si>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</si>
  <si>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</si>
  <si>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</si>
  <si>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</si>
  <si>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</si>
  <si>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</si>
  <si>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</si>
  <si>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</si>
  <si>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</si>
  <si>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</si>
  <si>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</si>
  <si>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</si>
  <si>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</si>
  <si>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</si>
  <si>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</si>
  <si>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</si>
  <si>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</si>
  <si>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</si>
  <si>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</si>
  <si>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</si>
  <si>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</si>
  <si>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</si>
  <si>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</si>
  <si>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</si>
  <si>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</si>
  <si>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</si>
  <si>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</si>
  <si>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</si>
  <si>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</si>
  <si>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</si>
  <si>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</si>
  <si>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</si>
  <si>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</si>
  <si>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</si>
  <si>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</si>
  <si>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</si>
  <si>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</si>
  <si>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</si>
  <si>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</si>
  <si>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</si>
  <si>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</si>
  <si>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</si>
  <si>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</si>
  <si>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</si>
  <si>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</si>
  <si>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</si>
  <si>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</si>
  <si>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</si>
  <si>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</si>
  <si>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</si>
  <si>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</si>
  <si>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</si>
  <si>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</si>
  <si>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</si>
  <si>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</si>
  <si>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</si>
  <si>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</si>
  <si>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</si>
  <si>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</si>
  <si>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</si>
  <si>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</si>
  <si>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</si>
  <si>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</si>
  <si>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</si>
  <si>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</si>
  <si>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</si>
  <si>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</si>
  <si>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</si>
  <si>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</si>
  <si>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</si>
  <si>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</si>
  <si>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</si>
  <si>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</si>
  <si>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</si>
  <si>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</si>
  <si>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</si>
  <si>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</si>
  <si>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</si>
  <si>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</si>
  <si>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</si>
  <si>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</si>
  <si>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</si>
  <si>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</si>
  <si>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</si>
  <si>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</si>
  <si>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</si>
  <si>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</si>
  <si>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</si>
  <si>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</si>
  <si>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</si>
  <si>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</si>
  <si>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</si>
  <si>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</si>
  <si>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</si>
  <si>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</si>
  <si>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</si>
  <si>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</si>
  <si>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</si>
  <si>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</si>
  <si>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</si>
  <si>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</si>
  <si>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</si>
  <si>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</si>
  <si>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</si>
  <si>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</si>
  <si>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</si>
  <si>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</si>
  <si>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</si>
  <si>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</si>
  <si>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</si>
  <si>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</si>
  <si>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</si>
  <si>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</si>
  <si>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</si>
  <si>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</si>
  <si>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</si>
  <si>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</si>
  <si>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</si>
  <si>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</si>
  <si>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</si>
  <si>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</si>
  <si>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</si>
  <si>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</si>
  <si>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</si>
  <si>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</si>
  <si>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</si>
  <si>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</si>
  <si>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</si>
  <si>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</si>
  <si>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</si>
  <si>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</si>
  <si>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</si>
  <si>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</si>
  <si>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</si>
  <si>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</si>
  <si>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</si>
  <si>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</si>
  <si>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</si>
  <si>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</si>
  <si>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</si>
  <si>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</si>
  <si>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</si>
  <si>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</si>
  <si>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</si>
  <si>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</si>
  <si>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</si>
  <si>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</si>
  <si>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</si>
  <si>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</si>
  <si>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</si>
  <si>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</si>
  <si>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</si>
  <si>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</si>
  <si>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</si>
  <si>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</si>
  <si>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</si>
  <si>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Waiting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</si>
  <si>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</si>
  <si>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</si>
  <si>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</si>
  <si>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</si>
  <si>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</si>
  <si>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</si>
  <si>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</si>
  <si>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</si>
  <si>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</si>
  <si>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</si>
  <si>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</si>
  <si>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</si>
  <si>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</si>
  <si>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</si>
  <si>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</si>
  <si>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</si>
  <si>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</si>
  <si>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</si>
  <si>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</si>
  <si>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</si>
  <si>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</si>
  <si>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</si>
  <si>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</si>
  <si>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</si>
  <si>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</si>
  <si>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Standard</t>
  </si>
  <si>
    <t>X</t>
  </si>
  <si>
    <t>IT6B19000</t>
  </si>
  <si>
    <t>FR8645562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</si>
</sst>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</cellXfs>
  <cellStyles count="17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98.380692592589" createdVersion="7" refreshedVersion="7" minRefreshableVersion="3" recordCount="3688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688"/>
    </cacheField>
    <cacheField name="Forecast?" numFmtId="0">
      <sharedItems/>
    </cacheField>
    <cacheField name="Ticket" numFmtId="0">
      <sharedItems containsBlank="1" count="205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6">
        <s v="ON TM1"/>
        <s v="RETURNED TO ORIGINAL NODE"/>
        <s v="Cancelled"/>
        <s v="Redo"/>
        <s v="Waiting"/>
        <n v="0" u="1"/>
      </sharedItems>
    </cacheField>
    <cacheField name="Sector" numFmtId="0">
      <sharedItems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8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1"/>
    <x v="0"/>
    <e v="#N/A"/>
    <m/>
    <m/>
    <s v="Marcin Kuskowski"/>
  </r>
  <r>
    <n v="3345"/>
    <s v="F2"/>
    <x v="104"/>
    <s v="G000001030"/>
    <s v="LH Gebaude LS Warehouse DA"/>
    <m/>
    <s v="Rename"/>
    <x v="1"/>
    <x v="0"/>
    <e v="#N/A"/>
    <m/>
    <m/>
    <s v="Marcin Kuskowski"/>
  </r>
  <r>
    <n v="3346"/>
    <s v="F2"/>
    <x v="104"/>
    <s v="G000001031"/>
    <s v="SM-EP Gebaude Gernsheim"/>
    <m/>
    <s v="Rename"/>
    <x v="1"/>
    <x v="0"/>
    <e v="#N/A"/>
    <m/>
    <m/>
    <s v="Marcin Kuskowski"/>
  </r>
  <r>
    <n v="3347"/>
    <s v="F2"/>
    <x v="104"/>
    <s v="G000001032"/>
    <s v="SM-EP Freiflachen Gernsheim"/>
    <m/>
    <s v="Rename"/>
    <x v="1"/>
    <x v="0"/>
    <e v="#N/A"/>
    <m/>
    <m/>
    <s v="Marcin Kuskowski"/>
  </r>
  <r>
    <n v="3348"/>
    <s v="F2"/>
    <x v="104"/>
    <s v="G000001045"/>
    <s v="SM GHM Full Service Gebaude"/>
    <m/>
    <s v="Rename"/>
    <x v="1"/>
    <x v="0"/>
    <e v="#N/A"/>
    <m/>
    <m/>
    <s v="Marcin Kuskowski"/>
  </r>
  <r>
    <n v="3349"/>
    <s v="F2"/>
    <x v="104"/>
    <s v="G000001048"/>
    <s v="SM GHM Shell &amp; Core Gebaude"/>
    <m/>
    <s v="Rename"/>
    <x v="1"/>
    <x v="0"/>
    <e v="#N/A"/>
    <m/>
    <m/>
    <s v="Marcin Kuskowski"/>
  </r>
  <r>
    <n v="3350"/>
    <s v="F2"/>
    <x v="104"/>
    <s v="G000001052"/>
    <s v="SM GHM Lease Hold Gebaude"/>
    <m/>
    <s v="Rename"/>
    <x v="1"/>
    <x v="0"/>
    <e v="#N/A"/>
    <m/>
    <m/>
    <s v="Marcin Kuskowski"/>
  </r>
  <r>
    <n v="3351"/>
    <s v="F2"/>
    <x v="104"/>
    <s v="G000001055"/>
    <s v="SuSo Full Service Gebaude"/>
    <m/>
    <s v="Rename"/>
    <x v="1"/>
    <x v="0"/>
    <e v="#N/A"/>
    <m/>
    <m/>
    <s v="Marcin Kuskowski"/>
  </r>
  <r>
    <n v="3352"/>
    <s v="F2"/>
    <x v="104"/>
    <s v="G000001059"/>
    <s v="SuSo Shell &amp; Core Gebaude"/>
    <m/>
    <s v="Rename"/>
    <x v="1"/>
    <x v="0"/>
    <e v="#N/A"/>
    <m/>
    <m/>
    <s v="Marcin Kuskowski"/>
  </r>
  <r>
    <n v="3353"/>
    <s v="F2"/>
    <x v="104"/>
    <s v="G000001065"/>
    <s v="Lease Hold Gebaude HO"/>
    <m/>
    <s v="Rename"/>
    <x v="1"/>
    <x v="0"/>
    <e v="#N/A"/>
    <m/>
    <m/>
    <s v="Marcin Kuskowski"/>
  </r>
  <r>
    <n v="3354"/>
    <s v="F2"/>
    <x v="104"/>
    <s v="G000001066"/>
    <s v="Freiflachen Hohenbrunn"/>
    <m/>
    <s v="Rename"/>
    <x v="1"/>
    <x v="0"/>
    <e v="#N/A"/>
    <m/>
    <m/>
    <s v="Marcin Kuskowski"/>
  </r>
  <r>
    <n v="3355"/>
    <s v="F2"/>
    <x v="104"/>
    <s v="G000001068"/>
    <s v="Ruckbau Gebaude GHM"/>
    <m/>
    <s v="Rename"/>
    <x v="1"/>
    <x v="0"/>
    <e v="#N/A"/>
    <m/>
    <m/>
    <s v="Marcin Kuskowski"/>
  </r>
  <r>
    <n v="3356"/>
    <s v="F2"/>
    <x v="104"/>
    <s v="G000001070"/>
    <s v="SuSo Lease Hold Gebaude"/>
    <m/>
    <s v="Rename"/>
    <x v="1"/>
    <x v="0"/>
    <e v="#N/A"/>
    <m/>
    <m/>
    <s v="Marcin Kuskowski"/>
  </r>
  <r>
    <n v="3357"/>
    <s v="F2"/>
    <x v="104"/>
    <s v="H000000347"/>
    <s v="BL Saint Barthelemy"/>
    <m/>
    <s v="Rename"/>
    <x v="1"/>
    <x v="0"/>
    <e v="#N/A"/>
    <m/>
    <m/>
    <s v="Marcin Kuskowski"/>
  </r>
  <r>
    <n v="3358"/>
    <s v="F2"/>
    <x v="104"/>
    <s v="H000002691"/>
    <s v="EC - Gastos Convencion"/>
    <m/>
    <s v="Rename"/>
    <x v="1"/>
    <x v="0"/>
    <e v="#N/A"/>
    <m/>
    <m/>
    <s v="Marcin Kuskowski"/>
  </r>
  <r>
    <n v="3359"/>
    <s v="F2"/>
    <x v="104"/>
    <s v="H000004016"/>
    <s v="ES - Fundacion Merck Salud"/>
    <m/>
    <s v="Rename"/>
    <x v="1"/>
    <x v="0"/>
    <e v="#N/A"/>
    <m/>
    <m/>
    <s v="Marcin Kuskowski"/>
  </r>
  <r>
    <n v="3360"/>
    <s v="F2"/>
    <x v="104"/>
    <s v="L000006487"/>
    <s v="PS003200002083 CH70 EXP Expertentat-G"/>
    <m/>
    <s v="Rename"/>
    <x v="1"/>
    <x v="3"/>
    <e v="#N/A"/>
    <m/>
    <m/>
    <s v="Marcin Kuskowski"/>
  </r>
  <r>
    <n v="3361"/>
    <s v="F2"/>
    <x v="104"/>
    <s v="L000007417"/>
    <s v="PS003200000026 DE 40 Logistic Grune-G"/>
    <m/>
    <s v="Rename"/>
    <x v="1"/>
    <x v="3"/>
    <e v="#N/A"/>
    <m/>
    <m/>
    <s v="Marcin Kuskowski"/>
  </r>
  <r>
    <n v="3362"/>
    <s v="F2"/>
    <x v="104"/>
    <s v="L000007493"/>
    <s v="PS000400756903 QA-QC -  Emprove - N-G"/>
    <m/>
    <s v="Rename"/>
    <x v="1"/>
    <x v="3"/>
    <e v="#N/A"/>
    <m/>
    <m/>
    <s v="Marcin Kuskowski"/>
  </r>
  <r>
    <n v="3363"/>
    <s v="F2"/>
    <x v="104"/>
    <s v="L000012151"/>
    <s v="400762273 Start up J29 Sud NH4OH-G"/>
    <m/>
    <s v="Rename"/>
    <x v="1"/>
    <x v="3"/>
    <e v="#N/A"/>
    <m/>
    <m/>
    <s v="Marcin Kuskowski"/>
  </r>
  <r>
    <n v="3364"/>
    <s v="F2"/>
    <x v="104"/>
    <s v="L000012719"/>
    <s v="PS7210$$$2029C01220 PS  Sales A&amp;F W-G"/>
    <m/>
    <s v="Rename"/>
    <x v="1"/>
    <x v="3"/>
    <e v="#N/A"/>
    <m/>
    <m/>
    <s v="Marcin Kuskowski"/>
  </r>
  <r>
    <n v="3365"/>
    <s v="F2"/>
    <x v="104"/>
    <s v="L000012884"/>
    <s v="400762814-Start-up X20 Lomi-Trocknu-G"/>
    <m/>
    <s v="Rename"/>
    <x v="1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1"/>
    <x v="4"/>
    <s v="EL"/>
    <m/>
    <m/>
    <s v="Eivy Denine Cruz"/>
  </r>
  <r>
    <n v="3687"/>
    <s v="F2"/>
    <x v="113"/>
    <s v="H000005719"/>
    <s v="Rare TA Direct Costs"/>
    <s v="H000004396"/>
    <s v="New"/>
    <x v="1"/>
    <x v="4"/>
    <s v="EL"/>
    <m/>
    <m/>
    <s v="Eivy Denine Cruz"/>
  </r>
  <r>
    <n v="3688"/>
    <s v="F2"/>
    <x v="113"/>
    <s v="H000005720"/>
    <s v="Rare TA Other"/>
    <s v="H000004396"/>
    <s v="New"/>
    <x v="1"/>
    <x v="4"/>
    <s v="EL"/>
    <m/>
    <m/>
    <s v="Eivy Denine Cruz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9" firstHeaderRow="1" firstDataRow="1" firstDataCol="1" rowPageCount="1" colPageCount="1"/>
  <pivotFields count="13">
    <pivotField showAll="0"/>
    <pivotField showAll="0"/>
    <pivotField axis="axisRow" showAll="0">
      <items count="206">
        <item m="1" x="170"/>
        <item m="1" x="124"/>
        <item m="1" x="142"/>
        <item m="1" x="179"/>
        <item m="1" x="138"/>
        <item m="1" x="182"/>
        <item m="1" x="128"/>
        <item m="1" x="192"/>
        <item m="1" x="121"/>
        <item m="1" x="153"/>
        <item m="1" x="163"/>
        <item m="1" x="183"/>
        <item m="1" x="168"/>
        <item m="1" x="146"/>
        <item m="1" x="164"/>
        <item m="1" x="139"/>
        <item m="1" x="200"/>
        <item m="1" x="136"/>
        <item m="1" x="198"/>
        <item m="1" x="129"/>
        <item m="1" x="184"/>
        <item m="1" x="199"/>
        <item m="1" x="185"/>
        <item m="1" x="154"/>
        <item m="1" x="202"/>
        <item m="1" x="158"/>
        <item m="1" x="147"/>
        <item m="1" x="204"/>
        <item m="1" x="143"/>
        <item m="1" x="165"/>
        <item m="1" x="160"/>
        <item m="1" x="144"/>
        <item m="1" x="166"/>
        <item m="1" x="118"/>
        <item m="1" x="148"/>
        <item m="1" x="173"/>
        <item m="1" x="140"/>
        <item m="1" x="195"/>
        <item m="1" x="189"/>
        <item m="1" x="197"/>
        <item m="1" x="119"/>
        <item m="1" x="171"/>
        <item m="1" x="114"/>
        <item m="1" x="157"/>
        <item m="1" x="196"/>
        <item m="1" x="176"/>
        <item m="1" x="137"/>
        <item m="1" x="156"/>
        <item m="1" x="169"/>
        <item m="1" x="159"/>
        <item m="1" x="122"/>
        <item m="1" x="134"/>
        <item m="1" x="130"/>
        <item m="1" x="203"/>
        <item m="1" x="150"/>
        <item m="1" x="115"/>
        <item m="1" x="190"/>
        <item m="1" x="152"/>
        <item m="1" x="145"/>
        <item m="1" x="181"/>
        <item m="1" x="151"/>
        <item m="1" x="120"/>
        <item m="1" x="186"/>
        <item m="1" x="155"/>
        <item m="1" x="131"/>
        <item m="1" x="161"/>
        <item m="1" x="135"/>
        <item m="1" x="174"/>
        <item m="1" x="178"/>
        <item m="1" x="125"/>
        <item m="1" x="123"/>
        <item m="1" x="162"/>
        <item m="1" x="201"/>
        <item m="1" x="133"/>
        <item m="1" x="126"/>
        <item m="1" x="177"/>
        <item m="1" x="172"/>
        <item m="1" x="175"/>
        <item m="1" x="191"/>
        <item m="1" x="141"/>
        <item m="1" x="117"/>
        <item m="1" x="187"/>
        <item m="1" x="132"/>
        <item m="1" x="127"/>
        <item m="1" x="188"/>
        <item m="1" x="193"/>
        <item m="1" x="149"/>
        <item m="1" x="194"/>
        <item m="1" x="180"/>
        <item m="1" x="1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1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7">
        <item m="1" x="5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6">
    <i>
      <x v="195"/>
    </i>
    <i r="1">
      <x v="1"/>
    </i>
    <i r="1">
      <x v="4"/>
    </i>
    <i>
      <x v="204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703" totalsRowShown="0">
  <autoFilter ref="A1:M3703" xr:uid="{00000000-000C-0000-FFFF-FFFF00000000}">
    <filterColumn colId="7">
      <filters blank="1"/>
    </filterColumn>
    <filterColumn colId="8">
      <filters blank="1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9"/>
  <sheetViews>
    <sheetView workbookViewId="0">
      <selection activeCell="B8" sqref="B8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12381</v>
      </c>
      <c r="B4" s="42">
        <v>22</v>
      </c>
    </row>
    <row r="5" spans="1:2">
      <c r="A5" s="65" t="s">
        <v>8539</v>
      </c>
      <c r="B5" s="42">
        <v>16</v>
      </c>
    </row>
    <row r="6" spans="1:2">
      <c r="A6" s="65" t="s">
        <v>12840</v>
      </c>
      <c r="B6" s="42">
        <v>6</v>
      </c>
    </row>
    <row r="7" spans="1:2">
      <c r="A7" s="30" t="s">
        <v>12836</v>
      </c>
      <c r="B7" s="42">
        <v>3</v>
      </c>
    </row>
    <row r="8" spans="1:2">
      <c r="A8" s="65" t="s">
        <v>12841</v>
      </c>
      <c r="B8" s="42">
        <v>3</v>
      </c>
    </row>
    <row r="9" spans="1:2">
      <c r="A9" s="30" t="s">
        <v>10</v>
      </c>
      <c r="B9" s="42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98"/>
  <sheetViews>
    <sheetView topLeftCell="A356" workbookViewId="0">
      <selection activeCell="E396" sqref="E396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703"/>
  <sheetViews>
    <sheetView tabSelected="1" zoomScaleNormal="100" workbookViewId="0">
      <selection activeCell="A3711" sqref="A3711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7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7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7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7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7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7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7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7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7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7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7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7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7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7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5" si="55">1+A3261</f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5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5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5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ref="A3326:A3389" si="56">1+A3325</f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6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6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6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6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si="56"/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6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6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6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6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6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6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6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6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6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6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6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6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6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 hidden="1">
      <c r="A3345" s="40">
        <f t="shared" si="56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/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 hidden="1">
      <c r="A3346" s="40">
        <f t="shared" si="56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/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 hidden="1">
      <c r="A3347" s="40">
        <f t="shared" si="56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/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 hidden="1">
      <c r="A3348" s="40">
        <f t="shared" si="56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/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 hidden="1">
      <c r="A3349" s="40">
        <f t="shared" si="56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/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 hidden="1">
      <c r="A3350" s="40">
        <f t="shared" si="56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/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 hidden="1">
      <c r="A3351" s="40">
        <f t="shared" si="56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/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 hidden="1">
      <c r="A3352" s="40">
        <f t="shared" si="56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/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 hidden="1">
      <c r="A3353" s="40">
        <f t="shared" si="56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/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 hidden="1">
      <c r="A3354" s="40">
        <f t="shared" si="56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/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 hidden="1">
      <c r="A3355" s="40">
        <f t="shared" si="56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/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 hidden="1">
      <c r="A3356" s="40">
        <f t="shared" si="56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/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 hidden="1">
      <c r="A3357" s="40">
        <f t="shared" si="56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/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 hidden="1">
      <c r="A3358" s="40">
        <f t="shared" si="56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/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 hidden="1">
      <c r="A3359" s="40">
        <f t="shared" si="56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/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 hidden="1">
      <c r="A3360" s="40">
        <f t="shared" si="56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/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 hidden="1">
      <c r="A3361" s="40">
        <f t="shared" si="56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/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 hidden="1">
      <c r="A3362" s="40">
        <f t="shared" si="56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/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 hidden="1">
      <c r="A3363" s="40">
        <f t="shared" si="56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/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 hidden="1">
      <c r="A3364" s="40">
        <f t="shared" si="56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/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 hidden="1">
      <c r="A3365" s="40">
        <f t="shared" si="56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/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 hidden="1">
      <c r="A3366" s="40">
        <f t="shared" si="56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/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6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6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6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6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6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6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6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6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6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6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6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6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6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6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6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6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6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6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6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6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6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6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6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ref="A3390:A3453" si="57">1+A3389</f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7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7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7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7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si="57"/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7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7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7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7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7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7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7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7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7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7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7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7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7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7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7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7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7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7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7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7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7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7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7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7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7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7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7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7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7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7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7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7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7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7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7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7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7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7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7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7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7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7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7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7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7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7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7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7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7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7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7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7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7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7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7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7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7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7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ref="A3454:A3517" si="58">1+A3453</f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8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8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8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8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si="58"/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8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8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8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8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8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8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8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8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8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8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8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8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8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8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8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8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8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8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8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8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8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8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8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8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8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8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8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8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8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8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8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8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8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8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8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8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8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8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8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8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8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8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8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8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8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8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8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8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8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8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8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8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8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8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8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8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8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8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ref="A3518:A3581" si="59">1+A3517</f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9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9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9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9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si="59"/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9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9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9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9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9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9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9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9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9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9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9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9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9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9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9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9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9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9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9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9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9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9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9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9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9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9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9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9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9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9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9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9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9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9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9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9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9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9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9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9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9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9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9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9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9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9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9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9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9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9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9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9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9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9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9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9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9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9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ref="A3582:A3645" si="60">1+A3581</f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60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60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60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60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si="60"/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60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60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60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60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60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60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60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60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60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60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60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60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60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60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60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60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60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60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60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60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60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60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60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60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60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60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60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60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60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60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60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60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60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60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60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60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60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60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60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60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60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60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60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60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60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60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60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60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60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60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60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60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60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60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60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60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60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60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ref="A3646:A3703" si="61">1+A3645</f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61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61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61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61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si="61"/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61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61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61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61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61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61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61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61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61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61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61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61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61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61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61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61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61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61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61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61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61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61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61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61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61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61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61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61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61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61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61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61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61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61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61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 hidden="1">
      <c r="A3687" s="40">
        <f t="shared" si="61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/>
      </c>
      <c r="I3687" s="34" t="s">
        <v>12841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 hidden="1">
      <c r="A3688" s="40">
        <f t="shared" si="61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/>
      </c>
      <c r="I3688" s="34" t="s">
        <v>12841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 hidden="1">
      <c r="A3689" s="40">
        <f t="shared" si="61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/>
      </c>
      <c r="I3689" s="34" t="s">
        <v>12841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>
      <c r="A3690" s="40">
        <f t="shared" si="61"/>
        <v>3689</v>
      </c>
      <c r="B3690" s="34" t="s">
        <v>8</v>
      </c>
      <c r="C3690" s="8" t="s">
        <v>12853</v>
      </c>
      <c r="D3690" s="34" t="s">
        <v>12856</v>
      </c>
      <c r="E3690" s="8" t="s">
        <v>12842</v>
      </c>
      <c r="F3690" s="8" t="s">
        <v>1113</v>
      </c>
      <c r="G3690" s="34" t="s">
        <v>14</v>
      </c>
      <c r="H3690" s="34" t="str">
        <f>IFERROR(VLOOKUP(Table2[[#This Row], [Ticket]],Okey!A:B,2,0),"")</f>
        <v/>
      </c>
      <c r="I3690" s="34"/>
      <c r="J3690" s="34" t="str">
        <f>VLOOKUP(Table2[[#This Row],[Author]],People!A:B,2,0)</f>
        <v>HC</v>
      </c>
      <c r="L3690" s="34"/>
      <c r="M3690" s="34" t="s">
        <v>9027</v>
      </c>
    </row>
    <row r="3691" spans="1:13">
      <c r="A3691" s="40">
        <f t="shared" si="61"/>
        <v>3690</v>
      </c>
      <c r="B3691" s="34" t="s">
        <v>8</v>
      </c>
      <c r="C3691" s="34" t="s">
        <v>12853</v>
      </c>
      <c r="D3691" s="8" t="s">
        <v>12858</v>
      </c>
      <c r="E3691" s="8" t="s">
        <v>12843</v>
      </c>
      <c r="F3691" s="8" t="s">
        <v>1113</v>
      </c>
      <c r="G3691" s="34" t="s">
        <v>14</v>
      </c>
      <c r="H3691" s="34" t="str">
        <f>IFERROR(VLOOKUP(Table2[[#This Row], [Ticket]],Okey!A:B,2,0),"")</f>
        <v/>
      </c>
      <c r="I3691" s="34"/>
      <c r="J3691" s="34" t="str">
        <f>VLOOKUP(Table2[[#This Row],[Author]],People!A:B,2,0)</f>
        <v>HC</v>
      </c>
      <c r="L3691" s="34"/>
      <c r="M3691" s="34" t="s">
        <v>9027</v>
      </c>
    </row>
    <row r="3692" spans="1:13">
      <c r="A3692" s="40">
        <f t="shared" si="61"/>
        <v>3691</v>
      </c>
      <c r="B3692" s="34" t="s">
        <v>8</v>
      </c>
      <c r="C3692" s="34" t="s">
        <v>12853</v>
      </c>
      <c r="D3692" s="8" t="s">
        <v>12859</v>
      </c>
      <c r="E3692" s="8" t="s">
        <v>12844</v>
      </c>
      <c r="F3692" s="8" t="s">
        <v>12852</v>
      </c>
      <c r="G3692" s="34" t="s">
        <v>14</v>
      </c>
      <c r="H3692" s="34" t="str">
        <f>IFERROR(VLOOKUP(Table2[[#This Row], [Ticket]],Okey!A:B,2,0),"")</f>
        <v/>
      </c>
      <c r="I3692" s="34"/>
      <c r="J3692" s="34" t="str">
        <f>VLOOKUP(Table2[[#This Row],[Author]],People!A:B,2,0)</f>
        <v>HC</v>
      </c>
      <c r="L3692" s="34"/>
      <c r="M3692" s="34" t="s">
        <v>9027</v>
      </c>
    </row>
    <row r="3693" spans="1:13">
      <c r="A3693" s="40">
        <f t="shared" si="61"/>
        <v>3692</v>
      </c>
      <c r="B3693" s="34" t="s">
        <v>8</v>
      </c>
      <c r="C3693" s="34" t="s">
        <v>12853</v>
      </c>
      <c r="D3693" s="8" t="s">
        <v>12860</v>
      </c>
      <c r="E3693" s="8" t="s">
        <v>12845</v>
      </c>
      <c r="F3693" s="8" t="s">
        <v>12852</v>
      </c>
      <c r="G3693" s="34" t="s">
        <v>14</v>
      </c>
      <c r="H3693" s="34" t="str">
        <f>IFERROR(VLOOKUP(Table2[[#This Row], [Ticket]],Okey!A:B,2,0),"")</f>
        <v/>
      </c>
      <c r="I3693" s="34"/>
      <c r="J3693" s="34" t="str">
        <f>VLOOKUP(Table2[[#This Row],[Author]],People!A:B,2,0)</f>
        <v>HC</v>
      </c>
      <c r="L3693" s="34"/>
      <c r="M3693" s="34" t="s">
        <v>9027</v>
      </c>
    </row>
    <row r="3694" spans="1:13">
      <c r="A3694" s="40">
        <f t="shared" si="61"/>
        <v>3693</v>
      </c>
      <c r="B3694" s="34" t="s">
        <v>8</v>
      </c>
      <c r="C3694" s="34" t="s">
        <v>12853</v>
      </c>
      <c r="D3694" s="8" t="s">
        <v>12861</v>
      </c>
      <c r="E3694" s="8" t="s">
        <v>12846</v>
      </c>
      <c r="F3694" s="8" t="s">
        <v>1159</v>
      </c>
      <c r="G3694" s="34" t="s">
        <v>14</v>
      </c>
      <c r="H3694" s="34" t="str">
        <f>IFERROR(VLOOKUP(Table2[[#This Row], [Ticket]],Okey!A:B,2,0),"")</f>
        <v/>
      </c>
      <c r="I3694" s="34"/>
      <c r="J3694" s="34" t="str">
        <f>VLOOKUP(Table2[[#This Row],[Author]],People!A:B,2,0)</f>
        <v>HC</v>
      </c>
      <c r="L3694" s="34"/>
      <c r="M3694" s="34" t="s">
        <v>9027</v>
      </c>
    </row>
    <row r="3695" spans="1:13">
      <c r="A3695" s="40">
        <f t="shared" si="61"/>
        <v>3694</v>
      </c>
      <c r="B3695" s="34" t="s">
        <v>8</v>
      </c>
      <c r="C3695" s="34" t="s">
        <v>12853</v>
      </c>
      <c r="D3695" s="8" t="s">
        <v>12862</v>
      </c>
      <c r="E3695" s="8" t="s">
        <v>12847</v>
      </c>
      <c r="F3695" s="8" t="s">
        <v>1159</v>
      </c>
      <c r="G3695" s="34" t="s">
        <v>14</v>
      </c>
      <c r="H3695" s="34" t="str">
        <f>IFERROR(VLOOKUP(Table2[[#This Row], [Ticket]],Okey!A:B,2,0),"")</f>
        <v/>
      </c>
      <c r="I3695" s="34"/>
      <c r="J3695" s="34" t="str">
        <f>VLOOKUP(Table2[[#This Row],[Author]],People!A:B,2,0)</f>
        <v>HC</v>
      </c>
      <c r="L3695" s="34"/>
      <c r="M3695" s="34" t="s">
        <v>9027</v>
      </c>
    </row>
    <row r="3696" spans="1:13">
      <c r="A3696" s="40">
        <f t="shared" si="61"/>
        <v>3695</v>
      </c>
      <c r="B3696" s="34" t="s">
        <v>8</v>
      </c>
      <c r="C3696" s="34" t="s">
        <v>12853</v>
      </c>
      <c r="D3696" s="8" t="s">
        <v>12863</v>
      </c>
      <c r="E3696" s="8" t="s">
        <v>12848</v>
      </c>
      <c r="F3696" s="8" t="s">
        <v>1168</v>
      </c>
      <c r="G3696" s="34" t="s">
        <v>14</v>
      </c>
      <c r="H3696" s="34" t="str">
        <f>IFERROR(VLOOKUP(Table2[[#This Row], [Ticket]],Okey!A:B,2,0),"")</f>
        <v/>
      </c>
      <c r="I3696" s="34"/>
      <c r="J3696" s="34" t="str">
        <f>VLOOKUP(Table2[[#This Row],[Author]],People!A:B,2,0)</f>
        <v>HC</v>
      </c>
      <c r="L3696" s="34"/>
      <c r="M3696" s="34" t="s">
        <v>9027</v>
      </c>
    </row>
    <row r="3697" spans="1:13">
      <c r="A3697" s="40">
        <f t="shared" si="61"/>
        <v>3696</v>
      </c>
      <c r="B3697" s="34" t="s">
        <v>8</v>
      </c>
      <c r="C3697" s="34" t="s">
        <v>12853</v>
      </c>
      <c r="D3697" s="8" t="s">
        <v>12864</v>
      </c>
      <c r="E3697" s="8" t="s">
        <v>12849</v>
      </c>
      <c r="F3697" s="8" t="s">
        <v>1168</v>
      </c>
      <c r="G3697" s="34" t="s">
        <v>14</v>
      </c>
      <c r="H3697" s="34" t="str">
        <f>IFERROR(VLOOKUP(Table2[[#This Row], [Ticket]],Okey!A:B,2,0),"")</f>
        <v/>
      </c>
      <c r="I3697" s="34"/>
      <c r="J3697" s="34" t="str">
        <f>VLOOKUP(Table2[[#This Row],[Author]],People!A:B,2,0)</f>
        <v>HC</v>
      </c>
      <c r="L3697" s="34"/>
      <c r="M3697" s="34" t="s">
        <v>9027</v>
      </c>
    </row>
    <row r="3698" spans="1:13">
      <c r="A3698" s="40">
        <f t="shared" si="61"/>
        <v>3697</v>
      </c>
      <c r="B3698" s="34" t="s">
        <v>8</v>
      </c>
      <c r="C3698" s="34" t="s">
        <v>12853</v>
      </c>
      <c r="D3698" s="8" t="s">
        <v>12865</v>
      </c>
      <c r="E3698" s="8" t="s">
        <v>12850</v>
      </c>
      <c r="F3698" s="8" t="s">
        <v>1120</v>
      </c>
      <c r="G3698" s="34" t="s">
        <v>14</v>
      </c>
      <c r="H3698" s="34" t="str">
        <f>IFERROR(VLOOKUP(Table2[[#This Row], [Ticket]],Okey!A:B,2,0),"")</f>
        <v/>
      </c>
      <c r="I3698" s="34"/>
      <c r="J3698" s="34" t="str">
        <f>VLOOKUP(Table2[[#This Row],[Author]],People!A:B,2,0)</f>
        <v>HC</v>
      </c>
      <c r="L3698" s="34"/>
      <c r="M3698" s="34" t="s">
        <v>9027</v>
      </c>
    </row>
    <row r="3699" spans="1:13">
      <c r="A3699" s="40">
        <f t="shared" si="61"/>
        <v>3698</v>
      </c>
      <c r="B3699" s="34" t="s">
        <v>8</v>
      </c>
      <c r="C3699" s="34" t="s">
        <v>12853</v>
      </c>
      <c r="D3699" s="8" t="s">
        <v>12866</v>
      </c>
      <c r="E3699" s="8" t="s">
        <v>12851</v>
      </c>
      <c r="F3699" s="8" t="s">
        <v>1120</v>
      </c>
      <c r="G3699" s="34" t="s">
        <v>14</v>
      </c>
      <c r="H3699" s="34" t="str">
        <f>IFERROR(VLOOKUP(Table2[[#This Row], [Ticket]],Okey!A:B,2,0),"")</f>
        <v/>
      </c>
      <c r="I3699" s="34"/>
      <c r="J3699" s="34" t="str">
        <f>VLOOKUP(Table2[[#This Row],[Author]],People!A:B,2,0)</f>
        <v>HC</v>
      </c>
      <c r="L3699" s="34"/>
      <c r="M3699" s="34" t="s">
        <v>9027</v>
      </c>
    </row>
    <row r="3700" spans="1:13">
      <c r="A3700" s="40">
        <f t="shared" si="61"/>
        <v>3699</v>
      </c>
      <c r="B3700" s="34" t="s">
        <v>8</v>
      </c>
      <c r="C3700" s="8" t="s">
        <v>12854</v>
      </c>
      <c r="D3700" s="8" t="s">
        <v>9029</v>
      </c>
      <c r="G3700" s="8" t="s">
        <v>8537</v>
      </c>
      <c r="H3700" s="34" t="str">
        <f>IFERROR(VLOOKUP(Table2[[#This Row], [Ticket]],Okey!A:B,2,0),"")</f>
        <v/>
      </c>
      <c r="I3700" s="34"/>
      <c r="J3700" s="34" t="str">
        <f>VLOOKUP(Table2[[#This Row],[Author]],People!A:B,2,0)</f>
        <v>HC</v>
      </c>
      <c r="L3700" s="34"/>
      <c r="M3700" s="34" t="s">
        <v>9027</v>
      </c>
    </row>
    <row r="3701" spans="1:13">
      <c r="A3701" s="40">
        <f t="shared" si="61"/>
        <v>3700</v>
      </c>
      <c r="B3701" s="34" t="s">
        <v>8</v>
      </c>
      <c r="C3701" s="34" t="s">
        <v>12854</v>
      </c>
      <c r="D3701" s="8" t="s">
        <v>9030</v>
      </c>
      <c r="G3701" s="34" t="s">
        <v>8537</v>
      </c>
      <c r="H3701" s="34" t="str">
        <f>IFERROR(VLOOKUP(Table2[[#This Row], [Ticket]],Okey!A:B,2,0),"")</f>
        <v/>
      </c>
      <c r="I3701" s="34"/>
      <c r="J3701" s="34" t="str">
        <f>VLOOKUP(Table2[[#This Row],[Author]],People!A:B,2,0)</f>
        <v>HC</v>
      </c>
      <c r="L3701" s="34"/>
      <c r="M3701" s="34" t="s">
        <v>9027</v>
      </c>
    </row>
    <row r="3702" spans="1:13">
      <c r="A3702" s="40">
        <f t="shared" si="61"/>
        <v>3701</v>
      </c>
      <c r="B3702" s="34" t="s">
        <v>8</v>
      </c>
      <c r="C3702" s="8" t="s">
        <v>12855</v>
      </c>
      <c r="D3702" s="8" t="s">
        <v>6646</v>
      </c>
      <c r="F3702" s="8" t="s">
        <v>12331</v>
      </c>
      <c r="G3702" s="8" t="s">
        <v>13</v>
      </c>
      <c r="H3702" s="34" t="str">
        <f>IFERROR(VLOOKUP(Table2[[#This Row], [Ticket]],Okey!A:B,2,0),"")</f>
        <v/>
      </c>
      <c r="I3702" s="34"/>
      <c r="J3702" s="34" t="str">
        <f>VLOOKUP(Table2[[#This Row],[Author]],People!A:B,2,0)</f>
        <v>EL</v>
      </c>
      <c r="L3702" s="34"/>
      <c r="M3702" s="34" t="s">
        <v>4794</v>
      </c>
    </row>
    <row r="3703" spans="1:13">
      <c r="A3703" s="40">
        <f t="shared" si="61"/>
        <v>3702</v>
      </c>
      <c r="B3703" s="34" t="s">
        <v>8</v>
      </c>
      <c r="C3703" s="8" t="s">
        <v>12870</v>
      </c>
      <c r="D3703" s="8" t="s">
        <v>12869</v>
      </c>
      <c r="E3703" s="8" t="s">
        <v>6300</v>
      </c>
      <c r="G3703" s="8" t="s">
        <v>14</v>
      </c>
      <c r="H3703" s="34" t="str">
        <f>IFERROR(VLOOKUP(Table2[[#This Row], [Ticket]],Okey!A:B,2,0),"")</f>
        <v/>
      </c>
      <c r="I3703" s="34"/>
      <c r="J3703" s="34" t="str">
        <f>VLOOKUP(Table2[[#This Row],[Author]],People!A:B,2,0)</f>
        <v>LS</v>
      </c>
      <c r="L3703" s="34"/>
      <c r="M3703" s="34" t="s">
        <v>6348</v>
      </c>
    </row>
  </sheetData>
  <phoneticPr fontId="23" type="noConversion"/>
  <conditionalFormatting sqref="D2:D866 D869:D872">
    <cfRule type="duplicateValues" dxfId="86" priority="82"/>
  </conditionalFormatting>
  <conditionalFormatting sqref="K866:K868">
    <cfRule type="duplicateValues" dxfId="85" priority="81"/>
  </conditionalFormatting>
  <conditionalFormatting sqref="K867">
    <cfRule type="duplicateValues" dxfId="84" priority="80"/>
  </conditionalFormatting>
  <conditionalFormatting sqref="K868">
    <cfRule type="duplicateValues" dxfId="83" priority="79"/>
  </conditionalFormatting>
  <conditionalFormatting sqref="F867">
    <cfRule type="duplicateValues" dxfId="82" priority="78"/>
  </conditionalFormatting>
  <conditionalFormatting sqref="F868">
    <cfRule type="duplicateValues" dxfId="81" priority="77"/>
  </conditionalFormatting>
  <conditionalFormatting sqref="F872">
    <cfRule type="duplicateValues" dxfId="80" priority="76"/>
  </conditionalFormatting>
  <conditionalFormatting sqref="D867">
    <cfRule type="duplicateValues" dxfId="79" priority="75"/>
  </conditionalFormatting>
  <conditionalFormatting sqref="D868">
    <cfRule type="duplicateValues" dxfId="78" priority="74"/>
  </conditionalFormatting>
  <conditionalFormatting sqref="D873">
    <cfRule type="duplicateValues" dxfId="77" priority="73"/>
  </conditionalFormatting>
  <conditionalFormatting sqref="D889">
    <cfRule type="duplicateValues" dxfId="76" priority="72"/>
  </conditionalFormatting>
  <conditionalFormatting sqref="K889 K873">
    <cfRule type="duplicateValues" dxfId="75" priority="71"/>
  </conditionalFormatting>
  <conditionalFormatting sqref="D1356">
    <cfRule type="duplicateValues" dxfId="74" priority="70"/>
  </conditionalFormatting>
  <conditionalFormatting sqref="F1459">
    <cfRule type="duplicateValues" dxfId="73" priority="68"/>
  </conditionalFormatting>
  <conditionalFormatting sqref="F1460">
    <cfRule type="duplicateValues" dxfId="72" priority="67"/>
  </conditionalFormatting>
  <conditionalFormatting sqref="F1461">
    <cfRule type="duplicateValues" dxfId="71" priority="66"/>
  </conditionalFormatting>
  <conditionalFormatting sqref="F1463">
    <cfRule type="duplicateValues" dxfId="70" priority="65"/>
  </conditionalFormatting>
  <conditionalFormatting sqref="F1464">
    <cfRule type="duplicateValues" dxfId="69" priority="64"/>
  </conditionalFormatting>
  <conditionalFormatting sqref="F1473">
    <cfRule type="duplicateValues" dxfId="68" priority="63"/>
  </conditionalFormatting>
  <conditionalFormatting sqref="F1491">
    <cfRule type="duplicateValues" dxfId="67" priority="62"/>
  </conditionalFormatting>
  <conditionalFormatting sqref="F1492">
    <cfRule type="duplicateValues" dxfId="66" priority="61"/>
  </conditionalFormatting>
  <conditionalFormatting sqref="F1493">
    <cfRule type="duplicateValues" dxfId="65" priority="60"/>
  </conditionalFormatting>
  <conditionalFormatting sqref="F1494">
    <cfRule type="duplicateValues" dxfId="64" priority="59"/>
  </conditionalFormatting>
  <conditionalFormatting sqref="F1496">
    <cfRule type="duplicateValues" dxfId="63" priority="58"/>
  </conditionalFormatting>
  <conditionalFormatting sqref="F1497">
    <cfRule type="duplicateValues" dxfId="62" priority="57"/>
  </conditionalFormatting>
  <conditionalFormatting sqref="F1498">
    <cfRule type="duplicateValues" dxfId="61" priority="56"/>
  </conditionalFormatting>
  <conditionalFormatting sqref="F1499">
    <cfRule type="duplicateValues" dxfId="60" priority="55"/>
  </conditionalFormatting>
  <conditionalFormatting sqref="F1501">
    <cfRule type="duplicateValues" dxfId="59" priority="54"/>
  </conditionalFormatting>
  <conditionalFormatting sqref="F1502">
    <cfRule type="duplicateValues" dxfId="58" priority="53"/>
  </conditionalFormatting>
  <conditionalFormatting sqref="F1503">
    <cfRule type="duplicateValues" dxfId="57" priority="52"/>
  </conditionalFormatting>
  <conditionalFormatting sqref="F1504">
    <cfRule type="duplicateValues" dxfId="56" priority="51"/>
  </conditionalFormatting>
  <conditionalFormatting sqref="F1505">
    <cfRule type="duplicateValues" dxfId="55" priority="50"/>
  </conditionalFormatting>
  <conditionalFormatting sqref="F1506">
    <cfRule type="duplicateValues" dxfId="54" priority="49"/>
  </conditionalFormatting>
  <conditionalFormatting sqref="F1507">
    <cfRule type="duplicateValues" dxfId="53" priority="48"/>
  </conditionalFormatting>
  <conditionalFormatting sqref="F1508">
    <cfRule type="duplicateValues" dxfId="52" priority="47"/>
  </conditionalFormatting>
  <conditionalFormatting sqref="F1509">
    <cfRule type="duplicateValues" dxfId="51" priority="46"/>
  </conditionalFormatting>
  <conditionalFormatting sqref="F1510">
    <cfRule type="duplicateValues" dxfId="50" priority="45"/>
  </conditionalFormatting>
  <conditionalFormatting sqref="F1511">
    <cfRule type="duplicateValues" dxfId="49" priority="44"/>
  </conditionalFormatting>
  <conditionalFormatting sqref="F1512">
    <cfRule type="duplicateValues" dxfId="48" priority="43"/>
  </conditionalFormatting>
  <conditionalFormatting sqref="F1514">
    <cfRule type="duplicateValues" dxfId="47" priority="42"/>
  </conditionalFormatting>
  <conditionalFormatting sqref="F1515">
    <cfRule type="duplicateValues" dxfId="46" priority="41"/>
  </conditionalFormatting>
  <conditionalFormatting sqref="F1516">
    <cfRule type="duplicateValues" dxfId="45" priority="40"/>
  </conditionalFormatting>
  <conditionalFormatting sqref="F1517">
    <cfRule type="duplicateValues" dxfId="44" priority="39"/>
  </conditionalFormatting>
  <conditionalFormatting sqref="F1630">
    <cfRule type="duplicateValues" dxfId="43" priority="38"/>
  </conditionalFormatting>
  <conditionalFormatting sqref="F1631">
    <cfRule type="duplicateValues" dxfId="42" priority="37"/>
  </conditionalFormatting>
  <conditionalFormatting sqref="F1632">
    <cfRule type="duplicateValues" dxfId="41" priority="36"/>
  </conditionalFormatting>
  <conditionalFormatting sqref="F1633">
    <cfRule type="duplicateValues" dxfId="40" priority="35"/>
  </conditionalFormatting>
  <conditionalFormatting sqref="F1634">
    <cfRule type="duplicateValues" dxfId="39" priority="34"/>
  </conditionalFormatting>
  <conditionalFormatting sqref="D1639">
    <cfRule type="duplicateValues" dxfId="38" priority="33"/>
  </conditionalFormatting>
  <conditionalFormatting sqref="F1712">
    <cfRule type="duplicateValues" dxfId="37" priority="32"/>
  </conditionalFormatting>
  <conditionalFormatting sqref="F1713">
    <cfRule type="duplicateValues" dxfId="36" priority="31"/>
  </conditionalFormatting>
  <conditionalFormatting sqref="F1714">
    <cfRule type="duplicateValues" dxfId="35" priority="30"/>
  </conditionalFormatting>
  <conditionalFormatting sqref="F2508">
    <cfRule type="duplicateValues" dxfId="34" priority="29"/>
  </conditionalFormatting>
  <conditionalFormatting sqref="F2509">
    <cfRule type="duplicateValues" dxfId="33" priority="28"/>
  </conditionalFormatting>
  <conditionalFormatting sqref="F2524">
    <cfRule type="duplicateValues" dxfId="32" priority="27"/>
  </conditionalFormatting>
  <conditionalFormatting sqref="F2525">
    <cfRule type="duplicateValues" dxfId="31" priority="26"/>
  </conditionalFormatting>
  <conditionalFormatting sqref="F2533">
    <cfRule type="duplicateValues" dxfId="30" priority="25"/>
  </conditionalFormatting>
  <conditionalFormatting sqref="F2534">
    <cfRule type="duplicateValues" dxfId="29" priority="24"/>
  </conditionalFormatting>
  <conditionalFormatting sqref="F2543">
    <cfRule type="duplicateValues" dxfId="28" priority="23"/>
  </conditionalFormatting>
  <conditionalFormatting sqref="F2544">
    <cfRule type="duplicateValues" dxfId="27" priority="22"/>
  </conditionalFormatting>
  <conditionalFormatting sqref="F2558">
    <cfRule type="duplicateValues" dxfId="26" priority="21"/>
  </conditionalFormatting>
  <conditionalFormatting sqref="F2559">
    <cfRule type="duplicateValues" dxfId="25" priority="20"/>
  </conditionalFormatting>
  <conditionalFormatting sqref="F2572">
    <cfRule type="duplicateValues" dxfId="24" priority="19"/>
  </conditionalFormatting>
  <conditionalFormatting sqref="F2573">
    <cfRule type="duplicateValues" dxfId="23" priority="18"/>
  </conditionalFormatting>
  <conditionalFormatting sqref="F2581">
    <cfRule type="duplicateValues" dxfId="22" priority="17"/>
  </conditionalFormatting>
  <conditionalFormatting sqref="F2582">
    <cfRule type="duplicateValues" dxfId="21" priority="16"/>
  </conditionalFormatting>
  <conditionalFormatting sqref="F2593">
    <cfRule type="duplicateValues" dxfId="20" priority="15"/>
  </conditionalFormatting>
  <conditionalFormatting sqref="F2594">
    <cfRule type="duplicateValues" dxfId="19" priority="14"/>
  </conditionalFormatting>
  <conditionalFormatting sqref="F2790">
    <cfRule type="duplicateValues" dxfId="18" priority="13"/>
  </conditionalFormatting>
  <conditionalFormatting sqref="F2792">
    <cfRule type="duplicateValues" dxfId="17" priority="12"/>
  </conditionalFormatting>
  <conditionalFormatting sqref="D2:D3331">
    <cfRule type="duplicateValues" dxfId="16" priority="87"/>
  </conditionalFormatting>
  <conditionalFormatting sqref="F2846">
    <cfRule type="duplicateValues" dxfId="15" priority="11"/>
  </conditionalFormatting>
  <conditionalFormatting sqref="F3322">
    <cfRule type="duplicateValues" dxfId="14" priority="9"/>
  </conditionalFormatting>
  <conditionalFormatting sqref="F3324">
    <cfRule type="duplicateValues" dxfId="13" priority="8"/>
  </conditionalFormatting>
  <conditionalFormatting sqref="D3332">
    <cfRule type="duplicateValues" dxfId="12" priority="7"/>
  </conditionalFormatting>
  <conditionalFormatting sqref="D3333">
    <cfRule type="duplicateValues" dxfId="11" priority="6"/>
  </conditionalFormatting>
  <conditionalFormatting sqref="D3334">
    <cfRule type="duplicateValues" dxfId="10" priority="5"/>
  </conditionalFormatting>
  <conditionalFormatting sqref="D3335">
    <cfRule type="duplicateValues" dxfId="9" priority="4"/>
  </conditionalFormatting>
  <conditionalFormatting sqref="D3336">
    <cfRule type="duplicateValues" dxfId="8" priority="3"/>
  </conditionalFormatting>
  <conditionalFormatting sqref="D3343">
    <cfRule type="duplicateValues" dxfId="7" priority="2"/>
  </conditionalFormatting>
  <conditionalFormatting sqref="F3344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BE5D9-3FA5-415B-AE69-C484007ABB97}">
  <dimension ref="B1:K11"/>
  <sheetViews>
    <sheetView workbookViewId="0">
      <selection activeCell="D37" sqref="D37"/>
    </sheetView>
  </sheetViews>
  <sheetFormatPr defaultRowHeight="15"/>
  <sheetData>
    <row r="1" spans="2:11">
      <c r="B1">
        <v>1000</v>
      </c>
      <c r="C1" t="s">
        <v>12867</v>
      </c>
      <c r="J1">
        <v>1000</v>
      </c>
    </row>
    <row r="2" spans="2:11">
      <c r="B2" t="s">
        <v>12856</v>
      </c>
      <c r="C2" t="s">
        <v>12842</v>
      </c>
      <c r="D2" t="s">
        <v>12868</v>
      </c>
      <c r="E2" t="s">
        <v>12868</v>
      </c>
      <c r="F2" t="s">
        <v>12868</v>
      </c>
      <c r="G2" t="s">
        <v>12868</v>
      </c>
      <c r="H2" t="s">
        <v>12868</v>
      </c>
      <c r="J2" t="s">
        <v>1113</v>
      </c>
      <c r="K2" t="s">
        <v>12856</v>
      </c>
    </row>
    <row r="3" spans="2:11">
      <c r="B3" t="s">
        <v>12858</v>
      </c>
      <c r="C3" t="s">
        <v>12843</v>
      </c>
      <c r="D3" t="s">
        <v>12868</v>
      </c>
      <c r="E3" t="s">
        <v>12868</v>
      </c>
      <c r="F3" t="s">
        <v>12868</v>
      </c>
      <c r="G3" t="s">
        <v>12868</v>
      </c>
      <c r="H3" t="s">
        <v>12868</v>
      </c>
      <c r="J3" t="s">
        <v>1113</v>
      </c>
      <c r="K3" t="s">
        <v>12858</v>
      </c>
    </row>
    <row r="4" spans="2:11">
      <c r="B4" t="s">
        <v>12859</v>
      </c>
      <c r="C4" t="s">
        <v>12844</v>
      </c>
      <c r="D4" t="s">
        <v>12868</v>
      </c>
      <c r="E4" t="s">
        <v>12868</v>
      </c>
      <c r="F4" t="s">
        <v>12868</v>
      </c>
      <c r="G4" t="s">
        <v>12868</v>
      </c>
      <c r="H4" t="s">
        <v>12868</v>
      </c>
      <c r="J4" t="s">
        <v>12852</v>
      </c>
      <c r="K4" t="s">
        <v>12859</v>
      </c>
    </row>
    <row r="5" spans="2:11">
      <c r="B5" t="s">
        <v>12860</v>
      </c>
      <c r="C5" t="s">
        <v>12845</v>
      </c>
      <c r="D5" t="s">
        <v>12868</v>
      </c>
      <c r="E5" t="s">
        <v>12868</v>
      </c>
      <c r="F5" t="s">
        <v>12868</v>
      </c>
      <c r="G5" t="s">
        <v>12868</v>
      </c>
      <c r="H5" t="s">
        <v>12868</v>
      </c>
      <c r="J5" t="s">
        <v>12852</v>
      </c>
      <c r="K5" t="s">
        <v>12860</v>
      </c>
    </row>
    <row r="6" spans="2:11">
      <c r="B6" t="s">
        <v>12861</v>
      </c>
      <c r="C6" t="s">
        <v>12846</v>
      </c>
      <c r="D6" t="s">
        <v>12868</v>
      </c>
      <c r="E6" t="s">
        <v>12868</v>
      </c>
      <c r="F6" t="s">
        <v>12868</v>
      </c>
      <c r="G6" t="s">
        <v>12868</v>
      </c>
      <c r="H6" t="s">
        <v>12868</v>
      </c>
      <c r="J6" t="s">
        <v>1159</v>
      </c>
      <c r="K6" t="s">
        <v>12861</v>
      </c>
    </row>
    <row r="7" spans="2:11">
      <c r="B7" t="s">
        <v>12862</v>
      </c>
      <c r="C7" t="s">
        <v>12847</v>
      </c>
      <c r="D7" t="s">
        <v>12868</v>
      </c>
      <c r="E7" t="s">
        <v>12868</v>
      </c>
      <c r="F7" t="s">
        <v>12868</v>
      </c>
      <c r="G7" t="s">
        <v>12868</v>
      </c>
      <c r="H7" t="s">
        <v>12868</v>
      </c>
      <c r="J7" t="s">
        <v>1159</v>
      </c>
      <c r="K7" t="s">
        <v>12862</v>
      </c>
    </row>
    <row r="8" spans="2:11">
      <c r="B8" t="s">
        <v>12863</v>
      </c>
      <c r="C8" t="s">
        <v>12848</v>
      </c>
      <c r="D8" t="s">
        <v>12868</v>
      </c>
      <c r="E8" t="s">
        <v>12868</v>
      </c>
      <c r="F8" t="s">
        <v>12868</v>
      </c>
      <c r="G8" t="s">
        <v>12868</v>
      </c>
      <c r="H8" t="s">
        <v>12868</v>
      </c>
      <c r="J8" t="s">
        <v>1168</v>
      </c>
      <c r="K8" t="s">
        <v>12863</v>
      </c>
    </row>
    <row r="9" spans="2:11">
      <c r="B9" t="s">
        <v>12864</v>
      </c>
      <c r="C9" t="s">
        <v>12849</v>
      </c>
      <c r="D9" t="s">
        <v>12868</v>
      </c>
      <c r="E9" t="s">
        <v>12868</v>
      </c>
      <c r="F9" t="s">
        <v>12868</v>
      </c>
      <c r="G9" t="s">
        <v>12868</v>
      </c>
      <c r="H9" t="s">
        <v>12868</v>
      </c>
      <c r="J9" t="s">
        <v>1168</v>
      </c>
      <c r="K9" t="s">
        <v>12864</v>
      </c>
    </row>
    <row r="10" spans="2:11">
      <c r="B10" t="s">
        <v>12865</v>
      </c>
      <c r="C10" t="s">
        <v>12850</v>
      </c>
      <c r="D10" t="s">
        <v>12868</v>
      </c>
      <c r="E10" t="s">
        <v>12868</v>
      </c>
      <c r="F10" t="s">
        <v>12868</v>
      </c>
      <c r="G10" t="s">
        <v>12868</v>
      </c>
      <c r="H10" t="s">
        <v>12868</v>
      </c>
      <c r="J10" t="s">
        <v>1120</v>
      </c>
      <c r="K10" t="s">
        <v>12865</v>
      </c>
    </row>
    <row r="11" spans="2:11">
      <c r="B11" t="s">
        <v>12866</v>
      </c>
      <c r="C11" t="s">
        <v>12851</v>
      </c>
      <c r="D11" t="s">
        <v>12868</v>
      </c>
      <c r="E11" t="s">
        <v>12868</v>
      </c>
      <c r="F11" t="s">
        <v>12868</v>
      </c>
      <c r="G11" t="s">
        <v>12868</v>
      </c>
      <c r="H11" t="s">
        <v>12868</v>
      </c>
      <c r="J11" t="s">
        <v>1120</v>
      </c>
      <c r="K11" t="s">
        <v>12866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7B225-2440-404F-B41C-4422AA8F79B8}">
  <dimension ref="A1:E10"/>
  <sheetViews>
    <sheetView workbookViewId="0">
      <selection sqref="A1:A10"/>
    </sheetView>
  </sheetViews>
  <sheetFormatPr defaultRowHeight="15"/>
  <cols>
    <col min="1" max="1" width="11.28515625" bestFit="1" customWidth="1"/>
    <col min="2" max="2" width="30.42578125" bestFit="1" customWidth="1"/>
  </cols>
  <sheetData>
    <row r="1" spans="1:5">
      <c r="A1" t="s">
        <v>12856</v>
      </c>
      <c r="B1" t="s">
        <v>12842</v>
      </c>
      <c r="C1">
        <v>5721</v>
      </c>
      <c r="D1" t="s">
        <v>12857</v>
      </c>
      <c r="E1" t="str">
        <f>+D1&amp;C1</f>
        <v>H000005721</v>
      </c>
    </row>
    <row r="2" spans="1:5">
      <c r="A2" t="s">
        <v>12858</v>
      </c>
      <c r="B2" t="s">
        <v>12843</v>
      </c>
      <c r="C2">
        <f>+C1+1</f>
        <v>5722</v>
      </c>
      <c r="D2" t="s">
        <v>12857</v>
      </c>
      <c r="E2" t="str">
        <f t="shared" ref="E2:E10" si="0">+D2&amp;C2</f>
        <v>H000005722</v>
      </c>
    </row>
    <row r="3" spans="1:5">
      <c r="A3" t="s">
        <v>12859</v>
      </c>
      <c r="B3" t="s">
        <v>12844</v>
      </c>
      <c r="C3">
        <f t="shared" ref="C3:C10" si="1">+C2+1</f>
        <v>5723</v>
      </c>
      <c r="D3" t="s">
        <v>12857</v>
      </c>
      <c r="E3" t="str">
        <f t="shared" si="0"/>
        <v>H000005723</v>
      </c>
    </row>
    <row r="4" spans="1:5">
      <c r="A4" t="s">
        <v>12860</v>
      </c>
      <c r="B4" t="s">
        <v>12845</v>
      </c>
      <c r="C4">
        <f t="shared" si="1"/>
        <v>5724</v>
      </c>
      <c r="D4" t="s">
        <v>12857</v>
      </c>
      <c r="E4" t="str">
        <f t="shared" si="0"/>
        <v>H000005724</v>
      </c>
    </row>
    <row r="5" spans="1:5">
      <c r="A5" t="s">
        <v>12861</v>
      </c>
      <c r="B5" t="s">
        <v>12846</v>
      </c>
      <c r="C5">
        <f t="shared" si="1"/>
        <v>5725</v>
      </c>
      <c r="D5" t="s">
        <v>12857</v>
      </c>
      <c r="E5" t="str">
        <f t="shared" si="0"/>
        <v>H000005725</v>
      </c>
    </row>
    <row r="6" spans="1:5">
      <c r="A6" t="s">
        <v>12862</v>
      </c>
      <c r="B6" t="s">
        <v>12847</v>
      </c>
      <c r="C6">
        <f t="shared" si="1"/>
        <v>5726</v>
      </c>
      <c r="D6" t="s">
        <v>12857</v>
      </c>
      <c r="E6" t="str">
        <f t="shared" si="0"/>
        <v>H000005726</v>
      </c>
    </row>
    <row r="7" spans="1:5">
      <c r="A7" t="s">
        <v>12863</v>
      </c>
      <c r="B7" t="s">
        <v>12848</v>
      </c>
      <c r="C7">
        <f t="shared" si="1"/>
        <v>5727</v>
      </c>
      <c r="D7" t="s">
        <v>12857</v>
      </c>
      <c r="E7" t="str">
        <f t="shared" si="0"/>
        <v>H000005727</v>
      </c>
    </row>
    <row r="8" spans="1:5">
      <c r="A8" t="s">
        <v>12864</v>
      </c>
      <c r="B8" t="s">
        <v>12849</v>
      </c>
      <c r="C8">
        <f t="shared" si="1"/>
        <v>5728</v>
      </c>
      <c r="D8" t="s">
        <v>12857</v>
      </c>
      <c r="E8" t="str">
        <f t="shared" si="0"/>
        <v>H000005728</v>
      </c>
    </row>
    <row r="9" spans="1:5">
      <c r="A9" t="s">
        <v>12865</v>
      </c>
      <c r="B9" t="s">
        <v>12850</v>
      </c>
      <c r="C9">
        <f t="shared" si="1"/>
        <v>5729</v>
      </c>
      <c r="D9" t="s">
        <v>12857</v>
      </c>
      <c r="E9" t="str">
        <f t="shared" si="0"/>
        <v>H000005729</v>
      </c>
    </row>
    <row r="10" spans="1:5">
      <c r="A10" t="s">
        <v>12866</v>
      </c>
      <c r="B10" t="s">
        <v>12851</v>
      </c>
      <c r="C10">
        <f t="shared" si="1"/>
        <v>5730</v>
      </c>
      <c r="D10" t="s">
        <v>12857</v>
      </c>
      <c r="E10" t="str">
        <f t="shared" si="0"/>
        <v>H000005730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4"/>
  <sheetViews>
    <sheetView topLeftCell="A34" workbookViewId="0">
      <selection activeCell="A74" sqref="A74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pvt</vt:lpstr>
      <vt:lpstr>Okey</vt:lpstr>
      <vt:lpstr>STUCT1</vt:lpstr>
      <vt:lpstr>Sheet2</vt:lpstr>
      <vt:lpstr>Sheet1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2026-07-08T19:20:30Z</dcterms:modified>
</cp:coreProperties>
</file>